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comments/comment1.xml" ContentType="application/vnd.openxmlformats-officedocument.spreadsheetml.comments+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drawings/drawing1.xml" ContentType="application/vnd.openxmlformats-officedocument.drawing+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8.xml" ContentType="application/vnd.openxmlformats-officedocument.spreadsheetml.table+xml"/>
  <Override PartName="/xl/worksheets/sheet30.xml" ContentType="application/vnd.openxmlformats-officedocument.spreadsheetml.worksheet+xml"/>
  <Override PartName="/xl/tables/table19.xml" ContentType="application/vnd.openxmlformats-officedocument.spreadsheetml.table+xml"/>
  <Override PartName="/xl/worksheets/sheet31.xml" ContentType="application/vnd.openxmlformats-officedocument.spreadsheetml.worksheet+xml"/>
  <Override PartName="/xl/tables/table20.xml" ContentType="application/vnd.openxmlformats-officedocument.spreadsheetml.table+xml"/>
  <Override PartName="/xl/worksheets/sheet32.xml" ContentType="application/vnd.openxmlformats-officedocument.spreadsheetml.worksheet+xml"/>
  <Override PartName="/xl/worksheets/sheet33.xml" ContentType="application/vnd.openxmlformats-officedocument.spreadsheetml.worksheet+xml"/>
  <Override PartName="/xl/tables/table21.xml" ContentType="application/vnd.openxmlformats-officedocument.spreadsheetml.table+xml"/>
  <Override PartName="/xl/worksheets/sheet34.xml" ContentType="application/vnd.openxmlformats-officedocument.spreadsheetml.worksheet+xml"/>
  <Override PartName="/xl/worksheets/sheet35.xml" ContentType="application/vnd.openxmlformats-officedocument.spreadsheetml.worksheet+xml"/>
  <Override PartName="/xl/tables/table22.xml" ContentType="application/vnd.openxmlformats-officedocument.spreadsheetml.table+xml"/>
  <Override PartName="/xl/worksheets/sheet36.xml" ContentType="application/vnd.openxmlformats-officedocument.spreadsheetml.worksheet+xml"/>
  <Override PartName="/xl/tables/table23.xml" ContentType="application/vnd.openxmlformats-officedocument.spreadsheetml.table+xml"/>
  <Override PartName="/xl/worksheets/sheet37.xml" ContentType="application/vnd.openxmlformats-officedocument.spreadsheetml.worksheet+xml"/>
  <Override PartName="/xl/tables/table24.xml" ContentType="application/vnd.openxmlformats-officedocument.spreadsheetml.table+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ables/table25.xml" ContentType="application/vnd.openxmlformats-officedocument.spreadsheetml.table+xml"/>
  <Override PartName="/xl/worksheets/sheet45.xml" ContentType="application/vnd.openxmlformats-officedocument.spreadsheetml.worksheet+xml"/>
  <Override PartName="/xl/tables/table26.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lients" sheetId="2" state="visible" r:id="rId2"/>
    <sheet xmlns:r="http://schemas.openxmlformats.org/officeDocument/2006/relationships" name="Oracle_Releases" sheetId="3" state="visible" r:id="rId3"/>
    <sheet xmlns:r="http://schemas.openxmlformats.org/officeDocument/2006/relationships" name="Release_Changes" sheetId="4" state="visible" r:id="rId4"/>
    <sheet xmlns:r="http://schemas.openxmlformats.org/officeDocument/2006/relationships" name="Business_Processes" sheetId="5" state="visible" r:id="rId5"/>
    <sheet xmlns:r="http://schemas.openxmlformats.org/officeDocument/2006/relationships" name="Applications" sheetId="6" state="visible" r:id="rId6"/>
    <sheet xmlns:r="http://schemas.openxmlformats.org/officeDocument/2006/relationships" name="Interfaces" sheetId="7" state="visible" r:id="rId7"/>
    <sheet xmlns:r="http://schemas.openxmlformats.org/officeDocument/2006/relationships" name="Jobs_Batches" sheetId="8" state="visible" r:id="rId8"/>
    <sheet xmlns:r="http://schemas.openxmlformats.org/officeDocument/2006/relationships" name="Environments" sheetId="9" state="visible" r:id="rId9"/>
    <sheet xmlns:r="http://schemas.openxmlformats.org/officeDocument/2006/relationships" name="Configurations" sheetId="10" state="visible" r:id="rId10"/>
    <sheet xmlns:r="http://schemas.openxmlformats.org/officeDocument/2006/relationships" name="Customizations" sheetId="11" state="visible" r:id="rId11"/>
    <sheet xmlns:r="http://schemas.openxmlformats.org/officeDocument/2006/relationships" name="Controls" sheetId="12" state="visible" r:id="rId12"/>
    <sheet xmlns:r="http://schemas.openxmlformats.org/officeDocument/2006/relationships" name="Test_Cases" sheetId="13" state="visible" r:id="rId13"/>
    <sheet xmlns:r="http://schemas.openxmlformats.org/officeDocument/2006/relationships" name="Dependencies" sheetId="14" state="visible" r:id="rId14"/>
    <sheet xmlns:r="http://schemas.openxmlformats.org/officeDocument/2006/relationships" name="Scoring_Rules" sheetId="15" state="visible" r:id="rId15"/>
    <sheet xmlns:r="http://schemas.openxmlformats.org/officeDocument/2006/relationships" name="Impact_Assessments" sheetId="16" state="visible" r:id="rId16"/>
    <sheet xmlns:r="http://schemas.openxmlformats.org/officeDocument/2006/relationships" name="Remediation_Actions" sheetId="17" state="visible" r:id="rId17"/>
    <sheet xmlns:r="http://schemas.openxmlformats.org/officeDocument/2006/relationships" name="Executive_Summary" sheetId="18" state="visible" r:id="rId18"/>
    <sheet xmlns:r="http://schemas.openxmlformats.org/officeDocument/2006/relationships" name="Review_Log" sheetId="19" state="visible" r:id="rId19"/>
    <sheet xmlns:r="http://schemas.openxmlformats.org/officeDocument/2006/relationships" name="Reference_Lists" sheetId="20" state="visible" r:id="rId20"/>
    <sheet xmlns:r="http://schemas.openxmlformats.org/officeDocument/2006/relationships" name="Metadata_Config" sheetId="21" state="visible" r:id="rId21"/>
    <sheet xmlns:r="http://schemas.openxmlformats.org/officeDocument/2006/relationships" name="PowerQuery_Control" sheetId="22" state="visible" r:id="rId22"/>
    <sheet xmlns:r="http://schemas.openxmlformats.org/officeDocument/2006/relationships" name="Data_Lineage" sheetId="23" state="visible" r:id="rId23"/>
    <sheet xmlns:r="http://schemas.openxmlformats.org/officeDocument/2006/relationships" name="Refresh_Audit" sheetId="24" state="visible" r:id="rId24"/>
    <sheet xmlns:r="http://schemas.openxmlformats.org/officeDocument/2006/relationships" name="Exceptions_Unmapped_Modules" sheetId="25" state="visible" r:id="rId25"/>
    <sheet xmlns:r="http://schemas.openxmlformats.org/officeDocument/2006/relationships" name="Exceptions_Missing_Criticality" sheetId="26" state="visible" r:id="rId26"/>
    <sheet xmlns:r="http://schemas.openxmlformats.org/officeDocument/2006/relationships" name="Exceptions_Invalid_Status" sheetId="27" state="visible" r:id="rId27"/>
    <sheet xmlns:r="http://schemas.openxmlformats.org/officeDocument/2006/relationships" name="Exceptions_Duplicate_IDs" sheetId="28" state="visible" r:id="rId28"/>
    <sheet xmlns:r="http://schemas.openxmlformats.org/officeDocument/2006/relationships" name="Requirements_Traceability" sheetId="29" state="visible" r:id="rId29"/>
    <sheet xmlns:r="http://schemas.openxmlformats.org/officeDocument/2006/relationships" name="Fit_Gap_Assessment" sheetId="30" state="visible" r:id="rId30"/>
    <sheet xmlns:r="http://schemas.openxmlformats.org/officeDocument/2006/relationships" name="Design_Decisions" sheetId="31" state="visible" r:id="rId31"/>
    <sheet xmlns:r="http://schemas.openxmlformats.org/officeDocument/2006/relationships" name="OTBI_Inventory" sheetId="32" state="visible" r:id="rId32"/>
    <sheet xmlns:r="http://schemas.openxmlformats.org/officeDocument/2006/relationships" name="BIP_Reports" sheetId="33" state="visible" r:id="rId33"/>
    <sheet xmlns:r="http://schemas.openxmlformats.org/officeDocument/2006/relationships" name="HDL_FBDI_Loads" sheetId="34" state="visible" r:id="rId34"/>
    <sheet xmlns:r="http://schemas.openxmlformats.org/officeDocument/2006/relationships" name="Security_Roles" sheetId="35" state="visible" r:id="rId35"/>
    <sheet xmlns:r="http://schemas.openxmlformats.org/officeDocument/2006/relationships" name="Environment_Promotions" sheetId="36" state="visible" r:id="rId36"/>
    <sheet xmlns:r="http://schemas.openxmlformats.org/officeDocument/2006/relationships" name="Cutover_Runbook" sheetId="37" state="visible" r:id="rId37"/>
    <sheet xmlns:r="http://schemas.openxmlformats.org/officeDocument/2006/relationships" name="Testing_Command_Centre" sheetId="38" state="visible" r:id="rId38"/>
    <sheet xmlns:r="http://schemas.openxmlformats.org/officeDocument/2006/relationships" name="Defect_Analytics" sheetId="39" state="visible" r:id="rId39"/>
    <sheet xmlns:r="http://schemas.openxmlformats.org/officeDocument/2006/relationships" name="RAID_Log" sheetId="40" state="visible" r:id="rId40"/>
    <sheet xmlns:r="http://schemas.openxmlformats.org/officeDocument/2006/relationships" name="Release_Readiness" sheetId="41" state="visible" r:id="rId41"/>
    <sheet xmlns:r="http://schemas.openxmlformats.org/officeDocument/2006/relationships" name="Integration_Topology" sheetId="42" state="visible" r:id="rId42"/>
    <sheet xmlns:r="http://schemas.openxmlformats.org/officeDocument/2006/relationships" name="AI_Governance" sheetId="43" state="visible" r:id="rId43"/>
    <sheet xmlns:r="http://schemas.openxmlformats.org/officeDocument/2006/relationships" name="Approval_Workflow" sheetId="44" state="visible" r:id="rId44"/>
    <sheet xmlns:r="http://schemas.openxmlformats.org/officeDocument/2006/relationships" name="Deployment_Status" sheetId="45" state="visible" r:id="rId45"/>
  </sheets>
  <definedNames>
    <definedName name="lstModules">Reference_Lists!$A$2:$A$8</definedName>
    <definedName name="lstRiskLevels">Reference_Lists!$B$2:$B$5</definedName>
    <definedName name="lstStatuses">Reference_Lists!$C$2:$C$6</definedName>
    <definedName name="lstYesNo">Reference_Lists!$D$2:$D$3</definedName>
    <definedName name="lstReviewStatus">Reference_Lists!$E$2:$E$4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6"/>
    </font>
    <font>
      <b val="1"/>
    </font>
    <font>
      <b val="1"/>
      <u val="single"/>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Risk Distribution</a:t>
            </a:r>
          </a:p>
        </rich>
      </tx>
    </title>
    <plotArea>
      <pieChart>
        <varyColors val="1"/>
        <ser>
          <idx val="0"/>
          <order val="0"/>
          <spPr>
            <a:ln xmlns:a="http://schemas.openxmlformats.org/drawingml/2006/main">
              <a:prstDash val="solid"/>
            </a:ln>
          </spPr>
          <cat>
            <numRef>
              <f>'Executive_Summary'!$D$3:$D$4</f>
            </numRef>
          </cat>
          <val>
            <numRef>
              <f>'Executive_Summary'!$E$3:$E$4</f>
            </numRef>
          </val>
        </ser>
        <firstSliceAng val="0"/>
      </pieChart>
    </plotArea>
    <legend>
      <legendPos val="r"/>
    </legend>
    <plotVisOnly val="1"/>
    <dispBlanksAs val="gap"/>
  </chart>
</chartSpace>
</file>

<file path=xl/comments/comment1.xml><?xml version="1.0" encoding="utf-8"?>
<comments xmlns="http://schemas.openxmlformats.org/spreadsheetml/2006/main">
  <authors>
    <author>Oracle Enterprise Architecture</author>
  </authors>
  <commentList>
    <comment ref="A1" authorId="0" shapeId="0">
      <text>
        <t>DFL Oracle Fusion 26C impact assessment — 21 in-scope changes.</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2</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blClients" displayName="tblClients" ref="A1:I5000" headerRowCount="1">
  <autoFilter ref="A1:I5000"/>
  <tableColumns count="9">
    <tableColumn id="1" name="Client_ID"/>
    <tableColumn id="2" name="Client_Name"/>
    <tableColumn id="3" name="Client_Code"/>
    <tableColumn id="4" name="Industry"/>
    <tableColumn id="5" name="Region"/>
    <tableColumn id="6" name="Primary_Contact"/>
    <tableColumn id="7" name="Support_Model"/>
    <tableColumn id="8" name="Risk_Profile"/>
    <tableColumn id="9" name="Status"/>
  </tableColumns>
  <tableStyleInfo name="TableStyleMedium2" showRowStripes="1"/>
</table>
</file>

<file path=xl/tables/table2.xml><?xml version="1.0" encoding="utf-8"?>
<table xmlns="http://schemas.openxmlformats.org/spreadsheetml/2006/main" id="2" name="tblOracleReleases" displayName="tblOracleReleases" ref="A1:I5000" headerRowCount="1">
  <autoFilter ref="A1:I5000"/>
  <tableColumns count="9">
    <tableColumn id="1" name="Release_ID"/>
    <tableColumn id="2" name="Release_Name"/>
    <tableColumn id="3" name="Release_Year"/>
    <tableColumn id="4" name="Release_Quarter"/>
    <tableColumn id="5" name="Oracle_Product"/>
    <tableColumn id="6" name="Release_Date"/>
    <tableColumn id="7" name="Notes_Source_URL"/>
    <tableColumn id="8" name="Ingestion_Date"/>
    <tableColumn id="9" name="Status"/>
  </tableColumns>
  <tableStyleInfo name="TableStyleMedium2" showRowStripes="1"/>
</table>
</file>

<file path=xl/tables/table3.xml><?xml version="1.0" encoding="utf-8"?>
<table xmlns="http://schemas.openxmlformats.org/spreadsheetml/2006/main" id="3" name="tblReleaseChanges" displayName="tblReleaseChanges" ref="A1:R5000" headerRowCount="1">
  <autoFilter ref="A1:R5000"/>
  <tableColumns count="18">
    <tableColumn id="1" name="Change_ID"/>
    <tableColumn id="2" name="Release_ID"/>
    <tableColumn id="3" name="Change_Title"/>
    <tableColumn id="4" name="Change_Description"/>
    <tableColumn id="5" name="Oracle_Module"/>
    <tableColumn id="6" name="Feature_Area"/>
    <tableColumn id="7" name="Change_Type"/>
    <tableColumn id="8" name="Technical_Object"/>
    <tableColumn id="9" name="API_Service"/>
    <tableColumn id="10" name="Config_Area"/>
    <tableColumn id="11" name="Security_Flag"/>
    <tableColumn id="12" name="Compliance_Flag"/>
    <tableColumn id="13" name="Deprecation_Flag"/>
    <tableColumn id="14" name="Required_Action"/>
    <tableColumn id="15" name="Oracle_Severity"/>
    <tableColumn id="16" name="Effective_Date"/>
    <tableColumn id="17" name="Source_Reference"/>
    <tableColumn id="18" name="Source_Section"/>
  </tableColumns>
  <tableStyleInfo name="TableStyleMedium2" showRowStripes="1"/>
</table>
</file>

<file path=xl/tables/table4.xml><?xml version="1.0" encoding="utf-8"?>
<table xmlns="http://schemas.openxmlformats.org/spreadsheetml/2006/main" id="4" name="tblBusinessProcesses" displayName="tblBusinessProcesses" ref="A1:G5000" headerRowCount="1">
  <autoFilter ref="A1:G5000"/>
  <tableColumns count="7">
    <tableColumn id="1" name="Process_ID"/>
    <tableColumn id="2" name="Process_Name"/>
    <tableColumn id="3" name="Module"/>
    <tableColumn id="4" name="Sub_Module"/>
    <tableColumn id="5" name="Process_Owner"/>
    <tableColumn id="6" name="Criticality"/>
    <tableColumn id="7" name="Status"/>
  </tableColumns>
  <tableStyleInfo name="TableStyleMedium2" showRowStripes="1"/>
</table>
</file>

<file path=xl/tables/table5.xml><?xml version="1.0" encoding="utf-8"?>
<table xmlns="http://schemas.openxmlformats.org/spreadsheetml/2006/main" id="5" name="tblApplications" displayName="tblApplications" ref="A1:H5000" headerRowCount="1">
  <autoFilter ref="A1:H5000"/>
  <tableColumns count="8">
    <tableColumn id="1" name="App_ID"/>
    <tableColumn id="2" name="App_Name"/>
    <tableColumn id="3" name="App_Type"/>
    <tableColumn id="4" name="Vendor"/>
    <tableColumn id="5" name="Version"/>
    <tableColumn id="6" name="Environment"/>
    <tableColumn id="7" name="Criticality"/>
    <tableColumn id="8" name="Status"/>
  </tableColumns>
  <tableStyleInfo name="TableStyleMedium2" showRowStripes="1"/>
</table>
</file>

<file path=xl/tables/table6.xml><?xml version="1.0" encoding="utf-8"?>
<table xmlns="http://schemas.openxmlformats.org/spreadsheetml/2006/main" id="6" name="tblInterfaces" displayName="tblInterfaces" ref="A1:I5000" headerRowCount="1">
  <autoFilter ref="A1:I5000"/>
  <tableColumns count="9">
    <tableColumn id="1" name="Interface_ID"/>
    <tableColumn id="2" name="Interface_Name"/>
    <tableColumn id="3" name="Source_System"/>
    <tableColumn id="4" name="Target_System"/>
    <tableColumn id="5" name="Direction"/>
    <tableColumn id="6" name="Protocol"/>
    <tableColumn id="7" name="Frequency"/>
    <tableColumn id="8" name="Criticality"/>
    <tableColumn id="9" name="Status"/>
  </tableColumns>
  <tableStyleInfo name="TableStyleMedium2" showRowStripes="1"/>
</table>
</file>

<file path=xl/tables/table7.xml><?xml version="1.0" encoding="utf-8"?>
<table xmlns="http://schemas.openxmlformats.org/spreadsheetml/2006/main" id="7" name="tblJobsBatches" displayName="tblJobsBatches" ref="A1:H5000" headerRowCount="1">
  <autoFilter ref="A1:H5000"/>
  <tableColumns count="8">
    <tableColumn id="1" name="Job_ID"/>
    <tableColumn id="2" name="Job_Name"/>
    <tableColumn id="3" name="Schedule"/>
    <tableColumn id="4" name="Module"/>
    <tableColumn id="5" name="Run_As_User"/>
    <tableColumn id="6" name="Criticality"/>
    <tableColumn id="7" name="Last_Run_Date"/>
    <tableColumn id="8" name="Status"/>
  </tableColumns>
  <tableStyleInfo name="TableStyleMedium2" showRowStripes="1"/>
</table>
</file>

<file path=xl/tables/table8.xml><?xml version="1.0" encoding="utf-8"?>
<table xmlns="http://schemas.openxmlformats.org/spreadsheetml/2006/main" id="8" name="tblEnvironments" displayName="tblEnvironments" ref="A1:H5000" headerRowCount="1">
  <autoFilter ref="A1:H5000"/>
  <tableColumns count="8">
    <tableColumn id="1" name="Env_ID"/>
    <tableColumn id="2" name="Env_Name"/>
    <tableColumn id="3" name="Env_Type"/>
    <tableColumn id="4" name="Oracle_Product"/>
    <tableColumn id="5" name="URL"/>
    <tableColumn id="6" name="Refresh_Cadence"/>
    <tableColumn id="7" name="Owner"/>
    <tableColumn id="8" name="Status"/>
  </tableColumns>
  <tableStyleInfo name="TableStyleMedium2" showRowStripes="1"/>
</table>
</file>

<file path=xl/tables/table9.xml><?xml version="1.0" encoding="utf-8"?>
<table xmlns="http://schemas.openxmlformats.org/spreadsheetml/2006/main" id="9" name="tblConfigurations" displayName="tblConfigurations" ref="A1:H5000" headerRowCount="1">
  <autoFilter ref="A1:H5000"/>
  <tableColumns count="8">
    <tableColumn id="1" name="Config_ID"/>
    <tableColumn id="2" name="Module"/>
    <tableColumn id="3" name="Config_Area"/>
    <tableColumn id="4" name="Config_Name"/>
    <tableColumn id="5" name="Config_Value"/>
    <tableColumn id="6" name="Last_Changed_Date"/>
    <tableColumn id="7" name="Changed_By"/>
    <tableColumn id="8" name="Status"/>
  </tableColumns>
  <tableStyleInfo name="TableStyleMedium2" showRowStripes="1"/>
</table>
</file>

<file path=xl/tables/table10.xml><?xml version="1.0" encoding="utf-8"?>
<table xmlns="http://schemas.openxmlformats.org/spreadsheetml/2006/main" id="10" name="tblCustomizations" displayName="tblCustomizations" ref="A1:H5000" headerRowCount="1">
  <autoFilter ref="A1:H5000"/>
  <tableColumns count="8">
    <tableColumn id="1" name="Custom_ID"/>
    <tableColumn id="2" name="Module"/>
    <tableColumn id="3" name="Object_Type"/>
    <tableColumn id="4" name="Object_Name"/>
    <tableColumn id="5" name="Description"/>
    <tableColumn id="6" name="Complexity"/>
    <tableColumn id="7" name="Owner"/>
    <tableColumn id="8" name="Status"/>
  </tableColumns>
  <tableStyleInfo name="TableStyleMedium2" showRowStripes="1"/>
</table>
</file>

<file path=xl/tables/table11.xml><?xml version="1.0" encoding="utf-8"?>
<table xmlns="http://schemas.openxmlformats.org/spreadsheetml/2006/main" id="11" name="tblControls" displayName="tblControls" ref="A1:H5000" headerRowCount="1">
  <autoFilter ref="A1:H5000"/>
  <tableColumns count="8">
    <tableColumn id="1" name="Control_ID"/>
    <tableColumn id="2" name="Control_Name"/>
    <tableColumn id="3" name="Module"/>
    <tableColumn id="4" name="Control_Type"/>
    <tableColumn id="5" name="Frequency"/>
    <tableColumn id="6" name="Owner"/>
    <tableColumn id="7" name="Last_Tested_Date"/>
    <tableColumn id="8" name="Status"/>
  </tableColumns>
  <tableStyleInfo name="TableStyleMedium2" showRowStripes="1"/>
</table>
</file>

<file path=xl/tables/table12.xml><?xml version="1.0" encoding="utf-8"?>
<table xmlns="http://schemas.openxmlformats.org/spreadsheetml/2006/main" id="12" name="tblTestCases" displayName="tblTestCases" ref="A1:H5000" headerRowCount="1">
  <autoFilter ref="A1:H5000"/>
  <tableColumns count="8">
    <tableColumn id="1" name="Test_Case_ID"/>
    <tableColumn id="2" name="Test_Name"/>
    <tableColumn id="3" name="Module"/>
    <tableColumn id="4" name="Test_Type"/>
    <tableColumn id="5" name="Priority"/>
    <tableColumn id="6" name="Automation_Flag"/>
    <tableColumn id="7" name="Owner"/>
    <tableColumn id="8" name="Status"/>
  </tableColumns>
  <tableStyleInfo name="TableStyleMedium2" showRowStripes="1"/>
</table>
</file>

<file path=xl/tables/table13.xml><?xml version="1.0" encoding="utf-8"?>
<table xmlns="http://schemas.openxmlformats.org/spreadsheetml/2006/main" id="13" name="tblDependencies" displayName="tblDependencies" ref="A1:G5000" headerRowCount="1">
  <autoFilter ref="A1:G5000"/>
  <tableColumns count="7">
    <tableColumn id="1" name="Dependency_ID"/>
    <tableColumn id="2" name="From_Entity_Type"/>
    <tableColumn id="3" name="From_Entity_ID"/>
    <tableColumn id="4" name="To_Entity_Type"/>
    <tableColumn id="5" name="To_Entity_ID"/>
    <tableColumn id="6" name="Dependency_Type"/>
    <tableColumn id="7" name="Notes"/>
  </tableColumns>
  <tableStyleInfo name="TableStyleMedium2" showRowStripes="1"/>
</table>
</file>

<file path=xl/tables/table14.xml><?xml version="1.0" encoding="utf-8"?>
<table xmlns="http://schemas.openxmlformats.org/spreadsheetml/2006/main" id="14" name="tblScoringRules" displayName="tblScoringRules" ref="A1:H5000" headerRowCount="1">
  <autoFilter ref="A1:H5000"/>
  <tableColumns count="8">
    <tableColumn id="1" name="Rule_ID"/>
    <tableColumn id="2" name="Rule_Name"/>
    <tableColumn id="3" name="Dimension"/>
    <tableColumn id="4" name="Condition"/>
    <tableColumn id="5" name="Score"/>
    <tableColumn id="6" name="Weight"/>
    <tableColumn id="7" name="Effective_Date"/>
    <tableColumn id="8" name="Status"/>
  </tableColumns>
  <tableStyleInfo name="TableStyleMedium2" showRowStripes="1"/>
</table>
</file>

<file path=xl/tables/table15.xml><?xml version="1.0" encoding="utf-8"?>
<table xmlns="http://schemas.openxmlformats.org/spreadsheetml/2006/main" id="15" name="tblImpactAssessments" displayName="tblImpactAssessments" ref="A1:AA5000" headerRowCount="1">
  <autoFilter ref="A1:AA5000"/>
  <tableColumns count="27">
    <tableColumn id="1" name="Assessment_ID"/>
    <tableColumn id="2" name="Client_ID"/>
    <tableColumn id="3" name="Release_ID"/>
    <tableColumn id="4" name="Change_ID"/>
    <tableColumn id="5" name="Impact_Type"/>
    <tableColumn id="6" name="Impacted_Entity_Type"/>
    <tableColumn id="7" name="Impacted_Entity_ID"/>
    <tableColumn id="8" name="Impact_Reason"/>
    <tableColumn id="9" name="Direct_Match_Flag"/>
    <tableColumn id="10" name="Dependency_Match_Flag"/>
    <tableColumn id="11" name="Customization_Match_Flag"/>
    <tableColumn id="12" name="Security_Impact_Flag"/>
    <tableColumn id="13" name="Business_Criticality_Score"/>
    <tableColumn id="14" name="Customization_Score"/>
    <tableColumn id="15" name="Integration_Score"/>
    <tableColumn id="16" name="Security_Score"/>
    <tableColumn id="17" name="Environment_Score"/>
    <tableColumn id="18" name="Oracle_Change_Score"/>
    <tableColumn id="19" name="History_Score"/>
    <tableColumn id="20" name="Total_Risk_Score"/>
    <tableColumn id="21" name="Risk_Level"/>
    <tableColumn id="22" name="Review_Status"/>
    <tableColumn id="23" name="Reviewed_By"/>
    <tableColumn id="24" name="Review_Date"/>
    <tableColumn id="25" name="Recommended_Action"/>
    <tableColumn id="26" name="Test_Required_Flag"/>
    <tableColumn id="27" name="Remediation_Required_Flag"/>
  </tableColumns>
  <tableStyleInfo name="TableStyleMedium2" showRowStripes="1"/>
</table>
</file>

<file path=xl/tables/table16.xml><?xml version="1.0" encoding="utf-8"?>
<table xmlns="http://schemas.openxmlformats.org/spreadsheetml/2006/main" id="16" name="tblRemediationActions" displayName="tblRemediationActions" ref="A1:H5000" headerRowCount="1">
  <autoFilter ref="A1:H5000"/>
  <tableColumns count="8">
    <tableColumn id="1" name="Action_ID"/>
    <tableColumn id="2" name="Assessment_ID"/>
    <tableColumn id="3" name="Action_Description"/>
    <tableColumn id="4" name="Action_Type"/>
    <tableColumn id="5" name="Owner"/>
    <tableColumn id="6" name="Due_Date"/>
    <tableColumn id="7" name="Priority"/>
    <tableColumn id="8" name="Status"/>
  </tableColumns>
  <tableStyleInfo name="TableStyleMedium2" showRowStripes="1"/>
</table>
</file>

<file path=xl/tables/table17.xml><?xml version="1.0" encoding="utf-8"?>
<table xmlns="http://schemas.openxmlformats.org/spreadsheetml/2006/main" id="17" name="tblReviewLog" displayName="tblReviewLog" ref="A1:H5000" headerRowCount="1">
  <autoFilter ref="A1:H5000"/>
  <tableColumns count="8">
    <tableColumn id="1" name="Review_ID"/>
    <tableColumn id="2" name="Entity_Type"/>
    <tableColumn id="3" name="Entity_ID"/>
    <tableColumn id="4" name="Reviewer"/>
    <tableColumn id="5" name="Review_Date"/>
    <tableColumn id="6" name="Decision"/>
    <tableColumn id="7" name="Comments"/>
    <tableColumn id="8" name="Status"/>
  </tableColumns>
  <tableStyleInfo name="TableStyleMedium2" showRowStripes="1"/>
</table>
</file>

<file path=xl/tables/table18.xml><?xml version="1.0" encoding="utf-8"?>
<table xmlns="http://schemas.openxmlformats.org/spreadsheetml/2006/main" id="18" name="tblRequirementsTraceability" displayName="tblRequirementsTraceability" ref="A1:G5000" headerRowCount="1">
  <autoFilter ref="A1:G5000"/>
  <tableColumns count="7">
    <tableColumn id="1" name="Req_ID"/>
    <tableColumn id="2" name="Requirement_Name"/>
    <tableColumn id="3" name="Module"/>
    <tableColumn id="4" name="Design_ID"/>
    <tableColumn id="5" name="Test_Case_ID"/>
    <tableColumn id="6" name="Defect_ID"/>
    <tableColumn id="7" name="Status"/>
  </tableColumns>
  <tableStyleInfo name="TableStyleMedium2" showRowStripes="1"/>
</table>
</file>

<file path=xl/tables/table19.xml><?xml version="1.0" encoding="utf-8"?>
<table xmlns="http://schemas.openxmlformats.org/spreadsheetml/2006/main" id="19" name="tblFitGapAssessment" displayName="tblFitGapAssessment" ref="A1:H5000" headerRowCount="1">
  <autoFilter ref="A1:H5000"/>
  <tableColumns count="8">
    <tableColumn id="1" name="FitGap_ID"/>
    <tableColumn id="2" name="Process_ID"/>
    <tableColumn id="3" name="Requirement"/>
    <tableColumn id="4" name="Oracle_Coverage"/>
    <tableColumn id="5" name="Gap_Description"/>
    <tableColumn id="6" name="Resolution_Type"/>
    <tableColumn id="7" name="Priority"/>
    <tableColumn id="8" name="Status"/>
  </tableColumns>
  <tableStyleInfo name="TableStyleMedium2" showRowStripes="1"/>
</table>
</file>

<file path=xl/tables/table20.xml><?xml version="1.0" encoding="utf-8"?>
<table xmlns="http://schemas.openxmlformats.org/spreadsheetml/2006/main" id="20" name="tblDesignDecisions" displayName="tblDesignDecisions" ref="A1:H5000" headerRowCount="1">
  <autoFilter ref="A1:H5000"/>
  <tableColumns count="8">
    <tableColumn id="1" name="Decision_ID"/>
    <tableColumn id="2" name="Module"/>
    <tableColumn id="3" name="Decision_Title"/>
    <tableColumn id="4" name="Decision_Description"/>
    <tableColumn id="5" name="Rationale"/>
    <tableColumn id="6" name="Decision_Owner"/>
    <tableColumn id="7" name="Decision_Date"/>
    <tableColumn id="8" name="Status"/>
  </tableColumns>
  <tableStyleInfo name="TableStyleMedium2" showRowStripes="1"/>
</table>
</file>

<file path=xl/tables/table21.xml><?xml version="1.0" encoding="utf-8"?>
<table xmlns="http://schemas.openxmlformats.org/spreadsheetml/2006/main" id="21" name="tblBIPReports" displayName="tblBIPReports" ref="A1:H5000" headerRowCount="1">
  <autoFilter ref="A1:H5000"/>
  <tableColumns count="8">
    <tableColumn id="1" name="Report_ID"/>
    <tableColumn id="2" name="Report_Name"/>
    <tableColumn id="3" name="Module"/>
    <tableColumn id="4" name="Owner"/>
    <tableColumn id="5" name="Criticality"/>
    <tableColumn id="6" name="Security_Role"/>
    <tableColumn id="7" name="Last_Reviewed"/>
    <tableColumn id="8" name="Status"/>
  </tableColumns>
  <tableStyleInfo name="TableStyleMedium2" showRowStripes="1"/>
</table>
</file>

<file path=xl/tables/table22.xml><?xml version="1.0" encoding="utf-8"?>
<table xmlns="http://schemas.openxmlformats.org/spreadsheetml/2006/main" id="22" name="tblSecurityRoles" displayName="tblSecurityRoles" ref="A1:H5000" headerRowCount="1">
  <autoFilter ref="A1:H5000"/>
  <tableColumns count="8">
    <tableColumn id="1" name="Role_ID"/>
    <tableColumn id="2" name="Role_Name"/>
    <tableColumn id="3" name="Module"/>
    <tableColumn id="4" name="Role_Type"/>
    <tableColumn id="5" name="Data_Access_Level"/>
    <tableColumn id="6" name="Last_Reviewed"/>
    <tableColumn id="7" name="Owner"/>
    <tableColumn id="8" name="Status"/>
  </tableColumns>
  <tableStyleInfo name="TableStyleMedium2" showRowStripes="1"/>
</table>
</file>

<file path=xl/tables/table23.xml><?xml version="1.0" encoding="utf-8"?>
<table xmlns="http://schemas.openxmlformats.org/spreadsheetml/2006/main" id="23" name="tblEnvironmentPromotions" displayName="tblEnvironmentPromotions" ref="A1:H5000" headerRowCount="1">
  <autoFilter ref="A1:H5000"/>
  <tableColumns count="8">
    <tableColumn id="1" name="Promotion_ID"/>
    <tableColumn id="2" name="Release_ID"/>
    <tableColumn id="3" name="From_Env"/>
    <tableColumn id="4" name="To_Env"/>
    <tableColumn id="5" name="Promotion_Date"/>
    <tableColumn id="6" name="Promoted_By"/>
    <tableColumn id="7" name="Approval_Status"/>
    <tableColumn id="8" name="Notes"/>
  </tableColumns>
  <tableStyleInfo name="TableStyleMedium2" showRowStripes="1"/>
</table>
</file>

<file path=xl/tables/table24.xml><?xml version="1.0" encoding="utf-8"?>
<table xmlns="http://schemas.openxmlformats.org/spreadsheetml/2006/main" id="24" name="tblCutoverRunbook" displayName="tblCutoverRunbook" ref="A1:G5000" headerRowCount="1">
  <autoFilter ref="A1:G5000"/>
  <tableColumns count="7">
    <tableColumn id="1" name="Step_ID"/>
    <tableColumn id="2" name="Step_Name"/>
    <tableColumn id="3" name="Responsible_Team"/>
    <tableColumn id="4" name="Estimated_Duration"/>
    <tableColumn id="5" name="Dependencies"/>
    <tableColumn id="6" name="Rollback_Procedure"/>
    <tableColumn id="7" name="Status"/>
  </tableColumns>
  <tableStyleInfo name="TableStyleMedium2" showRowStripes="1"/>
</table>
</file>

<file path=xl/tables/table25.xml><?xml version="1.0" encoding="utf-8"?>
<table xmlns="http://schemas.openxmlformats.org/spreadsheetml/2006/main" id="25" name="tblApprovalWorkflow" displayName="tblApprovalWorkflow" ref="A1:H5000" headerRowCount="1">
  <autoFilter ref="A1:H5000"/>
  <tableColumns count="8">
    <tableColumn id="1" name="Approval_ID"/>
    <tableColumn id="2" name="Entity_Type"/>
    <tableColumn id="3" name="Entity_ID"/>
    <tableColumn id="4" name="Approver"/>
    <tableColumn id="5" name="Approval_Date"/>
    <tableColumn id="6" name="Decision"/>
    <tableColumn id="7" name="Comments"/>
    <tableColumn id="8" name="Status"/>
  </tableColumns>
  <tableStyleInfo name="TableStyleMedium2" showRowStripes="1"/>
</table>
</file>

<file path=xl/tables/table26.xml><?xml version="1.0" encoding="utf-8"?>
<table xmlns="http://schemas.openxmlformats.org/spreadsheetml/2006/main" id="26" name="tblDeploymentStatus" displayName="tblDeploymentStatus" ref="A1:H5000" headerRowCount="1">
  <autoFilter ref="A1:H5000"/>
  <tableColumns count="8">
    <tableColumn id="1" name="Deployment_ID"/>
    <tableColumn id="2" name="Release_ID"/>
    <tableColumn id="3" name="Environment"/>
    <tableColumn id="4" name="Component"/>
    <tableColumn id="5" name="Deployed_By"/>
    <tableColumn id="6" name="Deployment_Date"/>
    <tableColumn id="7" name="Validation_Status"/>
    <tableColumn id="8"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_rels/sheet18.xml.rels><Relationships xmlns="http://schemas.openxmlformats.org/package/2006/relationships"><Relationship Type="http://schemas.openxmlformats.org/officeDocument/2006/relationships/drawing" Target="/xl/drawings/drawing1.xml" Id="rId1"/></Relationships>
</file>

<file path=xl/worksheets/_rels/sheet19.xml.rels><Relationships xmlns="http://schemas.openxmlformats.org/package/2006/relationships"><Relationship Type="http://schemas.openxmlformats.org/officeDocument/2006/relationships/table" Target="/xl/tables/table17.xml" Id="rId1"/></Relationships>
</file>

<file path=xl/worksheets/_rels/sheet29.xml.rels><Relationships xmlns="http://schemas.openxmlformats.org/package/2006/relationships"><Relationship Type="http://schemas.openxmlformats.org/officeDocument/2006/relationships/table" Target="/xl/tables/table18.xml" Id="rId1"/></Relationships>
</file>

<file path=xl/worksheets/_rels/sheet30.xml.rels><Relationships xmlns="http://schemas.openxmlformats.org/package/2006/relationships"><Relationship Type="http://schemas.openxmlformats.org/officeDocument/2006/relationships/table" Target="/xl/tables/table19.xml" Id="rId1"/></Relationships>
</file>

<file path=xl/worksheets/_rels/sheet31.xml.rels><Relationships xmlns="http://schemas.openxmlformats.org/package/2006/relationships"><Relationship Type="http://schemas.openxmlformats.org/officeDocument/2006/relationships/table" Target="/xl/tables/table20.xml" Id="rId1"/></Relationships>
</file>

<file path=xl/worksheets/_rels/sheet33.xml.rels><Relationships xmlns="http://schemas.openxmlformats.org/package/2006/relationships"><Relationship Type="http://schemas.openxmlformats.org/officeDocument/2006/relationships/table" Target="/xl/tables/table21.xml" Id="rId1"/></Relationships>
</file>

<file path=xl/worksheets/_rels/sheet35.xml.rels><Relationships xmlns="http://schemas.openxmlformats.org/package/2006/relationships"><Relationship Type="http://schemas.openxmlformats.org/officeDocument/2006/relationships/table" Target="/xl/tables/table22.xml" Id="rId1"/></Relationships>
</file>

<file path=xl/worksheets/_rels/sheet36.xml.rels><Relationships xmlns="http://schemas.openxmlformats.org/package/2006/relationships"><Relationship Type="http://schemas.openxmlformats.org/officeDocument/2006/relationships/table" Target="/xl/tables/table23.xml" Id="rId1"/></Relationships>
</file>

<file path=xl/worksheets/_rels/sheet37.xml.rels><Relationships xmlns="http://schemas.openxmlformats.org/package/2006/relationships"><Relationship Type="http://schemas.openxmlformats.org/officeDocument/2006/relationships/table" Target="/xl/tables/table24.xml" Id="rId1"/></Relationships>
</file>

<file path=xl/worksheets/_rels/sheet44.xml.rels><Relationships xmlns="http://schemas.openxmlformats.org/package/2006/relationships"><Relationship Type="http://schemas.openxmlformats.org/officeDocument/2006/relationships/table" Target="/xl/tables/table25.xml" Id="rId1"/></Relationships>
</file>

<file path=xl/worksheets/_rels/sheet45.xml.rels><Relationships xmlns="http://schemas.openxmlformats.org/package/2006/relationships"><Relationship Type="http://schemas.openxmlformats.org/officeDocument/2006/relationships/table" Target="/xl/tables/table26.xml" Id="rId1"/></Relationships>
</file>

<file path=xl/worksheets/sheet1.xml><?xml version="1.0" encoding="utf-8"?>
<worksheet xmlns="http://schemas.openxmlformats.org/spreadsheetml/2006/main">
  <sheetPr>
    <outlinePr summaryBelow="1" summaryRight="1"/>
    <pageSetUpPr/>
  </sheetPr>
  <dimension ref="A1:B24"/>
  <sheetViews>
    <sheetView showGridLines="0" workbookViewId="0">
      <selection activeCell="A1" sqref="A1"/>
    </sheetView>
  </sheetViews>
  <sheetFormatPr baseColWidth="8" defaultRowHeight="15"/>
  <cols>
    <col width="32" customWidth="1" min="1" max="1"/>
    <col width="85" customWidth="1" min="2" max="2"/>
  </cols>
  <sheetData>
    <row r="1">
      <c r="A1" s="1" t="inlineStr">
        <is>
          <t>Oracle Fusion 26C Impact Assessment — Dignity Funerals Limited (DFL)</t>
        </is>
      </c>
    </row>
    <row r="2" ht="18" customHeight="1">
      <c r="A2" t="inlineStr"/>
      <c r="B2" s="2" t="inlineStr"/>
    </row>
    <row r="3" ht="18" customHeight="1">
      <c r="A3" s="3" t="inlineStr">
        <is>
          <t>Client</t>
        </is>
      </c>
      <c r="B3" s="2" t="inlineStr">
        <is>
          <t>Dignity Funerals Limited (DFL) — Sutton Coldfield HQ</t>
        </is>
      </c>
    </row>
    <row r="4" ht="18" customHeight="1">
      <c r="A4" s="3" t="inlineStr">
        <is>
          <t>Release</t>
        </is>
      </c>
      <c r="B4" s="2" t="inlineStr">
        <is>
          <t>Oracle Fusion Cloud 26C — Target go-live: September 2025</t>
        </is>
      </c>
    </row>
    <row r="5" ht="18" customHeight="1">
      <c r="A5" s="3" t="inlineStr">
        <is>
          <t>Prepared</t>
        </is>
      </c>
      <c r="B5" s="2" t="inlineStr">
        <is>
          <t>15 August 2026</t>
        </is>
      </c>
    </row>
    <row r="6" ht="18" customHeight="1">
      <c r="A6" s="3" t="inlineStr">
        <is>
          <t>Scope</t>
        </is>
      </c>
      <c r="B6" s="2" t="inlineStr">
        <is>
          <t>Oracle ERP (Financials, Procurement, Project Mgmt), HCM (Payroll, HR, Absence, Time &amp; Labour, Benefits, Compensation, Recruiting, Workforce Scheduling), SCM (Inventory Management, Order Management)</t>
        </is>
      </c>
    </row>
    <row r="7" ht="18" customHeight="1">
      <c r="A7" t="inlineStr"/>
      <c r="B7" s="2" t="inlineStr"/>
    </row>
    <row r="8" ht="18" customHeight="1">
      <c r="A8" s="3" t="inlineStr">
        <is>
          <t>Business Context</t>
        </is>
      </c>
      <c r="B8" s="2" t="inlineStr">
        <is>
          <t>DFL operates ~500 funeral homes across the UK with ~4,200 employees. Oracle Fusion Cloud is the core ERP/HCM platform supporting payroll, HR, finance, and supply chain for funeral supplies and services.</t>
        </is>
      </c>
    </row>
    <row r="9" ht="18" customHeight="1">
      <c r="A9" t="inlineStr"/>
      <c r="B9" s="2" t="inlineStr"/>
    </row>
    <row r="10" ht="18" customHeight="1">
      <c r="A10" s="4" t="inlineStr">
        <is>
          <t>Critical Changes</t>
        </is>
      </c>
      <c r="B10" s="2" t="inlineStr"/>
    </row>
    <row r="11" ht="18" customHeight="1">
      <c r="A11" t="inlineStr">
        <is>
          <t>1. SOAP API Deprecation</t>
        </is>
      </c>
      <c r="B11" s="2" t="inlineStr">
        <is>
          <t>Fixed Assets SOAP API deprecated — MUST migrate to REST before 27A.</t>
        </is>
      </c>
    </row>
    <row r="12" ht="18" customHeight="1">
      <c r="A12" t="inlineStr">
        <is>
          <t>2. Payroll Legislation</t>
        </is>
      </c>
      <c r="B12" s="2" t="inlineStr">
        <is>
          <t>UK payroll run results archive enhanced for NI/minimum wage changes — parallel payroll testing mandatory.</t>
        </is>
      </c>
    </row>
    <row r="13" ht="18" customHeight="1">
      <c r="A13" t="inlineStr">
        <is>
          <t>3. OM REST API</t>
        </is>
      </c>
      <c r="B13" s="2" t="inlineStr">
        <is>
          <t>Order Management REST API schema changes affect funeral case management system integration.</t>
        </is>
      </c>
    </row>
    <row r="14" ht="18" customHeight="1">
      <c r="A14" t="inlineStr">
        <is>
          <t>4. GL Period Close</t>
        </is>
      </c>
      <c r="B14" s="2" t="inlineStr">
        <is>
          <t>General Ledger period close migrated to Redwood — finance team retraining required.</t>
        </is>
      </c>
    </row>
    <row r="15" ht="18" customHeight="1">
      <c r="A15" t="inlineStr">
        <is>
          <t>5. HR API Change</t>
        </is>
      </c>
      <c r="B15" s="2" t="inlineStr">
        <is>
          <t>HCM Workers REST API v2 introduces new required field affecting HR reporting integration.</t>
        </is>
      </c>
    </row>
    <row r="16" ht="18" customHeight="1">
      <c r="A16" t="inlineStr"/>
      <c r="B16" s="2" t="inlineStr"/>
    </row>
    <row r="17" ht="18" customHeight="1">
      <c r="A17" s="4" t="inlineStr">
        <is>
          <t>How To Use</t>
        </is>
      </c>
      <c r="B17" s="2" t="inlineStr"/>
    </row>
    <row r="18" ht="18" customHeight="1">
      <c r="A18" s="3" t="inlineStr">
        <is>
          <t>Impact_Assessments</t>
        </is>
      </c>
      <c r="B18" s="2" t="inlineStr">
        <is>
          <t>Core analysis table. 21 change assessments pre-loaded for DFL.</t>
        </is>
      </c>
    </row>
    <row r="19" ht="18" customHeight="1">
      <c r="A19" s="3" t="inlineStr">
        <is>
          <t>Release_Changes</t>
        </is>
      </c>
      <c r="B19" s="2" t="inlineStr">
        <is>
          <t>Full list of 26C changes in scope for DFL (ERP + HCM + SCM).</t>
        </is>
      </c>
    </row>
    <row r="20" ht="18" customHeight="1">
      <c r="A20" s="3" t="inlineStr">
        <is>
          <t>Remediation_Actions</t>
        </is>
      </c>
      <c r="B20" s="2" t="inlineStr">
        <is>
          <t>Tracked remediation tasks for Critical/High items.</t>
        </is>
      </c>
    </row>
    <row r="21" ht="18" customHeight="1">
      <c r="A21" s="3" t="inlineStr">
        <is>
          <t>Test_Cases</t>
        </is>
      </c>
      <c r="B21" s="2" t="inlineStr">
        <is>
          <t>Test cases linked to assessed changes — use for UAT planning.</t>
        </is>
      </c>
    </row>
    <row r="22" ht="18" customHeight="1">
      <c r="A22" s="3" t="inlineStr">
        <is>
          <t>Executive_Summary</t>
        </is>
      </c>
      <c r="B22" s="2" t="inlineStr">
        <is>
          <t>KPI dashboard. Enter CLT_DFL001 in B3 and REL_26C in B4 to filter.</t>
        </is>
      </c>
    </row>
    <row r="23" ht="18" customHeight="1">
      <c r="A23" t="inlineStr"/>
      <c r="B23" s="2" t="inlineStr"/>
    </row>
    <row r="24" ht="18" customHeight="1">
      <c r="A24" s="3" t="inlineStr">
        <is>
          <t>Governance</t>
        </is>
      </c>
      <c r="B24" s="2" t="inlineStr">
        <is>
          <t>This workbook is CONFIDENTIAL. Internal use only.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5" customWidth="1" min="3" max="3"/>
    <col width="12" customWidth="1" min="4" max="4"/>
    <col width="12" customWidth="1" min="5" max="5"/>
    <col width="19" customWidth="1" min="6" max="6"/>
    <col width="17" customWidth="1" min="7" max="7"/>
    <col width="16" customWidth="1" min="8" max="8"/>
    <col width="12" customWidth="1" min="9" max="9"/>
  </cols>
  <sheetData>
    <row r="1">
      <c r="A1" s="5" t="inlineStr">
        <is>
          <t>Client_ID</t>
        </is>
      </c>
      <c r="B1" s="5" t="inlineStr">
        <is>
          <t>Client_Name</t>
        </is>
      </c>
      <c r="C1" s="5" t="inlineStr">
        <is>
          <t>Client_Code</t>
        </is>
      </c>
      <c r="D1" s="5" t="inlineStr">
        <is>
          <t>Industry</t>
        </is>
      </c>
      <c r="E1" s="5" t="inlineStr">
        <is>
          <t>Region</t>
        </is>
      </c>
      <c r="F1" s="5" t="inlineStr">
        <is>
          <t>Primary_Contact</t>
        </is>
      </c>
      <c r="G1" s="5" t="inlineStr">
        <is>
          <t>Support_Model</t>
        </is>
      </c>
      <c r="H1" s="5" t="inlineStr">
        <is>
          <t>Risk_Profile</t>
        </is>
      </c>
      <c r="I1" s="5" t="inlineStr">
        <is>
          <t>Status</t>
        </is>
      </c>
    </row>
    <row r="2">
      <c r="A2" t="inlineStr">
        <is>
          <t>CLT_DFL001</t>
        </is>
      </c>
      <c r="B2" t="inlineStr">
        <is>
          <t>Dignity Funerals Limited</t>
        </is>
      </c>
      <c r="C2" t="inlineStr">
        <is>
          <t>DFL</t>
        </is>
      </c>
      <c r="D2" t="inlineStr">
        <is>
          <t>Funeral Services</t>
        </is>
      </c>
      <c r="E2" t="inlineStr">
        <is>
          <t>UK</t>
        </is>
      </c>
      <c r="F2" t="inlineStr">
        <is>
          <t>Group IT Director</t>
        </is>
      </c>
      <c r="G2" t="inlineStr">
        <is>
          <t>Managed Service</t>
        </is>
      </c>
      <c r="H2" t="inlineStr">
        <is>
          <t>High</t>
        </is>
      </c>
      <c r="I2" t="inlineStr">
        <is>
          <t>Active</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9" customWidth="1" min="4" max="4"/>
    <col width="18" customWidth="1" min="5" max="5"/>
    <col width="16" customWidth="1" min="6" max="6"/>
    <col width="20" customWidth="1" min="7" max="7"/>
    <col width="18" customWidth="1" min="8" max="8"/>
    <col width="12" customWidth="1" min="9" max="9"/>
  </cols>
  <sheetData>
    <row r="1">
      <c r="A1" s="5" t="inlineStr">
        <is>
          <t>Release_ID</t>
        </is>
      </c>
      <c r="B1" s="5" t="inlineStr">
        <is>
          <t>Release_Name</t>
        </is>
      </c>
      <c r="C1" s="5" t="inlineStr">
        <is>
          <t>Release_Year</t>
        </is>
      </c>
      <c r="D1" s="5" t="inlineStr">
        <is>
          <t>Release_Quarter</t>
        </is>
      </c>
      <c r="E1" s="5" t="inlineStr">
        <is>
          <t>Oracle_Product</t>
        </is>
      </c>
      <c r="F1" s="5" t="inlineStr">
        <is>
          <t>Release_Date</t>
        </is>
      </c>
      <c r="G1" s="5" t="inlineStr">
        <is>
          <t>Notes_Source_URL</t>
        </is>
      </c>
      <c r="H1" s="5" t="inlineStr">
        <is>
          <t>Ingestion_Date</t>
        </is>
      </c>
      <c r="I1" s="5" t="inlineStr">
        <is>
          <t>Status</t>
        </is>
      </c>
    </row>
    <row r="2">
      <c r="A2" t="inlineStr">
        <is>
          <t>REL_26C</t>
        </is>
      </c>
      <c r="B2" t="inlineStr">
        <is>
          <t>Oracle Fusion 26C</t>
        </is>
      </c>
      <c r="C2" t="n">
        <v>2025</v>
      </c>
      <c r="D2" t="inlineStr">
        <is>
          <t>Q2</t>
        </is>
      </c>
      <c r="E2" t="inlineStr">
        <is>
          <t>ERP/HCM/SCM</t>
        </is>
      </c>
      <c r="F2" t="inlineStr">
        <is>
          <t>2025-06-20</t>
        </is>
      </c>
      <c r="G2" t="inlineStr">
        <is>
          <t>https://docs.oracle.com/en/cloud/saas/readiness/erp/26c/</t>
        </is>
      </c>
      <c r="H2" t="inlineStr">
        <is>
          <t>2026-08-15</t>
        </is>
      </c>
      <c r="I2" t="inlineStr">
        <is>
          <t>Active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R58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50" customWidth="1" min="4" max="4"/>
    <col width="17" customWidth="1" min="5" max="5"/>
    <col width="16" customWidth="1" min="6" max="6"/>
    <col width="15" customWidth="1" min="7" max="7"/>
    <col width="20" customWidth="1" min="8" max="8"/>
    <col width="15" customWidth="1" min="9" max="9"/>
    <col width="15" customWidth="1" min="10" max="10"/>
    <col width="17" customWidth="1" min="11" max="11"/>
    <col width="19" customWidth="1" min="12" max="12"/>
    <col width="20" customWidth="1" min="13" max="13"/>
    <col width="19" customWidth="1" min="14" max="14"/>
    <col width="19" customWidth="1" min="15" max="15"/>
    <col width="18" customWidth="1" min="16" max="16"/>
    <col width="20" customWidth="1" min="17" max="17"/>
    <col width="18" customWidth="1" min="18" max="18"/>
  </cols>
  <sheetData>
    <row r="1">
      <c r="A1" s="5" t="inlineStr">
        <is>
          <t>Change_ID</t>
        </is>
      </c>
      <c r="B1" s="5" t="inlineStr">
        <is>
          <t>Release_ID</t>
        </is>
      </c>
      <c r="C1" s="5" t="inlineStr">
        <is>
          <t>Change_Title</t>
        </is>
      </c>
      <c r="D1" s="5" t="inlineStr">
        <is>
          <t>Change_Description</t>
        </is>
      </c>
      <c r="E1" s="5" t="inlineStr">
        <is>
          <t>Oracle_Module</t>
        </is>
      </c>
      <c r="F1" s="5" t="inlineStr">
        <is>
          <t>Feature_Area</t>
        </is>
      </c>
      <c r="G1" s="5" t="inlineStr">
        <is>
          <t>Change_Type</t>
        </is>
      </c>
      <c r="H1" s="5" t="inlineStr">
        <is>
          <t>Technical_Object</t>
        </is>
      </c>
      <c r="I1" s="5" t="inlineStr">
        <is>
          <t>API_Service</t>
        </is>
      </c>
      <c r="J1" s="5" t="inlineStr">
        <is>
          <t>Config_Area</t>
        </is>
      </c>
      <c r="K1" s="5" t="inlineStr">
        <is>
          <t>Security_Flag</t>
        </is>
      </c>
      <c r="L1" s="5" t="inlineStr">
        <is>
          <t>Compliance_Flag</t>
        </is>
      </c>
      <c r="M1" s="5" t="inlineStr">
        <is>
          <t>Deprecation_Flag</t>
        </is>
      </c>
      <c r="N1" s="5" t="inlineStr">
        <is>
          <t>Required_Action</t>
        </is>
      </c>
      <c r="O1" s="5" t="inlineStr">
        <is>
          <t>Oracle_Severity</t>
        </is>
      </c>
      <c r="P1" s="5" t="inlineStr">
        <is>
          <t>Effective_Date</t>
        </is>
      </c>
      <c r="Q1" s="5" t="inlineStr">
        <is>
          <t>Source_Reference</t>
        </is>
      </c>
      <c r="R1" s="5" t="inlineStr">
        <is>
          <t>Source_Section</t>
        </is>
      </c>
    </row>
    <row r="2">
      <c r="A2" t="inlineStr">
        <is>
          <t>CHG_PAY_001</t>
        </is>
      </c>
      <c r="B2" t="inlineStr">
        <is>
          <t>REL_26C</t>
        </is>
      </c>
      <c r="C2" t="inlineStr">
        <is>
          <t>Payroll Element Eligibility — Enhanced Period-Specific Rules</t>
        </is>
      </c>
      <c r="D2" t="inlineStr">
        <is>
          <t>New period-specific eligibility rules for payroll elements allow more granular control over which employees receive specific payroll components (e.g. night shift uplift, on-call allowances). DFL must review existing element eligibility configurations to ensure funeral director on-call and weekend allowances still apply correctly.</t>
        </is>
      </c>
      <c r="E2" t="inlineStr">
        <is>
          <t>Payroll</t>
        </is>
      </c>
      <c r="F2" t="inlineStr">
        <is>
          <t>Element Processing</t>
        </is>
      </c>
      <c r="G2" t="inlineStr">
        <is>
          <t>Functional</t>
        </is>
      </c>
      <c r="H2" t="inlineStr">
        <is>
          <t>PAY_ELEMENT_ELIGIBILITY</t>
        </is>
      </c>
      <c r="I2" t="inlineStr"/>
      <c r="J2" t="inlineStr">
        <is>
          <t>Payroll Configuration</t>
        </is>
      </c>
      <c r="K2" t="inlineStr">
        <is>
          <t>N</t>
        </is>
      </c>
      <c r="L2" t="inlineStr">
        <is>
          <t>Y</t>
        </is>
      </c>
      <c r="M2" t="inlineStr">
        <is>
          <t>N</t>
        </is>
      </c>
      <c r="N2" t="inlineStr">
        <is>
          <t>Review and validate on-call/shift element eligibility rules in UAT</t>
        </is>
      </c>
      <c r="O2" t="inlineStr">
        <is>
          <t>High</t>
        </is>
      </c>
      <c r="P2" t="inlineStr">
        <is>
          <t>2025-06-20</t>
        </is>
      </c>
      <c r="Q2" t="inlineStr">
        <is>
          <t>Oracle Fusion 26C Readiness — Payroll</t>
        </is>
      </c>
      <c r="R2" t="inlineStr">
        <is>
          <t>Payroll 26C What's New</t>
        </is>
      </c>
    </row>
    <row r="3">
      <c r="A3" t="inlineStr">
        <is>
          <t>CHG_PAY_002</t>
        </is>
      </c>
      <c r="B3" t="inlineStr">
        <is>
          <t>REL_26C</t>
        </is>
      </c>
      <c r="C3" t="inlineStr">
        <is>
          <t>Payroll Run Results — Archive Enhancement for Legislative Changes</t>
        </is>
      </c>
      <c r="D3" t="inlineStr">
        <is>
          <t>Enhanced payroll run result archiving to support UK legislative changes including 2025 NI thresholds and minimum wage uplifts. Auto-enabled — requires validation that DFL payroll results reconcile correctly after upgrade to 26C.</t>
        </is>
      </c>
      <c r="E3" t="inlineStr">
        <is>
          <t>Payroll</t>
        </is>
      </c>
      <c r="F3" t="inlineStr">
        <is>
          <t>Payroll Processing</t>
        </is>
      </c>
      <c r="G3" t="inlineStr">
        <is>
          <t>Legislative</t>
        </is>
      </c>
      <c r="H3" t="inlineStr">
        <is>
          <t>PAY_RUN_RESULTS</t>
        </is>
      </c>
      <c r="I3" t="inlineStr"/>
      <c r="J3" t="inlineStr">
        <is>
          <t>UK Payroll</t>
        </is>
      </c>
      <c r="K3" t="inlineStr">
        <is>
          <t>N</t>
        </is>
      </c>
      <c r="L3" t="inlineStr">
        <is>
          <t>Y</t>
        </is>
      </c>
      <c r="M3" t="inlineStr">
        <is>
          <t>N</t>
        </is>
      </c>
      <c r="N3" t="inlineStr">
        <is>
          <t>Run parallel payroll in UAT — validate NI/tax/minimum wage calculations match HMRC expectations</t>
        </is>
      </c>
      <c r="O3" t="inlineStr">
        <is>
          <t>Critical</t>
        </is>
      </c>
      <c r="P3" t="inlineStr">
        <is>
          <t>2025-06-20</t>
        </is>
      </c>
      <c r="Q3" t="inlineStr">
        <is>
          <t>Oracle Fusion 26C Readiness — Payroll</t>
        </is>
      </c>
      <c r="R3" t="inlineStr">
        <is>
          <t>Payroll 26C What's New</t>
        </is>
      </c>
    </row>
    <row r="4">
      <c r="A4" t="inlineStr">
        <is>
          <t>CHG_PAY_003</t>
        </is>
      </c>
      <c r="B4" t="inlineStr">
        <is>
          <t>REL_26C</t>
        </is>
      </c>
      <c r="C4" t="inlineStr">
        <is>
          <t>P60 / P45 End-of-Year Report Redwood Migration</t>
        </is>
      </c>
      <c r="D4" t="inlineStr">
        <is>
          <t>End-of-year statutory reports (P60, P45) migrated to Redwood UI. DFL HR administrators will see a new interface for generating and distributing year-end statutory documents. Employee self-service access to P60s is unchanged.</t>
        </is>
      </c>
      <c r="E4" t="inlineStr">
        <is>
          <t>Payroll</t>
        </is>
      </c>
      <c r="F4" t="inlineStr">
        <is>
          <t>Statutory Reporting</t>
        </is>
      </c>
      <c r="G4" t="inlineStr">
        <is>
          <t>UI</t>
        </is>
      </c>
      <c r="H4" t="inlineStr">
        <is>
          <t>UK_EOY_REPORTS</t>
        </is>
      </c>
      <c r="I4" t="inlineStr"/>
      <c r="J4" t="inlineStr">
        <is>
          <t>UK Statutory</t>
        </is>
      </c>
      <c r="K4" t="inlineStr">
        <is>
          <t>N</t>
        </is>
      </c>
      <c r="L4" t="inlineStr">
        <is>
          <t>Y</t>
        </is>
      </c>
      <c r="M4" t="inlineStr">
        <is>
          <t>N</t>
        </is>
      </c>
      <c r="N4" t="inlineStr">
        <is>
          <t>Train payroll team on new Redwood P60/P45 screens</t>
        </is>
      </c>
      <c r="O4" t="inlineStr">
        <is>
          <t>Medium</t>
        </is>
      </c>
      <c r="P4" t="inlineStr">
        <is>
          <t>2025-06-20</t>
        </is>
      </c>
      <c r="Q4" t="inlineStr">
        <is>
          <t>Oracle Fusion 26C Readiness — Payroll</t>
        </is>
      </c>
      <c r="R4" t="inlineStr">
        <is>
          <t>Payroll 26C What's New</t>
        </is>
      </c>
    </row>
    <row r="5">
      <c r="A5" t="inlineStr">
        <is>
          <t>CHG_HR_001</t>
        </is>
      </c>
      <c r="B5" t="inlineStr">
        <is>
          <t>REL_26C</t>
        </is>
      </c>
      <c r="C5" t="inlineStr">
        <is>
          <t>Global HR — Person REST API v2 Breaking Change</t>
        </is>
      </c>
      <c r="D5" t="inlineStr">
        <is>
          <t>The /hcmRestApi/resources/11.13.18.05/workers endpoint introduces a new required field 'legalEmployerName' in the response schema. DFL's HR integration with the group HR reporting system must be updated to handle this field.</t>
        </is>
      </c>
      <c r="E5" t="inlineStr">
        <is>
          <t>Human Resources</t>
        </is>
      </c>
      <c r="F5" t="inlineStr">
        <is>
          <t>REST APIs</t>
        </is>
      </c>
      <c r="G5" t="inlineStr">
        <is>
          <t>Technical</t>
        </is>
      </c>
      <c r="H5" t="inlineStr"/>
      <c r="I5" t="inlineStr">
        <is>
          <t>HCM REST /workers v2</t>
        </is>
      </c>
      <c r="J5" t="inlineStr"/>
      <c r="K5" t="inlineStr">
        <is>
          <t>N</t>
        </is>
      </c>
      <c r="L5" t="inlineStr">
        <is>
          <t>N</t>
        </is>
      </c>
      <c r="M5" t="inlineStr">
        <is>
          <t>N</t>
        </is>
      </c>
      <c r="N5" t="inlineStr">
        <is>
          <t>Update HR integration consumer code to handle new 'legalEmployerName' field</t>
        </is>
      </c>
      <c r="O5" t="inlineStr">
        <is>
          <t>High</t>
        </is>
      </c>
      <c r="P5" t="inlineStr">
        <is>
          <t>2025-06-20</t>
        </is>
      </c>
      <c r="Q5" t="inlineStr">
        <is>
          <t>Oracle Fusion 26C Readiness — Human Resources</t>
        </is>
      </c>
      <c r="R5" t="inlineStr">
        <is>
          <t>Human Resources 26C What's New</t>
        </is>
      </c>
    </row>
    <row r="6">
      <c r="A6" t="inlineStr">
        <is>
          <t>CHG_HR_002</t>
        </is>
      </c>
      <c r="B6" t="inlineStr">
        <is>
          <t>REL_26C</t>
        </is>
      </c>
      <c r="C6" t="inlineStr">
        <is>
          <t>Employment Contract Type — New Field for Zero-Hours Contracts</t>
        </is>
      </c>
      <c r="D6" t="inlineStr">
        <is>
          <t>New 'ZeroHoursIndicator' field added to Employment Contracts to support UK employment law compliance for zero-hours contract workers. DFL employs casual funeral assistants on zero-hours contracts and must configure this field and update HR data for compliance.</t>
        </is>
      </c>
      <c r="E6" t="inlineStr">
        <is>
          <t>Human Resources</t>
        </is>
      </c>
      <c r="F6" t="inlineStr">
        <is>
          <t>Employment Contracts</t>
        </is>
      </c>
      <c r="G6" t="inlineStr">
        <is>
          <t>Functional</t>
        </is>
      </c>
      <c r="H6" t="inlineStr">
        <is>
          <t>PER_EMPLOYMENT_CONTRACT</t>
        </is>
      </c>
      <c r="I6" t="inlineStr"/>
      <c r="J6" t="inlineStr">
        <is>
          <t>UK Employment</t>
        </is>
      </c>
      <c r="K6" t="inlineStr">
        <is>
          <t>N</t>
        </is>
      </c>
      <c r="L6" t="inlineStr">
        <is>
          <t>Y</t>
        </is>
      </c>
      <c r="M6" t="inlineStr">
        <is>
          <t>N</t>
        </is>
      </c>
      <c r="N6" t="inlineStr">
        <is>
          <t>Configure ZeroHoursIndicator — update data for ~320 casual employees</t>
        </is>
      </c>
      <c r="O6" t="inlineStr">
        <is>
          <t>High</t>
        </is>
      </c>
      <c r="P6" t="inlineStr">
        <is>
          <t>2025-06-20</t>
        </is>
      </c>
      <c r="Q6" t="inlineStr">
        <is>
          <t>Oracle Fusion 26C Readiness — Human Resources</t>
        </is>
      </c>
      <c r="R6" t="inlineStr">
        <is>
          <t>Human Resources 26C What's New</t>
        </is>
      </c>
    </row>
    <row r="7">
      <c r="A7" t="inlineStr">
        <is>
          <t>CHG_HR_003</t>
        </is>
      </c>
      <c r="B7" t="inlineStr">
        <is>
          <t>REL_26C</t>
        </is>
      </c>
      <c r="C7" t="inlineStr">
        <is>
          <t>Redwood People Management — Manager Self-Service Migration</t>
        </is>
      </c>
      <c r="D7" t="inlineStr">
        <is>
          <t>Manager self-service pages for viewing team, managing direct reports, and approving HR transactions migrated to Redwood UX. DFL's 400+ branch managers will see a redesigned interface. Training and comms required.</t>
        </is>
      </c>
      <c r="E7" t="inlineStr">
        <is>
          <t>Human Resources</t>
        </is>
      </c>
      <c r="F7" t="inlineStr">
        <is>
          <t>Manager Self-Service</t>
        </is>
      </c>
      <c r="G7" t="inlineStr">
        <is>
          <t>UI</t>
        </is>
      </c>
      <c r="H7" t="inlineStr"/>
      <c r="I7" t="inlineStr"/>
      <c r="J7" t="inlineStr">
        <is>
          <t>HCM Personalisation</t>
        </is>
      </c>
      <c r="K7" t="inlineStr">
        <is>
          <t>N</t>
        </is>
      </c>
      <c r="L7" t="inlineStr">
        <is>
          <t>N</t>
        </is>
      </c>
      <c r="M7" t="inlineStr">
        <is>
          <t>N</t>
        </is>
      </c>
      <c r="N7" t="inlineStr">
        <is>
          <t>Update manager training materials; communicate UI change to branch managers</t>
        </is>
      </c>
      <c r="O7" t="inlineStr">
        <is>
          <t>Medium</t>
        </is>
      </c>
      <c r="P7" t="inlineStr">
        <is>
          <t>2025-06-20</t>
        </is>
      </c>
      <c r="Q7" t="inlineStr">
        <is>
          <t>Oracle Fusion 26C Readiness — Human Resources</t>
        </is>
      </c>
      <c r="R7" t="inlineStr">
        <is>
          <t>Human Resources 26C What's New</t>
        </is>
      </c>
    </row>
    <row r="8">
      <c r="A8" t="inlineStr">
        <is>
          <t>CHG_ABS_001</t>
        </is>
      </c>
      <c r="B8" t="inlineStr">
        <is>
          <t>REL_26C</t>
        </is>
      </c>
      <c r="C8" t="inlineStr">
        <is>
          <t>Absence Plan Accrual — Enhanced Carry Forward Limits</t>
        </is>
      </c>
      <c r="D8" t="inlineStr">
        <is>
          <t>New configuration options for absence plan carry-forward limits with automatic expiry rules. DFL's annual leave plans (25 days standard, 28 days for senior staff) may need configuration review to ensure carry-forward rules remain compliant with DFL policy.</t>
        </is>
      </c>
      <c r="E8" t="inlineStr">
        <is>
          <t>Absence Management</t>
        </is>
      </c>
      <c r="F8" t="inlineStr">
        <is>
          <t>Absence Plans</t>
        </is>
      </c>
      <c r="G8" t="inlineStr">
        <is>
          <t>Functional</t>
        </is>
      </c>
      <c r="H8" t="inlineStr">
        <is>
          <t>ANC_PLAN_ACCRUALS</t>
        </is>
      </c>
      <c r="I8" t="inlineStr"/>
      <c r="J8" t="inlineStr">
        <is>
          <t>Absence Configuration</t>
        </is>
      </c>
      <c r="K8" t="inlineStr">
        <is>
          <t>N</t>
        </is>
      </c>
      <c r="L8" t="inlineStr">
        <is>
          <t>Y</t>
        </is>
      </c>
      <c r="M8" t="inlineStr">
        <is>
          <t>N</t>
        </is>
      </c>
      <c r="N8" t="inlineStr">
        <is>
          <t>Review DFL annual leave carry-forward configuration for 26C compatibility</t>
        </is>
      </c>
      <c r="O8" t="inlineStr">
        <is>
          <t>Medium</t>
        </is>
      </c>
      <c r="P8" t="inlineStr">
        <is>
          <t>2025-06-20</t>
        </is>
      </c>
      <c r="Q8" t="inlineStr">
        <is>
          <t>Oracle Fusion 26C Readiness — Absence Management</t>
        </is>
      </c>
      <c r="R8" t="inlineStr">
        <is>
          <t>Absence Management 26C What's New</t>
        </is>
      </c>
    </row>
    <row r="9">
      <c r="A9" t="inlineStr">
        <is>
          <t>CHG_ABS_002</t>
        </is>
      </c>
      <c r="B9" t="inlineStr">
        <is>
          <t>REL_26C</t>
        </is>
      </c>
      <c r="C9" t="inlineStr">
        <is>
          <t>Bereavement Leave — New Statutory Type Support</t>
        </is>
      </c>
      <c r="D9" t="inlineStr">
        <is>
          <t>New absence type template for statutory bereavement leave (Parental Bereavement Leave, extended bereavement). Given DFL's nature as a bereavement services company, correct configuration is essential. Oracle adds support for 'Day One Right' bereavement leave types.</t>
        </is>
      </c>
      <c r="E9" t="inlineStr">
        <is>
          <t>Absence Management</t>
        </is>
      </c>
      <c r="F9" t="inlineStr">
        <is>
          <t>Absence Types</t>
        </is>
      </c>
      <c r="G9" t="inlineStr">
        <is>
          <t>Functional</t>
        </is>
      </c>
      <c r="H9" t="inlineStr">
        <is>
          <t>ANC_ABSENCE_TYPES</t>
        </is>
      </c>
      <c r="I9" t="inlineStr"/>
      <c r="J9" t="inlineStr">
        <is>
          <t>Absence Configuration</t>
        </is>
      </c>
      <c r="K9" t="inlineStr">
        <is>
          <t>N</t>
        </is>
      </c>
      <c r="L9" t="inlineStr">
        <is>
          <t>Y</t>
        </is>
      </c>
      <c r="M9" t="inlineStr">
        <is>
          <t>N</t>
        </is>
      </c>
      <c r="N9" t="inlineStr">
        <is>
          <t>Configure new statutory bereavement leave types; review DFL bereavement policy alignment</t>
        </is>
      </c>
      <c r="O9" t="inlineStr">
        <is>
          <t>High</t>
        </is>
      </c>
      <c r="P9" t="inlineStr">
        <is>
          <t>2025-06-20</t>
        </is>
      </c>
      <c r="Q9" t="inlineStr">
        <is>
          <t>Oracle Fusion 26C Readiness — Absence Management</t>
        </is>
      </c>
      <c r="R9" t="inlineStr">
        <is>
          <t>Absence Management 26C What's New</t>
        </is>
      </c>
    </row>
    <row r="10">
      <c r="A10" t="inlineStr">
        <is>
          <t>CHG_TL_001</t>
        </is>
      </c>
      <c r="B10" t="inlineStr">
        <is>
          <t>REL_26C</t>
        </is>
      </c>
      <c r="C10" t="inlineStr">
        <is>
          <t>Time Card — Shift Differential Auto-Calculation Enhancement</t>
        </is>
      </c>
      <c r="D10" t="inlineStr">
        <is>
          <t>Enhanced shift differential auto-calculation for multi-day time cards, including overnight funeral director duty shifts. DFL's time recording for 24/7 on-call funeral directors benefits from this change but requires configuration validation.</t>
        </is>
      </c>
      <c r="E10" t="inlineStr">
        <is>
          <t>Time and Labor</t>
        </is>
      </c>
      <c r="F10" t="inlineStr">
        <is>
          <t>Time Card Processing</t>
        </is>
      </c>
      <c r="G10" t="inlineStr">
        <is>
          <t>Functional</t>
        </is>
      </c>
      <c r="H10" t="inlineStr">
        <is>
          <t>OTL_TIMECARD</t>
        </is>
      </c>
      <c r="I10" t="inlineStr"/>
      <c r="J10" t="inlineStr">
        <is>
          <t>Time &amp; Labor Config</t>
        </is>
      </c>
      <c r="K10" t="inlineStr">
        <is>
          <t>N</t>
        </is>
      </c>
      <c r="L10" t="inlineStr">
        <is>
          <t>N</t>
        </is>
      </c>
      <c r="M10" t="inlineStr">
        <is>
          <t>N</t>
        </is>
      </c>
      <c r="N10" t="inlineStr">
        <is>
          <t>Validate shift differential calculations for on-call funeral directors in UAT</t>
        </is>
      </c>
      <c r="O10" t="inlineStr">
        <is>
          <t>Medium</t>
        </is>
      </c>
      <c r="P10" t="inlineStr">
        <is>
          <t>2025-06-20</t>
        </is>
      </c>
      <c r="Q10" t="inlineStr">
        <is>
          <t>Oracle Fusion 26C Readiness — Time and Labor</t>
        </is>
      </c>
      <c r="R10" t="inlineStr">
        <is>
          <t>Time and Labor 26C What's New</t>
        </is>
      </c>
    </row>
    <row r="11">
      <c r="A11" t="inlineStr">
        <is>
          <t>CHG_WFS_001</t>
        </is>
      </c>
      <c r="B11" t="inlineStr">
        <is>
          <t>REL_26C</t>
        </is>
      </c>
      <c r="C11" t="inlineStr">
        <is>
          <t>Workforce Scheduling — On-Call Rota AI Suggestions</t>
        </is>
      </c>
      <c r="D11" t="inlineStr">
        <is>
          <t>New AI-assisted on-call rota scheduling suggests optimal coverage based on historical demand patterns. For DFL this could optimise funeral director on-call rotas across 500 branches. Feature requires opt-in configuration.</t>
        </is>
      </c>
      <c r="E11" t="inlineStr">
        <is>
          <t>Workforce Scheduling</t>
        </is>
      </c>
      <c r="F11" t="inlineStr">
        <is>
          <t>Rota Management</t>
        </is>
      </c>
      <c r="G11" t="inlineStr">
        <is>
          <t>AI Feature</t>
        </is>
      </c>
      <c r="H11" t="inlineStr"/>
      <c r="I11" t="inlineStr"/>
      <c r="J11" t="inlineStr">
        <is>
          <t>Scheduling Configuration</t>
        </is>
      </c>
      <c r="K11" t="inlineStr">
        <is>
          <t>N</t>
        </is>
      </c>
      <c r="L11" t="inlineStr">
        <is>
          <t>N</t>
        </is>
      </c>
      <c r="M11" t="inlineStr">
        <is>
          <t>N</t>
        </is>
      </c>
      <c r="N11" t="inlineStr">
        <is>
          <t>Evaluate AI rota suggestions feature for DFL operational use; configure if beneficial</t>
        </is>
      </c>
      <c r="O11" t="inlineStr">
        <is>
          <t>Low</t>
        </is>
      </c>
      <c r="P11" t="inlineStr">
        <is>
          <t>2025-06-20</t>
        </is>
      </c>
      <c r="Q11" t="inlineStr">
        <is>
          <t>Oracle Fusion 26C Readiness — Workforce Scheduling</t>
        </is>
      </c>
      <c r="R11" t="inlineStr">
        <is>
          <t>Workforce Scheduling 26C What's New</t>
        </is>
      </c>
    </row>
    <row r="12">
      <c r="A12" t="inlineStr">
        <is>
          <t>CHG_FIN_001</t>
        </is>
      </c>
      <c r="B12" t="inlineStr">
        <is>
          <t>REL_26C</t>
        </is>
      </c>
      <c r="C12" t="inlineStr">
        <is>
          <t>Accounts Payable — Invoice AI Matching Enhancement</t>
        </is>
      </c>
      <c r="D12" t="inlineStr">
        <is>
          <t>AI-powered invoice-to-PO matching now supports multi-line partial PO matching for service-based invoices. DFL processes high volumes of supplier invoices for funeral supplies (caskets, flowers, embalming materials). This will improve match rates for split deliveries.</t>
        </is>
      </c>
      <c r="E12" t="inlineStr">
        <is>
          <t>Financials</t>
        </is>
      </c>
      <c r="F12" t="inlineStr">
        <is>
          <t>Accounts Payable</t>
        </is>
      </c>
      <c r="G12" t="inlineStr">
        <is>
          <t>AI Feature</t>
        </is>
      </c>
      <c r="H12" t="inlineStr">
        <is>
          <t>AP_INVOICES</t>
        </is>
      </c>
      <c r="I12" t="inlineStr"/>
      <c r="J12" t="inlineStr">
        <is>
          <t>AP Matching</t>
        </is>
      </c>
      <c r="K12" t="inlineStr">
        <is>
          <t>N</t>
        </is>
      </c>
      <c r="L12" t="inlineStr">
        <is>
          <t>N</t>
        </is>
      </c>
      <c r="M12" t="inlineStr">
        <is>
          <t>N</t>
        </is>
      </c>
      <c r="N12" t="inlineStr">
        <is>
          <t>Configure AI matching tolerance for DFL supplier invoice patterns; test against top 20 suppliers</t>
        </is>
      </c>
      <c r="O12" t="inlineStr">
        <is>
          <t>Medium</t>
        </is>
      </c>
      <c r="P12" t="inlineStr">
        <is>
          <t>2025-06-20</t>
        </is>
      </c>
      <c r="Q12" t="inlineStr">
        <is>
          <t>Oracle Fusion 26C Readiness — Financials</t>
        </is>
      </c>
      <c r="R12" t="inlineStr">
        <is>
          <t>Financials 26C What's New</t>
        </is>
      </c>
    </row>
    <row r="13">
      <c r="A13" t="inlineStr">
        <is>
          <t>CHG_FIN_002</t>
        </is>
      </c>
      <c r="B13" t="inlineStr">
        <is>
          <t>REL_26C</t>
        </is>
      </c>
      <c r="C13" t="inlineStr">
        <is>
          <t>General Ledger — Period Close Redwood UI Migration</t>
        </is>
      </c>
      <c r="D13" t="inlineStr">
        <is>
          <t>Month-end and period close tasks migrated to Redwood interface. DFL's finance team (centralised at Sutton Coldfield HQ) will encounter a new period close checklist interface. Monthly close processes across 500 trading entities should be tested end-to-end.</t>
        </is>
      </c>
      <c r="E13" t="inlineStr">
        <is>
          <t>Financials</t>
        </is>
      </c>
      <c r="F13" t="inlineStr">
        <is>
          <t>General Ledger</t>
        </is>
      </c>
      <c r="G13" t="inlineStr">
        <is>
          <t>UI</t>
        </is>
      </c>
      <c r="H13" t="inlineStr">
        <is>
          <t>GL_PERIOD_CLOSE</t>
        </is>
      </c>
      <c r="I13" t="inlineStr"/>
      <c r="J13" t="inlineStr">
        <is>
          <t>GL Configuration</t>
        </is>
      </c>
      <c r="K13" t="inlineStr">
        <is>
          <t>N</t>
        </is>
      </c>
      <c r="L13" t="inlineStr">
        <is>
          <t>N</t>
        </is>
      </c>
      <c r="M13" t="inlineStr">
        <is>
          <t>N</t>
        </is>
      </c>
      <c r="N13" t="inlineStr">
        <is>
          <t>Train finance team on new Redwood period close UI; run month-end simulation in UAT</t>
        </is>
      </c>
      <c r="O13" t="inlineStr">
        <is>
          <t>High</t>
        </is>
      </c>
      <c r="P13" t="inlineStr">
        <is>
          <t>2025-06-20</t>
        </is>
      </c>
      <c r="Q13" t="inlineStr">
        <is>
          <t>Oracle Fusion 26C Readiness — Financials</t>
        </is>
      </c>
      <c r="R13" t="inlineStr">
        <is>
          <t>Financials 26C What's New</t>
        </is>
      </c>
    </row>
    <row r="14">
      <c r="A14" t="inlineStr">
        <is>
          <t>CHG_FIN_003</t>
        </is>
      </c>
      <c r="B14" t="inlineStr">
        <is>
          <t>REL_26C</t>
        </is>
      </c>
      <c r="C14" t="inlineStr">
        <is>
          <t>Fixed Assets — Depreciation Schedule API Deprecation</t>
        </is>
      </c>
      <c r="D14" t="inlineStr">
        <is>
          <t>The legacy SOAP-based Fixed Assets depreciation schedule API (/FinancialCommonErpIntegration/FixedAssets) is deprecated in 26C and will be removed in 27A. DFL's asset register integration must migrate to the REST API equivalent.</t>
        </is>
      </c>
      <c r="E14" t="inlineStr">
        <is>
          <t>Financials</t>
        </is>
      </c>
      <c r="F14" t="inlineStr">
        <is>
          <t>Fixed Assets</t>
        </is>
      </c>
      <c r="G14" t="inlineStr">
        <is>
          <t>Technical</t>
        </is>
      </c>
      <c r="H14" t="inlineStr">
        <is>
          <t>FA_DEPRECIATION_API</t>
        </is>
      </c>
      <c r="I14" t="inlineStr">
        <is>
          <t>FixedAssets SOAP → REST migration</t>
        </is>
      </c>
      <c r="J14" t="inlineStr"/>
      <c r="K14" t="inlineStr">
        <is>
          <t>N</t>
        </is>
      </c>
      <c r="L14" t="inlineStr">
        <is>
          <t>N</t>
        </is>
      </c>
      <c r="M14" t="inlineStr">
        <is>
          <t>Y</t>
        </is>
      </c>
      <c r="N14" t="inlineStr">
        <is>
          <t>URGENT: Migrate Fixed Assets SOAP integration to REST before 27A (target: 26C UAT)</t>
        </is>
      </c>
      <c r="O14" t="inlineStr">
        <is>
          <t>Critical</t>
        </is>
      </c>
      <c r="P14" t="inlineStr">
        <is>
          <t>2025-06-20</t>
        </is>
      </c>
      <c r="Q14" t="inlineStr">
        <is>
          <t>Oracle Fusion 26C Readiness — Financials</t>
        </is>
      </c>
      <c r="R14" t="inlineStr">
        <is>
          <t>Financials 26C What's New</t>
        </is>
      </c>
    </row>
    <row r="15">
      <c r="A15" t="inlineStr">
        <is>
          <t>CHG_FIN_004</t>
        </is>
      </c>
      <c r="B15" t="inlineStr">
        <is>
          <t>REL_26C</t>
        </is>
      </c>
      <c r="C15" t="inlineStr">
        <is>
          <t>Revenue Management — Performance Obligation Identification Enhancement</t>
        </is>
      </c>
      <c r="D15" t="inlineStr">
        <is>
          <t>Enhanced rules engine for IFRS 15 / ASC 606 performance obligation identification. DFL's funeral package revenue recognition (bundled at-need and pre-need funeral plans) may be impacted by new identification logic. Finance team review required.</t>
        </is>
      </c>
      <c r="E15" t="inlineStr">
        <is>
          <t>Financials</t>
        </is>
      </c>
      <c r="F15" t="inlineStr">
        <is>
          <t>Revenue Management</t>
        </is>
      </c>
      <c r="G15" t="inlineStr">
        <is>
          <t>Functional</t>
        </is>
      </c>
      <c r="H15" t="inlineStr">
        <is>
          <t>ORA_REVENUE_MGMT</t>
        </is>
      </c>
      <c r="I15" t="inlineStr"/>
      <c r="J15" t="inlineStr">
        <is>
          <t>Revenue Configuration</t>
        </is>
      </c>
      <c r="K15" t="inlineStr">
        <is>
          <t>N</t>
        </is>
      </c>
      <c r="L15" t="inlineStr">
        <is>
          <t>Y</t>
        </is>
      </c>
      <c r="M15" t="inlineStr">
        <is>
          <t>N</t>
        </is>
      </c>
      <c r="N15" t="inlineStr">
        <is>
          <t>Review funeral package revenue recognition templates for IFRS 15 compliance under new rules</t>
        </is>
      </c>
      <c r="O15" t="inlineStr">
        <is>
          <t>High</t>
        </is>
      </c>
      <c r="P15" t="inlineStr">
        <is>
          <t>2025-06-20</t>
        </is>
      </c>
      <c r="Q15" t="inlineStr">
        <is>
          <t>Oracle Fusion 26C Readiness — Financials</t>
        </is>
      </c>
      <c r="R15" t="inlineStr">
        <is>
          <t>Financials 26C What's New</t>
        </is>
      </c>
    </row>
    <row r="16">
      <c r="A16" t="inlineStr">
        <is>
          <t>CHG_FIN_005</t>
        </is>
      </c>
      <c r="B16" t="inlineStr">
        <is>
          <t>REL_26C</t>
        </is>
      </c>
      <c r="C16" t="inlineStr">
        <is>
          <t>Accounts Receivable — Pre-need Funeral Plan Deferred Revenue Tracking</t>
        </is>
      </c>
      <c r="D16" t="inlineStr">
        <is>
          <t>New deferred revenue tracking capability for long-term advance payment contracts. Highly relevant for DFL's pre-need funeral plans (e.g. Golden Charter, Dignity Plans) where funds are held in trust. New reporting visibility improves statutory compliance.</t>
        </is>
      </c>
      <c r="E16" t="inlineStr">
        <is>
          <t>Financials</t>
        </is>
      </c>
      <c r="F16" t="inlineStr">
        <is>
          <t>Accounts Receivable</t>
        </is>
      </c>
      <c r="G16" t="inlineStr">
        <is>
          <t>Functional</t>
        </is>
      </c>
      <c r="H16" t="inlineStr">
        <is>
          <t>AR_DEFERRED_REVENUE</t>
        </is>
      </c>
      <c r="I16" t="inlineStr"/>
      <c r="J16" t="inlineStr">
        <is>
          <t>AR Configuration</t>
        </is>
      </c>
      <c r="K16" t="inlineStr">
        <is>
          <t>N</t>
        </is>
      </c>
      <c r="L16" t="inlineStr">
        <is>
          <t>Y</t>
        </is>
      </c>
      <c r="M16" t="inlineStr">
        <is>
          <t>N</t>
        </is>
      </c>
      <c r="N16" t="inlineStr">
        <is>
          <t>Configure deferred revenue tracking for DFL pre-need plans; align with trust accounting</t>
        </is>
      </c>
      <c r="O16" t="inlineStr">
        <is>
          <t>Medium</t>
        </is>
      </c>
      <c r="P16" t="inlineStr">
        <is>
          <t>2025-06-20</t>
        </is>
      </c>
      <c r="Q16" t="inlineStr">
        <is>
          <t>Oracle Fusion 26C Readiness — Financials</t>
        </is>
      </c>
      <c r="R16" t="inlineStr">
        <is>
          <t>Financials 26C What's New</t>
        </is>
      </c>
    </row>
    <row r="17">
      <c r="A17" t="inlineStr">
        <is>
          <t>CHG_PRC_001</t>
        </is>
      </c>
      <c r="B17" t="inlineStr">
        <is>
          <t>REL_26C</t>
        </is>
      </c>
      <c r="C17" t="inlineStr">
        <is>
          <t>Purchasing — Supplier Portal Redwood Migration</t>
        </is>
      </c>
      <c r="D17" t="inlineStr">
        <is>
          <t>Supplier portal fully migrated to Redwood UX. DFL's ~2,000 active suppliers (coffin manufacturers, florists, embalming suppliers, crematoria) will experience a new portal interface. Supplier onboarding and invoice submission workflows must be tested.</t>
        </is>
      </c>
      <c r="E17" t="inlineStr">
        <is>
          <t>Procurement</t>
        </is>
      </c>
      <c r="F17" t="inlineStr">
        <is>
          <t>Supplier Management</t>
        </is>
      </c>
      <c r="G17" t="inlineStr">
        <is>
          <t>UI</t>
        </is>
      </c>
      <c r="H17" t="inlineStr">
        <is>
          <t>PO_SUPPLIER_PORTAL</t>
        </is>
      </c>
      <c r="I17" t="inlineStr"/>
      <c r="J17" t="inlineStr">
        <is>
          <t>Procurement Configuration</t>
        </is>
      </c>
      <c r="K17" t="inlineStr">
        <is>
          <t>N</t>
        </is>
      </c>
      <c r="L17" t="inlineStr">
        <is>
          <t>N</t>
        </is>
      </c>
      <c r="M17" t="inlineStr">
        <is>
          <t>N</t>
        </is>
      </c>
      <c r="N17" t="inlineStr">
        <is>
          <t>Communicate Redwood portal change to key suppliers; update supplier onboarding guides</t>
        </is>
      </c>
      <c r="O17" t="inlineStr">
        <is>
          <t>Medium</t>
        </is>
      </c>
      <c r="P17" t="inlineStr">
        <is>
          <t>2025-06-20</t>
        </is>
      </c>
      <c r="Q17" t="inlineStr">
        <is>
          <t>Oracle Fusion 26C Readiness — Procurement</t>
        </is>
      </c>
      <c r="R17" t="inlineStr">
        <is>
          <t>Procurement 26C What's New</t>
        </is>
      </c>
    </row>
    <row r="18">
      <c r="A18" t="inlineStr">
        <is>
          <t>CHG_PRC_002</t>
        </is>
      </c>
      <c r="B18" t="inlineStr">
        <is>
          <t>REL_26C</t>
        </is>
      </c>
      <c r="C18" t="inlineStr">
        <is>
          <t>Contract Management — AI Contract Analysis (Opt-In)</t>
        </is>
      </c>
      <c r="D18" t="inlineStr">
        <is>
          <t>New AI-powered contract analysis feature identifies risk clauses and obligation summaries for procurement contracts. Opt-in feature requiring configuration. DFL's legal and procurement teams manage 500+ supplier contracts; AI analysis could accelerate contract reviews.</t>
        </is>
      </c>
      <c r="E18" t="inlineStr">
        <is>
          <t>Procurement</t>
        </is>
      </c>
      <c r="F18" t="inlineStr">
        <is>
          <t>Contract Management</t>
        </is>
      </c>
      <c r="G18" t="inlineStr">
        <is>
          <t>AI Feature</t>
        </is>
      </c>
      <c r="H18" t="inlineStr"/>
      <c r="I18" t="inlineStr"/>
      <c r="J18" t="inlineStr">
        <is>
          <t>Contract Config</t>
        </is>
      </c>
      <c r="K18" t="inlineStr">
        <is>
          <t>N</t>
        </is>
      </c>
      <c r="L18" t="inlineStr">
        <is>
          <t>N</t>
        </is>
      </c>
      <c r="M18" t="inlineStr">
        <is>
          <t>N</t>
        </is>
      </c>
      <c r="N18" t="inlineStr">
        <is>
          <t>Evaluate AI contract analysis for DFL; seek legal and IT security sign-off before enabling</t>
        </is>
      </c>
      <c r="O18" t="inlineStr">
        <is>
          <t>Low</t>
        </is>
      </c>
      <c r="P18" t="inlineStr">
        <is>
          <t>2025-06-20</t>
        </is>
      </c>
      <c r="Q18" t="inlineStr">
        <is>
          <t>Oracle Fusion 26C Readiness — Procurement</t>
        </is>
      </c>
      <c r="R18" t="inlineStr">
        <is>
          <t>Procurement 26C What's New</t>
        </is>
      </c>
    </row>
    <row r="19">
      <c r="A19" t="inlineStr">
        <is>
          <t>CHG_PM_001</t>
        </is>
      </c>
      <c r="B19" t="inlineStr">
        <is>
          <t>REL_26C</t>
        </is>
      </c>
      <c r="C19" t="inlineStr">
        <is>
          <t>Project Costing — Funeral Branch Renovation Project Templates</t>
        </is>
      </c>
      <c r="D19" t="inlineStr">
        <is>
          <t>Enhanced project template capabilities supporting multi-phase capital projects. DFL's ongoing branch refurbishment programme (50+ branches p.a.) uses Oracle Project Management to track renovation costs. New template enhancements streamline project setup.</t>
        </is>
      </c>
      <c r="E19" t="inlineStr">
        <is>
          <t>Project Management</t>
        </is>
      </c>
      <c r="F19" t="inlineStr">
        <is>
          <t>Project Costing</t>
        </is>
      </c>
      <c r="G19" t="inlineStr">
        <is>
          <t>Functional</t>
        </is>
      </c>
      <c r="H19" t="inlineStr">
        <is>
          <t>PJC_PROJECTS</t>
        </is>
      </c>
      <c r="I19" t="inlineStr"/>
      <c r="J19" t="inlineStr">
        <is>
          <t>Project Config</t>
        </is>
      </c>
      <c r="K19" t="inlineStr">
        <is>
          <t>N</t>
        </is>
      </c>
      <c r="L19" t="inlineStr">
        <is>
          <t>N</t>
        </is>
      </c>
      <c r="M19" t="inlineStr">
        <is>
          <t>N</t>
        </is>
      </c>
      <c r="N19" t="inlineStr">
        <is>
          <t>Review project template configurations for branch refurbishment programme</t>
        </is>
      </c>
      <c r="O19" t="inlineStr">
        <is>
          <t>Low</t>
        </is>
      </c>
      <c r="P19" t="inlineStr">
        <is>
          <t>2025-06-20</t>
        </is>
      </c>
      <c r="Q19" t="inlineStr">
        <is>
          <t>Oracle Fusion 26C Readiness — Project Management</t>
        </is>
      </c>
      <c r="R19" t="inlineStr">
        <is>
          <t>Project Management 26C What's New</t>
        </is>
      </c>
    </row>
    <row r="20">
      <c r="A20" t="inlineStr">
        <is>
          <t>CHG_INV_001</t>
        </is>
      </c>
      <c r="B20" t="inlineStr">
        <is>
          <t>REL_26C</t>
        </is>
      </c>
      <c r="C20" t="inlineStr">
        <is>
          <t>Inventory Management — Lot/Serial Number Tracking Enhancement</t>
        </is>
      </c>
      <c r="D20" t="inlineStr">
        <is>
          <t>Enhanced lot and serial number tracking for regulated inventory items. DFL tracks certain embalming chemicals and medical-grade supplies by lot number for regulatory compliance. Improved tracking reduces reconciliation effort.</t>
        </is>
      </c>
      <c r="E20" t="inlineStr">
        <is>
          <t>Inventory Management</t>
        </is>
      </c>
      <c r="F20" t="inlineStr">
        <is>
          <t>Inventory Tracking</t>
        </is>
      </c>
      <c r="G20" t="inlineStr">
        <is>
          <t>Functional</t>
        </is>
      </c>
      <c r="H20" t="inlineStr">
        <is>
          <t>INV_LOT_TRACKING</t>
        </is>
      </c>
      <c r="I20" t="inlineStr"/>
      <c r="J20" t="inlineStr">
        <is>
          <t>Inventory Configuration</t>
        </is>
      </c>
      <c r="K20" t="inlineStr">
        <is>
          <t>N</t>
        </is>
      </c>
      <c r="L20" t="inlineStr">
        <is>
          <t>Y</t>
        </is>
      </c>
      <c r="M20" t="inlineStr">
        <is>
          <t>N</t>
        </is>
      </c>
      <c r="N20" t="inlineStr">
        <is>
          <t>Configure lot tracking for regulated embalming supplies; validate COSHH compliance data</t>
        </is>
      </c>
      <c r="O20" t="inlineStr">
        <is>
          <t>Medium</t>
        </is>
      </c>
      <c r="P20" t="inlineStr">
        <is>
          <t>2025-06-20</t>
        </is>
      </c>
      <c r="Q20" t="inlineStr">
        <is>
          <t>Oracle Fusion 26C Readiness — Inventory Management</t>
        </is>
      </c>
      <c r="R20" t="inlineStr">
        <is>
          <t>Inventory Management 26C What's New</t>
        </is>
      </c>
    </row>
    <row r="21">
      <c r="A21" t="inlineStr">
        <is>
          <t>CHG_INV_002</t>
        </is>
      </c>
      <c r="B21" t="inlineStr">
        <is>
          <t>REL_26C</t>
        </is>
      </c>
      <c r="C21" t="inlineStr">
        <is>
          <t>Inventory Replenishment — AI Demand Forecasting</t>
        </is>
      </c>
      <c r="D21" t="inlineStr">
        <is>
          <t>New AI demand forecasting for inventory replenishment planning. For DFL, this could predict seasonal demand for funeral supplies (higher winter demand). Opt-in feature requiring ML model training on DFL historical data.</t>
        </is>
      </c>
      <c r="E21" t="inlineStr">
        <is>
          <t>Inventory Management</t>
        </is>
      </c>
      <c r="F21" t="inlineStr">
        <is>
          <t>Replenishment</t>
        </is>
      </c>
      <c r="G21" t="inlineStr">
        <is>
          <t>AI Feature</t>
        </is>
      </c>
      <c r="H21" t="inlineStr"/>
      <c r="I21" t="inlineStr"/>
      <c r="J21" t="inlineStr">
        <is>
          <t>Inventory Config</t>
        </is>
      </c>
      <c r="K21" t="inlineStr">
        <is>
          <t>N</t>
        </is>
      </c>
      <c r="L21" t="inlineStr">
        <is>
          <t>N</t>
        </is>
      </c>
      <c r="M21" t="inlineStr">
        <is>
          <t>N</t>
        </is>
      </c>
      <c r="N21" t="inlineStr">
        <is>
          <t>Evaluate AI demand forecasting; assess data quality requirements before enabling</t>
        </is>
      </c>
      <c r="O21" t="inlineStr">
        <is>
          <t>Low</t>
        </is>
      </c>
      <c r="P21" t="inlineStr">
        <is>
          <t>2025-06-20</t>
        </is>
      </c>
      <c r="Q21" t="inlineStr">
        <is>
          <t>Oracle Fusion 26C Readiness — Inventory Management</t>
        </is>
      </c>
      <c r="R21" t="inlineStr">
        <is>
          <t>Inventory Management 26C What's New</t>
        </is>
      </c>
    </row>
    <row r="22">
      <c r="A22" t="inlineStr">
        <is>
          <t>CHG_OM_001</t>
        </is>
      </c>
      <c r="B22" t="inlineStr">
        <is>
          <t>REL_26C</t>
        </is>
      </c>
      <c r="C22" t="inlineStr">
        <is>
          <t>Order Management — Service Order REST API Enhancement</t>
        </is>
      </c>
      <c r="D22" t="inlineStr">
        <is>
          <t>New fields added to the Sales Order REST API for service-type orders, including service delivery date scheduling and location attributes. DFL's funeral case management integration uses Order Management for at-need funeral service orders; API changes need testing.</t>
        </is>
      </c>
      <c r="E22" t="inlineStr">
        <is>
          <t>Order Management</t>
        </is>
      </c>
      <c r="F22" t="inlineStr">
        <is>
          <t>Service Orders</t>
        </is>
      </c>
      <c r="G22" t="inlineStr">
        <is>
          <t>Technical</t>
        </is>
      </c>
      <c r="H22" t="inlineStr"/>
      <c r="I22" t="inlineStr">
        <is>
          <t>OM REST /salesOrders</t>
        </is>
      </c>
      <c r="J22" t="inlineStr"/>
      <c r="K22" t="inlineStr">
        <is>
          <t>N</t>
        </is>
      </c>
      <c r="L22" t="inlineStr">
        <is>
          <t>N</t>
        </is>
      </c>
      <c r="M22" t="inlineStr">
        <is>
          <t>N</t>
        </is>
      </c>
      <c r="N22" t="inlineStr">
        <is>
          <t>Test funeral case management system integration against updated OM REST API schema</t>
        </is>
      </c>
      <c r="O22" t="inlineStr">
        <is>
          <t>High</t>
        </is>
      </c>
      <c r="P22" t="inlineStr">
        <is>
          <t>2025-06-20</t>
        </is>
      </c>
      <c r="Q22" t="inlineStr">
        <is>
          <t>Oracle Fusion 26C Readiness — Order Management</t>
        </is>
      </c>
      <c r="R22" t="inlineStr">
        <is>
          <t>Order Management 26C What's New</t>
        </is>
      </c>
    </row>
    <row r="23">
      <c r="A23" t="inlineStr">
        <is>
          <t>CHG_RCT_001</t>
        </is>
      </c>
      <c r="B23" t="inlineStr">
        <is>
          <t>REL_26C</t>
        </is>
      </c>
      <c r="C23" t="inlineStr">
        <is>
          <t>Recruiting — AI-Assisted Job Description Optimisation</t>
        </is>
      </c>
      <c r="D23" t="inlineStr">
        <is>
          <t>AI-powered job description analysis suggests improvements for diversity and candidate attraction. DFL recruits ~800 funeral directors and support staff annually. AI suggestions on job descriptions could improve candidate quality and diversity metrics.</t>
        </is>
      </c>
      <c r="E23" t="inlineStr">
        <is>
          <t>Recruiting</t>
        </is>
      </c>
      <c r="F23" t="inlineStr">
        <is>
          <t>Job Requisitions</t>
        </is>
      </c>
      <c r="G23" t="inlineStr">
        <is>
          <t>AI Feature</t>
        </is>
      </c>
      <c r="H23" t="inlineStr"/>
      <c r="I23" t="inlineStr"/>
      <c r="J23" t="inlineStr">
        <is>
          <t>Recruiting Config</t>
        </is>
      </c>
      <c r="K23" t="inlineStr">
        <is>
          <t>N</t>
        </is>
      </c>
      <c r="L23" t="inlineStr">
        <is>
          <t>N</t>
        </is>
      </c>
      <c r="M23" t="inlineStr">
        <is>
          <t>N</t>
        </is>
      </c>
      <c r="N23" t="inlineStr">
        <is>
          <t>Enable AI job description optimisation; brief HR team on capabilities and limitations</t>
        </is>
      </c>
      <c r="O23" t="inlineStr">
        <is>
          <t>Low</t>
        </is>
      </c>
      <c r="P23" t="inlineStr">
        <is>
          <t>2025-06-20</t>
        </is>
      </c>
      <c r="Q23" t="inlineStr">
        <is>
          <t>Oracle Fusion 26C Readiness — Recruiting</t>
        </is>
      </c>
      <c r="R23" t="inlineStr">
        <is>
          <t>Recruiting 26C What's New</t>
        </is>
      </c>
    </row>
    <row r="24">
      <c r="A24" t="inlineStr">
        <is>
          <t>CHG_CMP_001</t>
        </is>
      </c>
      <c r="B24" t="inlineStr">
        <is>
          <t>REL_26C</t>
        </is>
      </c>
      <c r="C24" t="inlineStr">
        <is>
          <t>Compensation — Salary Range AI Recommendations</t>
        </is>
      </c>
      <c r="D24" t="inlineStr">
        <is>
          <t>New AI-powered salary range recommendations integrated with Oracle Fusion Compensation benchmarking data. Requires opt-in. DFL can use this to benchmark funeral director and support staff salaries against market data.</t>
        </is>
      </c>
      <c r="E24" t="inlineStr">
        <is>
          <t>Compensation</t>
        </is>
      </c>
      <c r="F24" t="inlineStr">
        <is>
          <t>Salary Management</t>
        </is>
      </c>
      <c r="G24" t="inlineStr">
        <is>
          <t>AI Feature</t>
        </is>
      </c>
      <c r="H24" t="inlineStr"/>
      <c r="I24" t="inlineStr"/>
      <c r="J24" t="inlineStr">
        <is>
          <t>Compensation Config</t>
        </is>
      </c>
      <c r="K24" t="inlineStr">
        <is>
          <t>N</t>
        </is>
      </c>
      <c r="L24" t="inlineStr">
        <is>
          <t>N</t>
        </is>
      </c>
      <c r="M24" t="inlineStr">
        <is>
          <t>N</t>
        </is>
      </c>
      <c r="N24" t="inlineStr">
        <is>
          <t>Review AI salary benchmarking capability; assess data governance requirements</t>
        </is>
      </c>
      <c r="O24" t="inlineStr">
        <is>
          <t>Low</t>
        </is>
      </c>
      <c r="P24" t="inlineStr">
        <is>
          <t>2025-06-20</t>
        </is>
      </c>
      <c r="Q24" t="inlineStr">
        <is>
          <t>Oracle Fusion 26C Readiness — Compensation</t>
        </is>
      </c>
      <c r="R24" t="inlineStr">
        <is>
          <t>Compensation 26C What's New</t>
        </is>
      </c>
    </row>
    <row r="25">
      <c r="A25" t="inlineStr">
        <is>
          <t>CHG_BEN_001</t>
        </is>
      </c>
      <c r="B25" t="inlineStr">
        <is>
          <t>REL_26C</t>
        </is>
      </c>
      <c r="C25" t="inlineStr">
        <is>
          <t>Benefits — Enhanced Life Events Auto-Processing</t>
        </is>
      </c>
      <c r="D25" t="inlineStr">
        <is>
          <t>Automated life event processing now handles 12 additional qualifying life events with configurable enrolment windows. DFL's benefits (life assurance, BUPA, pension top-up) need life event rules reviewed to ensure new event types trigger correct benefit changes.</t>
        </is>
      </c>
      <c r="E25" t="inlineStr">
        <is>
          <t>Benefits</t>
        </is>
      </c>
      <c r="F25" t="inlineStr">
        <is>
          <t>Life Events</t>
        </is>
      </c>
      <c r="G25" t="inlineStr">
        <is>
          <t>Functional</t>
        </is>
      </c>
      <c r="H25" t="inlineStr">
        <is>
          <t>BEN_LIFE_EVENTS</t>
        </is>
      </c>
      <c r="I25" t="inlineStr"/>
      <c r="J25" t="inlineStr">
        <is>
          <t>Benefits Configuration</t>
        </is>
      </c>
      <c r="K25" t="inlineStr">
        <is>
          <t>N</t>
        </is>
      </c>
      <c r="L25" t="inlineStr">
        <is>
          <t>Y</t>
        </is>
      </c>
      <c r="M25" t="inlineStr">
        <is>
          <t>N</t>
        </is>
      </c>
      <c r="N25" t="inlineStr">
        <is>
          <t>Review life event rules for DFL benefit plans; test auto-processing of new event types</t>
        </is>
      </c>
      <c r="O25" t="inlineStr">
        <is>
          <t>Medium</t>
        </is>
      </c>
      <c r="P25" t="inlineStr">
        <is>
          <t>2025-06-20</t>
        </is>
      </c>
      <c r="Q25" t="inlineStr">
        <is>
          <t>Oracle Fusion 26C Readiness — Benefits</t>
        </is>
      </c>
      <c r="R25" t="inlineStr">
        <is>
          <t>Benefits 26C What's New</t>
        </is>
      </c>
    </row>
    <row r="26">
      <c r="A26" t="inlineStr">
        <is>
          <t>CHG_IMP_0001</t>
        </is>
      </c>
      <c r="B26" t="inlineStr">
        <is>
          <t>REL_26C</t>
        </is>
      </c>
      <c r="C26" t="inlineStr">
        <is>
          <t>Accrued Expense Migration for Exempt Payments</t>
        </is>
      </c>
      <c r="D26" t="inlineStr">
        <is>
          <t>Accrued Expense Migration for Exempt Payments. Module: Financials. Release: 26C. Import midlife leases with exempt payments by capturing accrued expense migration balances and recognizing exempt payments as expenses evenly over the remaining lease term. Periodic expenses are calculated by dividing the total exempt payment, net of accrued expense migration balance, by the number</t>
        </is>
      </c>
      <c r="E26" t="inlineStr">
        <is>
          <t>Financials</t>
        </is>
      </c>
      <c r="F26" t="inlineStr">
        <is>
          <t>Functional</t>
        </is>
      </c>
      <c r="G26" t="inlineStr">
        <is>
          <t>Functional</t>
        </is>
      </c>
      <c r="H26" t="inlineStr"/>
      <c r="I26" t="inlineStr"/>
      <c r="J26" t="inlineStr">
        <is>
          <t>Financials</t>
        </is>
      </c>
      <c r="K26" t="inlineStr">
        <is>
          <t>N</t>
        </is>
      </c>
      <c r="L26" t="inlineStr">
        <is>
          <t>N</t>
        </is>
      </c>
      <c r="M26" t="inlineStr">
        <is>
          <t>N</t>
        </is>
      </c>
      <c r="N26" t="inlineStr">
        <is>
          <t>Auto-enabled — no action required</t>
        </is>
      </c>
      <c r="O26" t="inlineStr">
        <is>
          <t>Low</t>
        </is>
      </c>
      <c r="P26" t="inlineStr">
        <is>
          <t>2025-06-20</t>
        </is>
      </c>
      <c r="Q26" t="inlineStr">
        <is>
          <t>Oracle Fusion 26C Readiness — Financials</t>
        </is>
      </c>
      <c r="R26" t="inlineStr"/>
    </row>
    <row r="27">
      <c r="A27" t="inlineStr">
        <is>
          <t>CHG_IMP_0002</t>
        </is>
      </c>
      <c r="B27" t="inlineStr">
        <is>
          <t>REL_26C</t>
        </is>
      </c>
      <c r="C27" t="inlineStr">
        <is>
          <t>Active Ownership Definition Corrections</t>
        </is>
      </c>
      <c r="D27" t="inlineStr">
        <is>
          <t>Active Ownership Definition Corrections. Module: Financials. Release: 26C. Correct active ownership definitions and rebill affected joint venture transactions. This enhancement eliminates the need to end an active ownership definition and create a new one when ownership changes are required.
You can now modify ownership definitions even when they are in **Active** status.</t>
        </is>
      </c>
      <c r="E27" t="inlineStr">
        <is>
          <t>Financials</t>
        </is>
      </c>
      <c r="F27" t="inlineStr">
        <is>
          <t>Functional</t>
        </is>
      </c>
      <c r="G27" t="inlineStr">
        <is>
          <t>Functional</t>
        </is>
      </c>
      <c r="H27" t="inlineStr"/>
      <c r="I27" t="inlineStr"/>
      <c r="J27" t="inlineStr">
        <is>
          <t>Financials</t>
        </is>
      </c>
      <c r="K27" t="inlineStr">
        <is>
          <t>N</t>
        </is>
      </c>
      <c r="L27" t="inlineStr">
        <is>
          <t>N</t>
        </is>
      </c>
      <c r="M27" t="inlineStr">
        <is>
          <t>N</t>
        </is>
      </c>
      <c r="N27" t="inlineStr">
        <is>
          <t>Auto-enabled — no action required</t>
        </is>
      </c>
      <c r="O27" t="inlineStr">
        <is>
          <t>Low</t>
        </is>
      </c>
      <c r="P27" t="inlineStr">
        <is>
          <t>2025-06-20</t>
        </is>
      </c>
      <c r="Q27" t="inlineStr">
        <is>
          <t>Oracle Fusion 26C Readiness — Financials</t>
        </is>
      </c>
      <c r="R27" t="inlineStr"/>
    </row>
    <row r="28">
      <c r="A28" t="inlineStr">
        <is>
          <t>CHG_IMP_0003</t>
        </is>
      </c>
      <c r="B28" t="inlineStr">
        <is>
          <t>REL_26C</t>
        </is>
      </c>
      <c r="C28" t="inlineStr">
        <is>
          <t>Additional Satisfaction Event Hold Release Using a REST API</t>
        </is>
      </c>
      <c r="D28" t="inlineStr">
        <is>
          <t>Additional Satisfaction Event Hold Release Using a REST API. Module: Financials. Release: 26C. Use the Additional Satisfaction Events REST API to release revenue on performance obligations by recording the completion of customer acceptance, payments, or service provisioning events.
This REST service provides a scalable alternative to the File-Based Data Import approach, enabling organization</t>
        </is>
      </c>
      <c r="E28" t="inlineStr">
        <is>
          <t>Financials</t>
        </is>
      </c>
      <c r="F28" t="inlineStr">
        <is>
          <t>Functional</t>
        </is>
      </c>
      <c r="G28" t="inlineStr">
        <is>
          <t>Functional</t>
        </is>
      </c>
      <c r="H28" t="inlineStr"/>
      <c r="I28" t="inlineStr"/>
      <c r="J28" t="inlineStr">
        <is>
          <t>Financials</t>
        </is>
      </c>
      <c r="K28" t="inlineStr">
        <is>
          <t>N</t>
        </is>
      </c>
      <c r="L28" t="inlineStr">
        <is>
          <t>Y</t>
        </is>
      </c>
      <c r="M28" t="inlineStr">
        <is>
          <t>N</t>
        </is>
      </c>
      <c r="N28" t="inlineStr">
        <is>
          <t xml:space="preserve">Action type: Steps to Enable. Review the REST service definition in the REST API guides to leverage (available from the Oracle Help Center &gt; *your apps service area of interest* &gt; APIs &amp; Schema). </t>
        </is>
      </c>
      <c r="O28" t="inlineStr">
        <is>
          <t>Critical</t>
        </is>
      </c>
      <c r="P28" t="inlineStr">
        <is>
          <t>2025-06-20</t>
        </is>
      </c>
      <c r="Q28" t="inlineStr">
        <is>
          <t>Oracle Fusion 26C Readiness — Financials</t>
        </is>
      </c>
      <c r="R28" t="inlineStr"/>
    </row>
    <row r="29">
      <c r="A29" t="inlineStr">
        <is>
          <t>CHG_IMP_0004</t>
        </is>
      </c>
      <c r="B29" t="inlineStr">
        <is>
          <t>REL_26C</t>
        </is>
      </c>
      <c r="C29" t="inlineStr">
        <is>
          <t>Attributes for Asset Addition Using ERP Integration REST API</t>
        </is>
      </c>
      <c r="D29" t="inlineStr">
        <is>
          <t>Attributes for Asset Addition Using ERP Integration REST API. Module: Financials. Release: 26C. **Procure to Pay - Asset Acquisition, Maintenance, and Lease:**
The “Transaction-addAsset” service of the ERP Integration REST API supports the following additional attributes in 26C, which can now be added during asset addition:
• P_IMPAIRMENT_RESERVE
• P_YTD_IMPAIRMENT
Business Benefits:
• Ena</t>
        </is>
      </c>
      <c r="E29" t="inlineStr">
        <is>
          <t>Financials</t>
        </is>
      </c>
      <c r="F29" t="inlineStr">
        <is>
          <t>Functional</t>
        </is>
      </c>
      <c r="G29" t="inlineStr">
        <is>
          <t>Functional</t>
        </is>
      </c>
      <c r="H29" t="inlineStr"/>
      <c r="I29" t="inlineStr"/>
      <c r="J29" t="inlineStr">
        <is>
          <t>Financials</t>
        </is>
      </c>
      <c r="K29" t="inlineStr">
        <is>
          <t>N</t>
        </is>
      </c>
      <c r="L29" t="inlineStr">
        <is>
          <t>Y</t>
        </is>
      </c>
      <c r="M29" t="inlineStr">
        <is>
          <t>N</t>
        </is>
      </c>
      <c r="N29" t="inlineStr">
        <is>
          <t>Action type: Steps to Enable. Review the REST service definition in the REST API guides to leverage (available from the Oracle Help Center &gt; *your apps service area of interest* &gt; APIs &amp; Schema).</t>
        </is>
      </c>
      <c r="O29" t="inlineStr">
        <is>
          <t>Critical</t>
        </is>
      </c>
      <c r="P29" t="inlineStr">
        <is>
          <t>2025-06-20</t>
        </is>
      </c>
      <c r="Q29" t="inlineStr">
        <is>
          <t>Oracle Fusion 26C Readiness — Financials</t>
        </is>
      </c>
      <c r="R29" t="inlineStr"/>
    </row>
    <row r="30">
      <c r="A30" t="inlineStr">
        <is>
          <t>CHG_IMP_0005</t>
        </is>
      </c>
      <c r="B30" t="inlineStr">
        <is>
          <t>REL_26C</t>
        </is>
      </c>
      <c r="C30" t="inlineStr">
        <is>
          <t>AutoApproved Multitier Intercompany Transaction</t>
        </is>
      </c>
      <c r="D30" t="inlineStr">
        <is>
          <t>AutoApproved Multitier Intercompany Transaction. Module: Financials. Release: 26C. Automatically create intercompany transactions, intercompany invoices, and accounting entries by enabling autoapproval of intercompany transactions. This feature streamlines intercompany processing while maintaining the flexibility to apply manual controls when required.
A new Approval Flow column</t>
        </is>
      </c>
      <c r="E30" t="inlineStr">
        <is>
          <t>Financials</t>
        </is>
      </c>
      <c r="F30" t="inlineStr">
        <is>
          <t>Functional</t>
        </is>
      </c>
      <c r="G30" t="inlineStr">
        <is>
          <t>Functional</t>
        </is>
      </c>
      <c r="H30" t="inlineStr"/>
      <c r="I30" t="inlineStr"/>
      <c r="J30" t="inlineStr">
        <is>
          <t>Financials</t>
        </is>
      </c>
      <c r="K30" t="inlineStr">
        <is>
          <t>N</t>
        </is>
      </c>
      <c r="L30" t="inlineStr">
        <is>
          <t>N</t>
        </is>
      </c>
      <c r="M30" t="inlineStr">
        <is>
          <t>N</t>
        </is>
      </c>
      <c r="N30" t="inlineStr">
        <is>
          <t>Auto-enabled — no action required</t>
        </is>
      </c>
      <c r="O30" t="inlineStr">
        <is>
          <t>Low</t>
        </is>
      </c>
      <c r="P30" t="inlineStr">
        <is>
          <t>2025-06-20</t>
        </is>
      </c>
      <c r="Q30" t="inlineStr">
        <is>
          <t>Oracle Fusion 26C Readiness — Financials</t>
        </is>
      </c>
      <c r="R30" t="inlineStr"/>
    </row>
    <row r="31">
      <c r="A31" t="inlineStr">
        <is>
          <t>CHG_IMP_0006</t>
        </is>
      </c>
      <c r="B31" t="inlineStr">
        <is>
          <t>REL_26C</t>
        </is>
      </c>
      <c r="C31" t="inlineStr">
        <is>
          <t>Automated Invoice Generation and Revenue Recognition for Equipment Leases</t>
        </is>
      </c>
      <c r="D31" t="inlineStr">
        <is>
          <t>Automated Invoice Generation and Revenue Recognition for Equipment Leases. Module: Financials. Release: 26C. Automatically generate periodic invoices and recognize revenue for equipment leases.
LEASE INVOICE PROCESSING
Lease administrators can invoice lessees for rent, service, maintenance, and other charges defined in the lease. Lease payments are transferred to Oracle Fusion Receivables to cre</t>
        </is>
      </c>
      <c r="E31" t="inlineStr">
        <is>
          <t>Financials</t>
        </is>
      </c>
      <c r="F31" t="inlineStr">
        <is>
          <t>Functional</t>
        </is>
      </c>
      <c r="G31" t="inlineStr">
        <is>
          <t>Functional</t>
        </is>
      </c>
      <c r="H31" t="inlineStr"/>
      <c r="I31" t="inlineStr"/>
      <c r="J31" t="inlineStr">
        <is>
          <t>Financials</t>
        </is>
      </c>
      <c r="K31" t="inlineStr">
        <is>
          <t>N</t>
        </is>
      </c>
      <c r="L31" t="inlineStr">
        <is>
          <t>Y</t>
        </is>
      </c>
      <c r="M31" t="inlineStr">
        <is>
          <t>N</t>
        </is>
      </c>
      <c r="N31" t="inlineStr">
        <is>
          <t>Action type: Steps to Enable. Use the Opt In UI to enable this feature. For instructions, refer to the Optional Uptake of New Features section of this document. Offering: *Financials</t>
        </is>
      </c>
      <c r="O31" t="inlineStr">
        <is>
          <t>Critical</t>
        </is>
      </c>
      <c r="P31" t="inlineStr">
        <is>
          <t>2025-06-20</t>
        </is>
      </c>
      <c r="Q31" t="inlineStr">
        <is>
          <t>Oracle Fusion 26C Readiness — Financials</t>
        </is>
      </c>
      <c r="R31" t="inlineStr"/>
    </row>
    <row r="32">
      <c r="A32" t="inlineStr">
        <is>
          <t>CHG_IMP_0007</t>
        </is>
      </c>
      <c r="B32" t="inlineStr">
        <is>
          <t>REL_26C</t>
        </is>
      </c>
      <c r="C32" t="inlineStr">
        <is>
          <t>Brazilian Fiscal Documents in Local Currency for Shipments of Sales Orders in Foreign Currency</t>
        </is>
      </c>
      <c r="D32" t="inlineStr">
        <is>
          <t>Brazilian Fiscal Documents in Local Currency for Shipments of Sales Orders in Foreign Currency. Module: Financials. Release: 26C. Generate and report fiscal documents in Brazilian Real for shipments associated with sales orders entered in foreign currency. The process automatically converts foreign currency amounts to the local currency and displays the converted values on the Fiscal Document page</t>
        </is>
      </c>
      <c r="E32" t="inlineStr">
        <is>
          <t>Financials</t>
        </is>
      </c>
      <c r="F32" t="inlineStr">
        <is>
          <t>Functional</t>
        </is>
      </c>
      <c r="G32" t="inlineStr">
        <is>
          <t>Functional</t>
        </is>
      </c>
      <c r="H32" t="inlineStr"/>
      <c r="I32" t="inlineStr"/>
      <c r="J32" t="inlineStr">
        <is>
          <t>Financials</t>
        </is>
      </c>
      <c r="K32" t="inlineStr">
        <is>
          <t>N</t>
        </is>
      </c>
      <c r="L32" t="inlineStr">
        <is>
          <t>Y</t>
        </is>
      </c>
      <c r="M32" t="inlineStr">
        <is>
          <t>N</t>
        </is>
      </c>
      <c r="N32" t="inlineStr">
        <is>
          <t>Action type: Steps to Enable. To enable the feature, follow these steps. 1. In the Setup and Maintenance work area, click the Task icon and select the Search men</t>
        </is>
      </c>
      <c r="O32" t="inlineStr">
        <is>
          <t>Critical</t>
        </is>
      </c>
      <c r="P32" t="inlineStr">
        <is>
          <t>2025-06-20</t>
        </is>
      </c>
      <c r="Q32" t="inlineStr">
        <is>
          <t>Oracle Fusion 26C Readiness — Financials</t>
        </is>
      </c>
      <c r="R32" t="inlineStr"/>
    </row>
    <row r="33">
      <c r="A33" t="inlineStr">
        <is>
          <t>CHG_IMP_0008</t>
        </is>
      </c>
      <c r="B33" t="inlineStr">
        <is>
          <t>REL_26C</t>
        </is>
      </c>
      <c r="C33" t="inlineStr">
        <is>
          <t>Budget Adjustment Assistant</t>
        </is>
      </c>
      <c r="D33" t="inlineStr">
        <is>
          <t>Budget Adjustment Assistant. Module: Financials. Release: 26C. The **Budget Adjustment Assistant** helps budget office users create budget entries using natural language for **Enterprise Performance Management (EPM) control budgets**. The assistant helps resolve any creation issues before the budget transaction is submitted. Users can also review approved budge</t>
        </is>
      </c>
      <c r="E33" t="inlineStr">
        <is>
          <t>Financials</t>
        </is>
      </c>
      <c r="F33" t="inlineStr">
        <is>
          <t>Functional</t>
        </is>
      </c>
      <c r="G33" t="inlineStr">
        <is>
          <t>Functional</t>
        </is>
      </c>
      <c r="H33" t="inlineStr"/>
      <c r="I33" t="inlineStr"/>
      <c r="J33" t="inlineStr">
        <is>
          <t>Financials</t>
        </is>
      </c>
      <c r="K33" t="inlineStr">
        <is>
          <t>N</t>
        </is>
      </c>
      <c r="L33" t="inlineStr">
        <is>
          <t>Y</t>
        </is>
      </c>
      <c r="M33" t="inlineStr">
        <is>
          <t>N</t>
        </is>
      </c>
      <c r="N33" t="inlineStr">
        <is>
          <t>Action type: Steps to Enable. The Budget Adjustment Assistant role is needed to use the assistant within the AI Agent Studio. Refer to the Access Requirements section for details.</t>
        </is>
      </c>
      <c r="O33" t="inlineStr">
        <is>
          <t>Critical</t>
        </is>
      </c>
      <c r="P33" t="inlineStr">
        <is>
          <t>2025-06-20</t>
        </is>
      </c>
      <c r="Q33" t="inlineStr">
        <is>
          <t>Oracle Fusion 26C Readiness — Financials</t>
        </is>
      </c>
      <c r="R33" t="inlineStr"/>
    </row>
    <row r="34">
      <c r="A34" t="inlineStr">
        <is>
          <t>CHG_IMP_0009</t>
        </is>
      </c>
      <c r="B34" t="inlineStr">
        <is>
          <t>REL_26C</t>
        </is>
      </c>
      <c r="C34" t="inlineStr">
        <is>
          <t>Budget Entry Creation from Revenue for Control Budget</t>
        </is>
      </c>
      <c r="D34" t="inlineStr">
        <is>
          <t>Budget Entry Creation from Revenue for Control Budget. Module: Financials. Release: 26C. Assign a control budget when creating a budget from revenue using the Create Budget Entry from Revenue process. The assignment of a control budget aligns the expense budget scenario to a control budget when importing the budget into both Budgetary Control and General Ledger. This simplifies manageme</t>
        </is>
      </c>
      <c r="E34" t="inlineStr">
        <is>
          <t>Financials</t>
        </is>
      </c>
      <c r="F34" t="inlineStr">
        <is>
          <t>Functional</t>
        </is>
      </c>
      <c r="G34" t="inlineStr">
        <is>
          <t>Functional</t>
        </is>
      </c>
      <c r="H34" t="inlineStr"/>
      <c r="I34" t="inlineStr"/>
      <c r="J34" t="inlineStr">
        <is>
          <t>Financials</t>
        </is>
      </c>
      <c r="K34" t="inlineStr">
        <is>
          <t>N</t>
        </is>
      </c>
      <c r="L34" t="inlineStr">
        <is>
          <t>N</t>
        </is>
      </c>
      <c r="M34" t="inlineStr">
        <is>
          <t>N</t>
        </is>
      </c>
      <c r="N34" t="inlineStr">
        <is>
          <t>Auto-enabled — no action required</t>
        </is>
      </c>
      <c r="O34" t="inlineStr">
        <is>
          <t>Low</t>
        </is>
      </c>
      <c r="P34" t="inlineStr">
        <is>
          <t>2025-06-20</t>
        </is>
      </c>
      <c r="Q34" t="inlineStr">
        <is>
          <t>Oracle Fusion 26C Readiness — Financials</t>
        </is>
      </c>
      <c r="R34" t="inlineStr"/>
    </row>
    <row r="35">
      <c r="A35" t="inlineStr">
        <is>
          <t>CHG_IMP_0010</t>
        </is>
      </c>
      <c r="B35" t="inlineStr">
        <is>
          <t>REL_26C</t>
        </is>
      </c>
      <c r="C35" t="inlineStr">
        <is>
          <t>Calculation Calendar for Secondary Representation</t>
        </is>
      </c>
      <c r="D35" t="inlineStr">
        <is>
          <t>Calculation Calendar for Secondary Representation. Module: Financials. Release: 26C. Generate lease amortization schedules and accounting entries for the secondary representation using a calculation calendar that is different from the primary representation. For example, configure a 4-4-5 calendar for the primary representation and a monthly calendar for the secondary representation</t>
        </is>
      </c>
      <c r="E35" t="inlineStr">
        <is>
          <t>Financials</t>
        </is>
      </c>
      <c r="F35" t="inlineStr">
        <is>
          <t>Functional</t>
        </is>
      </c>
      <c r="G35" t="inlineStr">
        <is>
          <t>Functional</t>
        </is>
      </c>
      <c r="H35" t="inlineStr"/>
      <c r="I35" t="inlineStr"/>
      <c r="J35" t="inlineStr">
        <is>
          <t>Financials</t>
        </is>
      </c>
      <c r="K35" t="inlineStr">
        <is>
          <t>N</t>
        </is>
      </c>
      <c r="L35" t="inlineStr">
        <is>
          <t>Y</t>
        </is>
      </c>
      <c r="M35" t="inlineStr">
        <is>
          <t>N</t>
        </is>
      </c>
      <c r="N35" t="inlineStr">
        <is>
          <t>Action type: Steps to Enable. Complete these settings in Manage Lease Accounting Configuration: 1. Navigate to the Create or Edit System Options page. 2. Select the Primary and Secondary Accounting St</t>
        </is>
      </c>
      <c r="O35" t="inlineStr">
        <is>
          <t>Critical</t>
        </is>
      </c>
      <c r="P35" t="inlineStr">
        <is>
          <t>2025-06-20</t>
        </is>
      </c>
      <c r="Q35" t="inlineStr">
        <is>
          <t>Oracle Fusion 26C Readiness — Financials</t>
        </is>
      </c>
      <c r="R35" t="inlineStr"/>
    </row>
    <row r="36">
      <c r="A36" t="inlineStr">
        <is>
          <t>CHG_IMP_0011</t>
        </is>
      </c>
      <c r="B36" t="inlineStr">
        <is>
          <t>REL_26C</t>
        </is>
      </c>
      <c r="C36" t="inlineStr">
        <is>
          <t>Carried Interest Payout Processing</t>
        </is>
      </c>
      <c r="D36" t="inlineStr">
        <is>
          <t>Carried Interest Payout Processing. Module: Financials. Release: 26C. Use carried interest payout processing to configure penalties associated with carried interest agreements. Track the costs, revenue, and balances being carried for non-consenting stakeholders; report on payout balances to the stakeholders; and close agreements after final payout.
Business benefits</t>
        </is>
      </c>
      <c r="E36" t="inlineStr">
        <is>
          <t>Financials</t>
        </is>
      </c>
      <c r="F36" t="inlineStr">
        <is>
          <t>Functional</t>
        </is>
      </c>
      <c r="G36" t="inlineStr">
        <is>
          <t>Functional</t>
        </is>
      </c>
      <c r="H36" t="inlineStr"/>
      <c r="I36" t="inlineStr"/>
      <c r="J36" t="inlineStr">
        <is>
          <t>Financials</t>
        </is>
      </c>
      <c r="K36" t="inlineStr">
        <is>
          <t>N</t>
        </is>
      </c>
      <c r="L36" t="inlineStr">
        <is>
          <t>Y</t>
        </is>
      </c>
      <c r="M36" t="inlineStr">
        <is>
          <t>N</t>
        </is>
      </c>
      <c r="N36" t="inlineStr">
        <is>
          <t>Action type: Steps to Enable. This feature is ready to use and does not require any opt-in To configure carried interest payout processing: 1. In Setup and Maintenance, navigate to the Joint Venture M</t>
        </is>
      </c>
      <c r="O36" t="inlineStr">
        <is>
          <t>Critical</t>
        </is>
      </c>
      <c r="P36" t="inlineStr">
        <is>
          <t>2025-06-20</t>
        </is>
      </c>
      <c r="Q36" t="inlineStr">
        <is>
          <t>Oracle Fusion 26C Readiness — Financials</t>
        </is>
      </c>
      <c r="R36" t="inlineStr"/>
    </row>
    <row r="37">
      <c r="A37" t="inlineStr">
        <is>
          <t>CHG_IMP_0012</t>
        </is>
      </c>
      <c r="B37" t="inlineStr">
        <is>
          <t>REL_26C</t>
        </is>
      </c>
      <c r="C37" t="inlineStr">
        <is>
          <t>Cash Processing Agent for Cash Positioning and Improved Liquidity</t>
        </is>
      </c>
      <c r="D37" t="inlineStr">
        <is>
          <t>Cash Processing Agent for Cash Positioning and Improved Liquidity. Module: Financials. Release: 26C. **Cash Processing Agent**
 The Cash Processing Agent for Cash Positioning and Improved Liquidity helps cash managers review daily liquidity through an insights-driven conversational experience. It provides near real-time visibility into cash position, bank balances, intraday balance movements, and</t>
        </is>
      </c>
      <c r="E37" t="inlineStr">
        <is>
          <t>Financials</t>
        </is>
      </c>
      <c r="F37" t="inlineStr">
        <is>
          <t>Functional</t>
        </is>
      </c>
      <c r="G37" t="inlineStr">
        <is>
          <t>Functional</t>
        </is>
      </c>
      <c r="H37" t="inlineStr"/>
      <c r="I37" t="inlineStr"/>
      <c r="J37" t="inlineStr">
        <is>
          <t>Financials</t>
        </is>
      </c>
      <c r="K37" t="inlineStr">
        <is>
          <t>N</t>
        </is>
      </c>
      <c r="L37" t="inlineStr">
        <is>
          <t>Y</t>
        </is>
      </c>
      <c r="M37" t="inlineStr">
        <is>
          <t>N</t>
        </is>
      </c>
      <c r="N37" t="inlineStr">
        <is>
          <t xml:space="preserve">Action type: Steps to Enable. • The Cash Processing Agent for Cash Positioning and Improved Liquidity is enabled by default. • Configure the required security access described in the Access </t>
        </is>
      </c>
      <c r="O37" t="inlineStr">
        <is>
          <t>Critical</t>
        </is>
      </c>
      <c r="P37" t="inlineStr">
        <is>
          <t>2025-06-20</t>
        </is>
      </c>
      <c r="Q37" t="inlineStr">
        <is>
          <t>Oracle Fusion 26C Readiness — Financials</t>
        </is>
      </c>
      <c r="R37" t="inlineStr"/>
    </row>
    <row r="38">
      <c r="A38" t="inlineStr">
        <is>
          <t>CHG_IMP_0013</t>
        </is>
      </c>
      <c r="B38" t="inlineStr">
        <is>
          <t>REL_26C</t>
        </is>
      </c>
      <c r="C38" t="inlineStr">
        <is>
          <t>Cash Processing Agent for Receipt Processing and Cash Application</t>
        </is>
      </c>
      <c r="D38" t="inlineStr">
        <is>
          <t>Cash Processing Agent for Receipt Processing and Cash Application. Module: Financials. Release: 26C. The Cash Processing Agent improves cash processing exception handling and increases cash application matching accuracy. It combines AI-assisted cash processing automation with guided insights to help users identify and resolve exceptions more efficiently.
In an earlier release, Document IO, Oracle</t>
        </is>
      </c>
      <c r="E38" t="inlineStr">
        <is>
          <t>Financials</t>
        </is>
      </c>
      <c r="F38" t="inlineStr">
        <is>
          <t>Functional</t>
        </is>
      </c>
      <c r="G38" t="inlineStr">
        <is>
          <t>Functional</t>
        </is>
      </c>
      <c r="H38" t="inlineStr"/>
      <c r="I38" t="inlineStr"/>
      <c r="J38" t="inlineStr">
        <is>
          <t>Financials</t>
        </is>
      </c>
      <c r="K38" t="inlineStr">
        <is>
          <t>N</t>
        </is>
      </c>
      <c r="L38" t="inlineStr">
        <is>
          <t>Y</t>
        </is>
      </c>
      <c r="M38" t="inlineStr">
        <is>
          <t>N</t>
        </is>
      </c>
      <c r="N38" t="inlineStr">
        <is>
          <t>Action type: Steps to Enable. To enable this feature you need to log a Service Request (SR). • The Cash Processing Agent is enabled by default. • Configure the required security access descr</t>
        </is>
      </c>
      <c r="O38" t="inlineStr">
        <is>
          <t>Critical</t>
        </is>
      </c>
      <c r="P38" t="inlineStr">
        <is>
          <t>2025-06-20</t>
        </is>
      </c>
      <c r="Q38" t="inlineStr">
        <is>
          <t>Oracle Fusion 26C Readiness — Financials</t>
        </is>
      </c>
      <c r="R38" t="inlineStr"/>
    </row>
    <row r="39">
      <c r="A39" t="inlineStr">
        <is>
          <t>CHG_IMP_0014</t>
        </is>
      </c>
      <c r="B39" t="inlineStr">
        <is>
          <t>REL_26C</t>
        </is>
      </c>
      <c r="C39" t="inlineStr">
        <is>
          <t>Collector Workspace Agent for Prioritized Work Queue and Guided Resolution</t>
        </is>
      </c>
      <c r="D39" t="inlineStr">
        <is>
          <t>Collector Workspace Agent for Prioritized Work Queue and Guided Resolution. Module: Financials. Release: 26C. The Collector Workspace introduces an AI-powered collections experience that helps organizations improve collector productivity, accelerate cash recovery, and drive more consistent customer engagement.
The Collector Workspace Agent transforms collections from a manual, fragmented, and sea</t>
        </is>
      </c>
      <c r="E39" t="inlineStr">
        <is>
          <t>Financials</t>
        </is>
      </c>
      <c r="F39" t="inlineStr">
        <is>
          <t>AI Feature</t>
        </is>
      </c>
      <c r="G39" t="inlineStr">
        <is>
          <t>AI Feature</t>
        </is>
      </c>
      <c r="H39" t="inlineStr"/>
      <c r="I39" t="inlineStr"/>
      <c r="J39" t="inlineStr">
        <is>
          <t>Financials</t>
        </is>
      </c>
      <c r="K39" t="inlineStr">
        <is>
          <t>N</t>
        </is>
      </c>
      <c r="L39" t="inlineStr">
        <is>
          <t>Y</t>
        </is>
      </c>
      <c r="M39" t="inlineStr">
        <is>
          <t>N</t>
        </is>
      </c>
      <c r="N39" t="inlineStr">
        <is>
          <t>Action type: Steps to Enable. • Pre-Requisite: Analytical Views must be enabled. • Use the Collections Policy Execution Assistant to upload the policy for use in the Collector Works</t>
        </is>
      </c>
      <c r="O39" t="inlineStr">
        <is>
          <t>Critical</t>
        </is>
      </c>
      <c r="P39" t="inlineStr">
        <is>
          <t>2025-06-20</t>
        </is>
      </c>
      <c r="Q39" t="inlineStr">
        <is>
          <t>Oracle Fusion 26C Readiness — Financials</t>
        </is>
      </c>
      <c r="R39" t="inlineStr"/>
    </row>
    <row r="40">
      <c r="A40" t="inlineStr">
        <is>
          <t>CHG_IMP_0015</t>
        </is>
      </c>
      <c r="B40" t="inlineStr">
        <is>
          <t>REL_26C</t>
        </is>
      </c>
      <c r="C40" t="inlineStr">
        <is>
          <t>Consumption Allowance Revenue Recognition</t>
        </is>
      </c>
      <c r="D40" t="inlineStr">
        <is>
          <t>Consumption Allowance Revenue Recognition. Module: Financials. Release: 26C. Use enhanced revenue recognition support for allowance-based usage rating models in Oracle Subscription Management. You can now manage revenue recognition for subscriptions where customers purchase a defined quantity-based allowance, consume against that allowance during a balance period, purchase t</t>
        </is>
      </c>
      <c r="E40" t="inlineStr">
        <is>
          <t>Financials</t>
        </is>
      </c>
      <c r="F40" t="inlineStr">
        <is>
          <t>Functional</t>
        </is>
      </c>
      <c r="G40" t="inlineStr">
        <is>
          <t>Functional</t>
        </is>
      </c>
      <c r="H40" t="inlineStr"/>
      <c r="I40" t="inlineStr"/>
      <c r="J40" t="inlineStr">
        <is>
          <t>Financials</t>
        </is>
      </c>
      <c r="K40" t="inlineStr">
        <is>
          <t>N</t>
        </is>
      </c>
      <c r="L40" t="inlineStr">
        <is>
          <t>N</t>
        </is>
      </c>
      <c r="M40" t="inlineStr">
        <is>
          <t>N</t>
        </is>
      </c>
      <c r="N40" t="inlineStr">
        <is>
          <t>Auto-enabled — no action required</t>
        </is>
      </c>
      <c r="O40" t="inlineStr">
        <is>
          <t>Low</t>
        </is>
      </c>
      <c r="P40" t="inlineStr">
        <is>
          <t>2025-06-20</t>
        </is>
      </c>
      <c r="Q40" t="inlineStr">
        <is>
          <t>Oracle Fusion 26C Readiness — Financials</t>
        </is>
      </c>
      <c r="R40" t="inlineStr"/>
    </row>
    <row r="41">
      <c r="A41" t="inlineStr">
        <is>
          <t>CHG_IMP_0016</t>
        </is>
      </c>
      <c r="B41" t="inlineStr">
        <is>
          <t>REL_26C</t>
        </is>
      </c>
      <c r="C41" t="inlineStr">
        <is>
          <t>Expense Completion Using Email with Any User Experience</t>
        </is>
      </c>
      <c r="D41" t="inlineStr">
        <is>
          <t>Expense Completion Using Email with Any User Experience. Module: Financials. Release: 26C. Users can email receipts directly to the Expenses Agent to create and complete expenses without ever entering the application. This option is available regardless of the application user experience - Redwood theme Progressive Web App (PWA) or otherwise. Details for the Expenses Agent using the PWA u</t>
        </is>
      </c>
      <c r="E41" t="inlineStr">
        <is>
          <t>Financials</t>
        </is>
      </c>
      <c r="F41" t="inlineStr">
        <is>
          <t>Functional</t>
        </is>
      </c>
      <c r="G41" t="inlineStr">
        <is>
          <t>Functional</t>
        </is>
      </c>
      <c r="H41" t="inlineStr"/>
      <c r="I41" t="inlineStr"/>
      <c r="J41" t="inlineStr">
        <is>
          <t>Financials</t>
        </is>
      </c>
      <c r="K41" t="inlineStr">
        <is>
          <t>N</t>
        </is>
      </c>
      <c r="L41" t="inlineStr">
        <is>
          <t>Y</t>
        </is>
      </c>
      <c r="M41" t="inlineStr">
        <is>
          <t>N</t>
        </is>
      </c>
      <c r="N41" t="inlineStr">
        <is>
          <t>Action type: Steps to Enable. To enable email-based expense completion: • Configure electronic receipt forwarding so employees can email receipts to the Expenses Agent. • In Setup and Maintenance, nav</t>
        </is>
      </c>
      <c r="O41" t="inlineStr">
        <is>
          <t>Critical</t>
        </is>
      </c>
      <c r="P41" t="inlineStr">
        <is>
          <t>2025-06-20</t>
        </is>
      </c>
      <c r="Q41" t="inlineStr">
        <is>
          <t>Oracle Fusion 26C Readiness — Financials</t>
        </is>
      </c>
      <c r="R41" t="inlineStr"/>
    </row>
    <row r="42">
      <c r="A42" t="inlineStr">
        <is>
          <t>CHG_IMP_0017</t>
        </is>
      </c>
      <c r="B42" t="inlineStr">
        <is>
          <t>REL_26C</t>
        </is>
      </c>
      <c r="C42" t="inlineStr">
        <is>
          <t>Expenses Agent for Cash Advance Application</t>
        </is>
      </c>
      <c r="D42" t="inlineStr">
        <is>
          <t>Expenses Agent for Cash Advance Application. Module: Financials. Release: 26C. Use the Expenses Agent to apply cash advances manually when submitting expense reports.
Each cash advance has a due date, and employees are recommended to apply available cash advances by the due date; after that date, the cash advance is considered overdue.
Select one or more cash advances to app</t>
        </is>
      </c>
      <c r="E42" t="inlineStr">
        <is>
          <t>Financials</t>
        </is>
      </c>
      <c r="F42" t="inlineStr">
        <is>
          <t>Functional</t>
        </is>
      </c>
      <c r="G42" t="inlineStr">
        <is>
          <t>Functional</t>
        </is>
      </c>
      <c r="H42" t="inlineStr"/>
      <c r="I42" t="inlineStr"/>
      <c r="J42" t="inlineStr">
        <is>
          <t>Financials</t>
        </is>
      </c>
      <c r="K42" t="inlineStr">
        <is>
          <t>N</t>
        </is>
      </c>
      <c r="L42" t="inlineStr">
        <is>
          <t>Y</t>
        </is>
      </c>
      <c r="M42" t="inlineStr">
        <is>
          <t>N</t>
        </is>
      </c>
      <c r="N42" t="inlineStr">
        <is>
          <t>Action type: Steps to Enable. 1. To use these capabilities, first enable Touchless Expenses as outlined in the Touchless Mobile Expenses (25D) feature. 2. Configure cash advance application settings f</t>
        </is>
      </c>
      <c r="O42" t="inlineStr">
        <is>
          <t>Critical</t>
        </is>
      </c>
      <c r="P42" t="inlineStr">
        <is>
          <t>2025-06-20</t>
        </is>
      </c>
      <c r="Q42" t="inlineStr">
        <is>
          <t>Oracle Fusion 26C Readiness — Financials</t>
        </is>
      </c>
      <c r="R42" t="inlineStr"/>
    </row>
    <row r="43">
      <c r="A43" t="inlineStr">
        <is>
          <t>CHG_IMP_0018</t>
        </is>
      </c>
      <c r="B43" t="inlineStr">
        <is>
          <t>REL_26C</t>
        </is>
      </c>
      <c r="C43" t="inlineStr">
        <is>
          <t>Expenses Agent for Cost Allocations and Additional Information</t>
        </is>
      </c>
      <c r="D43" t="inlineStr">
        <is>
          <t>Expenses Agent for Cost Allocations and Additional Information. Module: Financials. Release: 26C. Use the Expenses Agent to split expenses across cost centers or projects and tasks.
Splitting an expense across accounts.
Business benefits include:
• Split Allocation enables accurate distribution of expenses across accounts or across projects and tasks, improving cost tracking and increasing pr</t>
        </is>
      </c>
      <c r="E43" t="inlineStr">
        <is>
          <t>Financials</t>
        </is>
      </c>
      <c r="F43" t="inlineStr">
        <is>
          <t>Functional</t>
        </is>
      </c>
      <c r="G43" t="inlineStr">
        <is>
          <t>Functional</t>
        </is>
      </c>
      <c r="H43" t="inlineStr"/>
      <c r="I43" t="inlineStr"/>
      <c r="J43" t="inlineStr">
        <is>
          <t>Financials</t>
        </is>
      </c>
      <c r="K43" t="inlineStr">
        <is>
          <t>N</t>
        </is>
      </c>
      <c r="L43" t="inlineStr">
        <is>
          <t>Y</t>
        </is>
      </c>
      <c r="M43" t="inlineStr">
        <is>
          <t>N</t>
        </is>
      </c>
      <c r="N43" t="inlineStr">
        <is>
          <t>Action type: Steps to Enable. To use these capabilities, first enable Touchless Expenses as outlined in the Touchless Mobile Expenses (25D) feature.</t>
        </is>
      </c>
      <c r="O43" t="inlineStr">
        <is>
          <t>Critical</t>
        </is>
      </c>
      <c r="P43" t="inlineStr">
        <is>
          <t>2025-06-20</t>
        </is>
      </c>
      <c r="Q43" t="inlineStr">
        <is>
          <t>Oracle Fusion 26C Readiness — Financials</t>
        </is>
      </c>
      <c r="R43" t="inlineStr"/>
    </row>
    <row r="44">
      <c r="A44" t="inlineStr">
        <is>
          <t>CHG_IMP_0019</t>
        </is>
      </c>
      <c r="B44" t="inlineStr">
        <is>
          <t>REL_26C</t>
        </is>
      </c>
      <c r="C44" t="inlineStr">
        <is>
          <t>Fixed Asset Inquiry Assistant</t>
        </is>
      </c>
      <c r="D44" t="inlineStr">
        <is>
          <t>Fixed Asset Inquiry Assistant. Module: Financials. Release: 26C. The Inquiry Assistant provides a conversational way to access asset information and activity without navigating through multiple pages or reports. The assistant helps to quickly retrieve asset details and review book activity through a guided, self-service experience.
The following options are pres</t>
        </is>
      </c>
      <c r="E44" t="inlineStr">
        <is>
          <t>Financials</t>
        </is>
      </c>
      <c r="F44" t="inlineStr">
        <is>
          <t>Functional</t>
        </is>
      </c>
      <c r="G44" t="inlineStr">
        <is>
          <t>Functional</t>
        </is>
      </c>
      <c r="H44" t="inlineStr"/>
      <c r="I44" t="inlineStr"/>
      <c r="J44" t="inlineStr">
        <is>
          <t>Financials</t>
        </is>
      </c>
      <c r="K44" t="inlineStr">
        <is>
          <t>N</t>
        </is>
      </c>
      <c r="L44" t="inlineStr">
        <is>
          <t>N</t>
        </is>
      </c>
      <c r="M44" t="inlineStr">
        <is>
          <t>N</t>
        </is>
      </c>
      <c r="N44" t="inlineStr">
        <is>
          <t>Auto-enabled — no action required</t>
        </is>
      </c>
      <c r="O44" t="inlineStr">
        <is>
          <t>Low</t>
        </is>
      </c>
      <c r="P44" t="inlineStr">
        <is>
          <t>2025-06-20</t>
        </is>
      </c>
      <c r="Q44" t="inlineStr">
        <is>
          <t>Oracle Fusion 26C Readiness — Financials</t>
        </is>
      </c>
      <c r="R44" t="inlineStr"/>
    </row>
    <row r="45">
      <c r="A45" t="inlineStr">
        <is>
          <t>CHG_IMP_0020</t>
        </is>
      </c>
      <c r="B45" t="inlineStr">
        <is>
          <t>REL_26C</t>
        </is>
      </c>
      <c r="C45" t="inlineStr">
        <is>
          <t>Intercompany Batch Reversals with Standard Credit Memos</t>
        </is>
      </c>
      <c r="D45" t="inlineStr">
        <is>
          <t>Intercompany Batch Reversals with Standard Credit Memos. Module: Financials. Release: 26C. Create Intercompany batch reversals that generate and automatically apply standard credit memos against the original receivable intercompany invoices. A new option is available to create and apply standard credit memos instead of on-account credit memo applications, to streamline the reversal proces Opt-in r</t>
        </is>
      </c>
      <c r="E45" t="inlineStr">
        <is>
          <t>Financials</t>
        </is>
      </c>
      <c r="F45" t="inlineStr">
        <is>
          <t>Functional</t>
        </is>
      </c>
      <c r="G45" t="inlineStr">
        <is>
          <t>Functional</t>
        </is>
      </c>
      <c r="H45" t="inlineStr"/>
      <c r="I45" t="inlineStr"/>
      <c r="J45" t="inlineStr">
        <is>
          <t>Financials</t>
        </is>
      </c>
      <c r="K45" t="inlineStr">
        <is>
          <t>N</t>
        </is>
      </c>
      <c r="L45" t="inlineStr">
        <is>
          <t>Y</t>
        </is>
      </c>
      <c r="M45" t="inlineStr">
        <is>
          <t>N</t>
        </is>
      </c>
      <c r="N45" t="inlineStr">
        <is>
          <t>Action type: Steps to Enable. Use the Opt In UI to enable this feature. For instructions, refer to the Optional Uptake of New Features section of this document. Offering: *Financials* No Longer Option</t>
        </is>
      </c>
      <c r="O45" t="inlineStr">
        <is>
          <t>Critical</t>
        </is>
      </c>
      <c r="P45" t="inlineStr">
        <is>
          <t>2025-06-20</t>
        </is>
      </c>
      <c r="Q45" t="inlineStr">
        <is>
          <t>Oracle Fusion 26C Readiness — Financials</t>
        </is>
      </c>
      <c r="R45" t="inlineStr"/>
    </row>
    <row r="46">
      <c r="A46" t="inlineStr">
        <is>
          <t>CHG_IMP_0021</t>
        </is>
      </c>
      <c r="B46" t="inlineStr">
        <is>
          <t>REL_26C</t>
        </is>
      </c>
      <c r="C46" t="inlineStr">
        <is>
          <t>Invoice Import with Supplier Bank Account Details Using Collaboration Messaging Framework</t>
        </is>
      </c>
      <c r="D46" t="inlineStr">
        <is>
          <t>Invoice Import with Supplier Bank Account Details Using Collaboration Messaging Framework. Module: Financials. Release: 26C. Import B2B XML invoices in Fusion Payables with supplier Remit-to Bank Account Number and Supplier IBAN using the Collaboration Messaging. The Collaboration Messaging inbound payload containing the supplier external bank account information, are interfaced to Fusion Payables</t>
        </is>
      </c>
      <c r="E46" t="inlineStr">
        <is>
          <t>Financials</t>
        </is>
      </c>
      <c r="F46" t="inlineStr">
        <is>
          <t>Functional</t>
        </is>
      </c>
      <c r="G46" t="inlineStr">
        <is>
          <t>Functional</t>
        </is>
      </c>
      <c r="H46" t="inlineStr"/>
      <c r="I46" t="inlineStr"/>
      <c r="J46" t="inlineStr">
        <is>
          <t>Financials</t>
        </is>
      </c>
      <c r="K46" t="inlineStr">
        <is>
          <t>N</t>
        </is>
      </c>
      <c r="L46" t="inlineStr">
        <is>
          <t>N</t>
        </is>
      </c>
      <c r="M46" t="inlineStr">
        <is>
          <t>N</t>
        </is>
      </c>
      <c r="N46" t="inlineStr">
        <is>
          <t>Auto-enabled — no action required</t>
        </is>
      </c>
      <c r="O46" t="inlineStr">
        <is>
          <t>Low</t>
        </is>
      </c>
      <c r="P46" t="inlineStr">
        <is>
          <t>2025-06-20</t>
        </is>
      </c>
      <c r="Q46" t="inlineStr">
        <is>
          <t>Oracle Fusion 26C Readiness — Financials</t>
        </is>
      </c>
      <c r="R46" t="inlineStr"/>
    </row>
    <row r="47">
      <c r="A47" t="inlineStr">
        <is>
          <t>CHG_IMP_0022</t>
        </is>
      </c>
      <c r="B47" t="inlineStr">
        <is>
          <t>REL_26C</t>
        </is>
      </c>
      <c r="C47" t="inlineStr">
        <is>
          <t>JPK Accounting Books Extract for Poland</t>
        </is>
      </c>
      <c r="D47" t="inlineStr">
        <is>
          <t>JPK Accounting Books Extract for Poland. Module: Financials. Release: 26C. Generate the JPK_ST_KR asset register section using the revised JPK_CIT audit file format for Poland. This report includes asset information from both accounting and tax asset books for the same asset records and follows the XML schema defined by the Polish tax authorities.
The JPK_ST_KR report is</t>
        </is>
      </c>
      <c r="E47" t="inlineStr">
        <is>
          <t>Financials</t>
        </is>
      </c>
      <c r="F47" t="inlineStr">
        <is>
          <t>Functional</t>
        </is>
      </c>
      <c r="G47" t="inlineStr">
        <is>
          <t>Functional</t>
        </is>
      </c>
      <c r="H47" t="inlineStr"/>
      <c r="I47" t="inlineStr"/>
      <c r="J47" t="inlineStr">
        <is>
          <t>Financials</t>
        </is>
      </c>
      <c r="K47" t="inlineStr">
        <is>
          <t>N</t>
        </is>
      </c>
      <c r="L47" t="inlineStr">
        <is>
          <t>Y</t>
        </is>
      </c>
      <c r="M47" t="inlineStr">
        <is>
          <t>N</t>
        </is>
      </c>
      <c r="N47" t="inlineStr">
        <is>
          <t>Action type: Steps to Enable. No additional system configuration is required to run the report. However, ensure that required lookup values and global descriptive flexfields (GDFs) are populated for a</t>
        </is>
      </c>
      <c r="O47" t="inlineStr">
        <is>
          <t>Critical</t>
        </is>
      </c>
      <c r="P47" t="inlineStr">
        <is>
          <t>2025-06-20</t>
        </is>
      </c>
      <c r="Q47" t="inlineStr">
        <is>
          <t>Oracle Fusion 26C Readiness — Financials</t>
        </is>
      </c>
      <c r="R47" t="inlineStr"/>
    </row>
    <row r="48">
      <c r="A48" t="inlineStr">
        <is>
          <t>CHG_IMP_0023</t>
        </is>
      </c>
      <c r="B48" t="inlineStr">
        <is>
          <t>REL_26C</t>
        </is>
      </c>
      <c r="C48" t="inlineStr">
        <is>
          <t>JPK VAT File Updates for Poland 2026 Electronic Invoicing Changes</t>
        </is>
      </c>
      <c r="D48" t="inlineStr">
        <is>
          <t xml:space="preserve">JPK VAT File Updates for Poland 2026 Electronic Invoicing Changes. Module: Financials. Release: 26C. Capture and report transaction classification codes on Payables and Receivables invoices when the KSeF number is either unavailable or to be received at a later date. Keep KSeF numbers and classification codes synchronized across ERP records and Tax Registers.
Add new classification fields to the </t>
        </is>
      </c>
      <c r="E48" t="inlineStr">
        <is>
          <t>Financials</t>
        </is>
      </c>
      <c r="F48" t="inlineStr">
        <is>
          <t>Functional</t>
        </is>
      </c>
      <c r="G48" t="inlineStr">
        <is>
          <t>Functional</t>
        </is>
      </c>
      <c r="H48" t="inlineStr"/>
      <c r="I48" t="inlineStr"/>
      <c r="J48" t="inlineStr">
        <is>
          <t>Financials</t>
        </is>
      </c>
      <c r="K48" t="inlineStr">
        <is>
          <t>N</t>
        </is>
      </c>
      <c r="L48" t="inlineStr">
        <is>
          <t>Y</t>
        </is>
      </c>
      <c r="M48" t="inlineStr">
        <is>
          <t>N</t>
        </is>
      </c>
      <c r="N48" t="inlineStr">
        <is>
          <t>Action type: Steps to Enable. **Setup Steps** To report tax amounts for unrefunded deposits collected for products in beverage packaging in the P_360 and K_360 tax boxes in the Sales Registe</t>
        </is>
      </c>
      <c r="O48" t="inlineStr">
        <is>
          <t>Critical</t>
        </is>
      </c>
      <c r="P48" t="inlineStr">
        <is>
          <t>2025-06-20</t>
        </is>
      </c>
      <c r="Q48" t="inlineStr">
        <is>
          <t>Oracle Fusion 26C Readiness — Financials</t>
        </is>
      </c>
      <c r="R48" t="inlineStr"/>
    </row>
    <row r="49">
      <c r="A49" t="inlineStr">
        <is>
          <t>CHG_IMP_0024</t>
        </is>
      </c>
      <c r="B49" t="inlineStr">
        <is>
          <t>REL_26C</t>
        </is>
      </c>
      <c r="C49" t="inlineStr">
        <is>
          <t>Lease Impairments by Representation</t>
        </is>
      </c>
      <c r="D49" t="inlineStr">
        <is>
          <t>Lease Impairments by Representation. Module: Financials. Release: 26C. Record lease impairments by capturing impairment percentages and recoverable values separately for primary and secondary representations. Lease administrators can create impairment transactions to write down the right-of-use asset balances for each representation, supporting compliance with varying</t>
        </is>
      </c>
      <c r="E49" t="inlineStr">
        <is>
          <t>Financials</t>
        </is>
      </c>
      <c r="F49" t="inlineStr">
        <is>
          <t>Functional</t>
        </is>
      </c>
      <c r="G49" t="inlineStr">
        <is>
          <t>Functional</t>
        </is>
      </c>
      <c r="H49" t="inlineStr"/>
      <c r="I49" t="inlineStr"/>
      <c r="J49" t="inlineStr">
        <is>
          <t>Financials</t>
        </is>
      </c>
      <c r="K49" t="inlineStr">
        <is>
          <t>N</t>
        </is>
      </c>
      <c r="L49" t="inlineStr">
        <is>
          <t>N</t>
        </is>
      </c>
      <c r="M49" t="inlineStr">
        <is>
          <t>N</t>
        </is>
      </c>
      <c r="N49" t="inlineStr">
        <is>
          <t>Auto-enabled — no action required</t>
        </is>
      </c>
      <c r="O49" t="inlineStr">
        <is>
          <t>Low</t>
        </is>
      </c>
      <c r="P49" t="inlineStr">
        <is>
          <t>2025-06-20</t>
        </is>
      </c>
      <c r="Q49" t="inlineStr">
        <is>
          <t>Oracle Fusion 26C Readiness — Financials</t>
        </is>
      </c>
      <c r="R49" t="inlineStr"/>
    </row>
    <row r="50">
      <c r="A50" t="inlineStr">
        <is>
          <t>CHG_IMP_0025</t>
        </is>
      </c>
      <c r="B50" t="inlineStr">
        <is>
          <t>REL_26C</t>
        </is>
      </c>
      <c r="C50" t="inlineStr">
        <is>
          <t>Lease Migration Balances by Representation</t>
        </is>
      </c>
      <c r="D50" t="inlineStr">
        <is>
          <t>Lease Migration Balances by Representation. Module: Financials. Release: 26C. Capture separate right-of-use asset and accumulated amortization balances for both primary and secondary representations when importing midlife expense leases. Record either gross or net right-of-use asset balances and their corresponding accumulated amortization for each representation during the m</t>
        </is>
      </c>
      <c r="E50" t="inlineStr">
        <is>
          <t>Financials</t>
        </is>
      </c>
      <c r="F50" t="inlineStr">
        <is>
          <t>Functional</t>
        </is>
      </c>
      <c r="G50" t="inlineStr">
        <is>
          <t>Functional</t>
        </is>
      </c>
      <c r="H50" t="inlineStr"/>
      <c r="I50" t="inlineStr"/>
      <c r="J50" t="inlineStr">
        <is>
          <t>Financials</t>
        </is>
      </c>
      <c r="K50" t="inlineStr">
        <is>
          <t>N</t>
        </is>
      </c>
      <c r="L50" t="inlineStr">
        <is>
          <t>N</t>
        </is>
      </c>
      <c r="M50" t="inlineStr">
        <is>
          <t>N</t>
        </is>
      </c>
      <c r="N50" t="inlineStr">
        <is>
          <t>Auto-enabled — no action required</t>
        </is>
      </c>
      <c r="O50" t="inlineStr">
        <is>
          <t>Low</t>
        </is>
      </c>
      <c r="P50" t="inlineStr">
        <is>
          <t>2025-06-20</t>
        </is>
      </c>
      <c r="Q50" t="inlineStr">
        <is>
          <t>Oracle Fusion 26C Readiness — Financials</t>
        </is>
      </c>
      <c r="R50" t="inlineStr"/>
    </row>
    <row r="51">
      <c r="A51" t="inlineStr">
        <is>
          <t>CHG_IMP_0026</t>
        </is>
      </c>
      <c r="B51" t="inlineStr">
        <is>
          <t>REL_26C</t>
        </is>
      </c>
      <c r="C51" t="inlineStr">
        <is>
          <t>Ledger Agentic Application</t>
        </is>
      </c>
      <c r="D51" t="inlineStr">
        <is>
          <t>Ledger Agentic Application. Module: Financials. Release: 26C. Ledger Agentic Application modernizes accounting operations by evolving the capabilities of Ledger Agent into a unified workspace for day-to-day accounting activities. Leveraging agentic application capabilities, it combines conversational intelligence, deeper financial reasoning, policy-driven reco</t>
        </is>
      </c>
      <c r="E51" t="inlineStr">
        <is>
          <t>Financials</t>
        </is>
      </c>
      <c r="F51" t="inlineStr">
        <is>
          <t>Functional</t>
        </is>
      </c>
      <c r="G51" t="inlineStr">
        <is>
          <t>Functional</t>
        </is>
      </c>
      <c r="H51" t="inlineStr"/>
      <c r="I51" t="inlineStr"/>
      <c r="J51" t="inlineStr">
        <is>
          <t>Financials</t>
        </is>
      </c>
      <c r="K51" t="inlineStr">
        <is>
          <t>N</t>
        </is>
      </c>
      <c r="L51" t="inlineStr">
        <is>
          <t>Y</t>
        </is>
      </c>
      <c r="M51" t="inlineStr">
        <is>
          <t>N</t>
        </is>
      </c>
      <c r="N51" t="inlineStr">
        <is>
          <t xml:space="preserve">Action type: Steps to Enable. • Sign in as an Application Implementation Consultant. • Navigate to **Setup and Maintenance**. • In the **Financials**offering, open the General Ledger functional area. </t>
        </is>
      </c>
      <c r="O51" t="inlineStr">
        <is>
          <t>Critical</t>
        </is>
      </c>
      <c r="P51" t="inlineStr">
        <is>
          <t>2025-06-20</t>
        </is>
      </c>
      <c r="Q51" t="inlineStr">
        <is>
          <t>Oracle Fusion 26C Readiness — Financials</t>
        </is>
      </c>
      <c r="R51" t="inlineStr"/>
    </row>
    <row r="52">
      <c r="A52" t="inlineStr">
        <is>
          <t>CHG_IMP_0027</t>
        </is>
      </c>
      <c r="B52" t="inlineStr">
        <is>
          <t>REL_26C</t>
        </is>
      </c>
      <c r="C52" t="inlineStr">
        <is>
          <t>Liability Reclassification Calculation Options for Negative Short-Term Liability</t>
        </is>
      </c>
      <c r="D52" t="inlineStr">
        <is>
          <t>Liability Reclassification Calculation Options for Negative Short-Term Liability. Module: Financials. Release: 26C. Configure alternate calculation methods for reclassifying lease liabilities using the Amortized Liability Balance approach. Choose between Simple Amortized Liability Balance and Adjusted Amortized Liability Balance methods to break out the lease liability into short-term and long-ter</t>
        </is>
      </c>
      <c r="E52" t="inlineStr">
        <is>
          <t>Financials</t>
        </is>
      </c>
      <c r="F52" t="inlineStr">
        <is>
          <t>Functional</t>
        </is>
      </c>
      <c r="G52" t="inlineStr">
        <is>
          <t>Functional</t>
        </is>
      </c>
      <c r="H52" t="inlineStr"/>
      <c r="I52" t="inlineStr"/>
      <c r="J52" t="inlineStr">
        <is>
          <t>Financials</t>
        </is>
      </c>
      <c r="K52" t="inlineStr">
        <is>
          <t>N</t>
        </is>
      </c>
      <c r="L52" t="inlineStr">
        <is>
          <t>Y</t>
        </is>
      </c>
      <c r="M52" t="inlineStr">
        <is>
          <t>N</t>
        </is>
      </c>
      <c r="N52" t="inlineStr">
        <is>
          <t>Action type: Steps to Enable. Use the Opt In UI to enable this feature. For instructions, refer to the Optional Uptake of New Features section of this document. Offering: *Fin</t>
        </is>
      </c>
      <c r="O52" t="inlineStr">
        <is>
          <t>Critical</t>
        </is>
      </c>
      <c r="P52" t="inlineStr">
        <is>
          <t>2025-06-20</t>
        </is>
      </c>
      <c r="Q52" t="inlineStr">
        <is>
          <t>Oracle Fusion 26C Readiness — Financials</t>
        </is>
      </c>
      <c r="R52" t="inlineStr"/>
    </row>
    <row r="53">
      <c r="A53" t="inlineStr">
        <is>
          <t>CHG_IMP_0028</t>
        </is>
      </c>
      <c r="B53" t="inlineStr">
        <is>
          <t>REL_26C</t>
        </is>
      </c>
      <c r="C53" t="inlineStr">
        <is>
          <t>Original Invoice and Credit Memo References for Rebill Invoices</t>
        </is>
      </c>
      <c r="D53" t="inlineStr">
        <is>
          <t>Original Invoice and Credit Memo References for Rebill Invoices. Module: Financials. Release: 26C. Use the Rebill Source Transaction field in the Create or Edit Transaction page to associate a rebill invoice with its original invoice, improving traceability during rebill transactions.
When creating or editing a rebill invoice, enter the original invoice in the Rebill Source Transaction field. If</t>
        </is>
      </c>
      <c r="E53" t="inlineStr">
        <is>
          <t>Financials</t>
        </is>
      </c>
      <c r="F53" t="inlineStr">
        <is>
          <t>Functional</t>
        </is>
      </c>
      <c r="G53" t="inlineStr">
        <is>
          <t>Functional</t>
        </is>
      </c>
      <c r="H53" t="inlineStr"/>
      <c r="I53" t="inlineStr"/>
      <c r="J53" t="inlineStr">
        <is>
          <t>Financials</t>
        </is>
      </c>
      <c r="K53" t="inlineStr">
        <is>
          <t>N</t>
        </is>
      </c>
      <c r="L53" t="inlineStr">
        <is>
          <t>N</t>
        </is>
      </c>
      <c r="M53" t="inlineStr">
        <is>
          <t>N</t>
        </is>
      </c>
      <c r="N53" t="inlineStr">
        <is>
          <t>Auto-enabled — no action required</t>
        </is>
      </c>
      <c r="O53" t="inlineStr">
        <is>
          <t>Low</t>
        </is>
      </c>
      <c r="P53" t="inlineStr">
        <is>
          <t>2025-06-20</t>
        </is>
      </c>
      <c r="Q53" t="inlineStr">
        <is>
          <t>Oracle Fusion 26C Readiness — Financials</t>
        </is>
      </c>
      <c r="R53" t="inlineStr"/>
    </row>
    <row r="54">
      <c r="A54" t="inlineStr">
        <is>
          <t>CHG_IMP_0029</t>
        </is>
      </c>
      <c r="B54" t="inlineStr">
        <is>
          <t>REL_26C</t>
        </is>
      </c>
      <c r="C54" t="inlineStr">
        <is>
          <t>Partner E-Invoice Integration with Avalara</t>
        </is>
      </c>
      <c r="D54" t="inlineStr">
        <is>
          <t>Partner E-Invoice Integration with Avalara. Module: Financials. Release: 26C. There is a global regulatory trend towards e-invoicing and continuous transaction controls, as governments seek to drive operational efficiency and reduce tax leakage. Businesses operating across multiple countries face significant challenges:
• Processing e-invoices from suppliers worldwide, each</t>
        </is>
      </c>
      <c r="E54" t="inlineStr">
        <is>
          <t>Financials</t>
        </is>
      </c>
      <c r="F54" t="inlineStr">
        <is>
          <t>Functional</t>
        </is>
      </c>
      <c r="G54" t="inlineStr">
        <is>
          <t>Functional</t>
        </is>
      </c>
      <c r="H54" t="inlineStr"/>
      <c r="I54" t="inlineStr"/>
      <c r="J54" t="inlineStr">
        <is>
          <t>Financials</t>
        </is>
      </c>
      <c r="K54" t="inlineStr">
        <is>
          <t>N</t>
        </is>
      </c>
      <c r="L54" t="inlineStr">
        <is>
          <t>Y</t>
        </is>
      </c>
      <c r="M54" t="inlineStr">
        <is>
          <t>N</t>
        </is>
      </c>
      <c r="N54" t="inlineStr">
        <is>
          <t>Action type: Steps to Enable. Before enabling e-invoicing with Avalara in Oracle Fusion Cloud ERP, ensure that the following prerequisites are completed: 1. Finalize agreement with Avalara for using e</t>
        </is>
      </c>
      <c r="O54" t="inlineStr">
        <is>
          <t>Critical</t>
        </is>
      </c>
      <c r="P54" t="inlineStr">
        <is>
          <t>2025-06-20</t>
        </is>
      </c>
      <c r="Q54" t="inlineStr">
        <is>
          <t>Oracle Fusion 26C Readiness — Financials</t>
        </is>
      </c>
      <c r="R54" t="inlineStr"/>
    </row>
    <row r="55">
      <c r="A55" t="inlineStr">
        <is>
          <t>CHG_IMP_0030</t>
        </is>
      </c>
      <c r="B55" t="inlineStr">
        <is>
          <t>REL_26C</t>
        </is>
      </c>
      <c r="C55" t="inlineStr">
        <is>
          <t>Partner E-Invoice Integration with Thomson Reuters for France</t>
        </is>
      </c>
      <c r="D55" t="inlineStr">
        <is>
          <t>Partner E-Invoice Integration with Thomson Reuters for France. Module: Financials. Release: 26C. France has mandated e-invoicing and reporting requirements to modernize tax administration, and simplify business-to-business billing. The mandate includes electronic exchange of invoices in structured format between businesses, automatic rejections and reporting of self-billed and cross-border invo</t>
        </is>
      </c>
      <c r="E55" t="inlineStr">
        <is>
          <t>Financials</t>
        </is>
      </c>
      <c r="F55" t="inlineStr">
        <is>
          <t>Functional</t>
        </is>
      </c>
      <c r="G55" t="inlineStr">
        <is>
          <t>Functional</t>
        </is>
      </c>
      <c r="H55" t="inlineStr"/>
      <c r="I55" t="inlineStr"/>
      <c r="J55" t="inlineStr">
        <is>
          <t>Financials</t>
        </is>
      </c>
      <c r="K55" t="inlineStr">
        <is>
          <t>N</t>
        </is>
      </c>
      <c r="L55" t="inlineStr">
        <is>
          <t>Y</t>
        </is>
      </c>
      <c r="M55" t="inlineStr">
        <is>
          <t>N</t>
        </is>
      </c>
      <c r="N55" t="inlineStr">
        <is>
          <t>Action type: Steps to Enable. • Enable partner e-invoice integration service using the setup task “Manage Thomson Reuters Services”. For details on this task, refer to the Partner E-invoice Inte</t>
        </is>
      </c>
      <c r="O55" t="inlineStr">
        <is>
          <t>Critical</t>
        </is>
      </c>
      <c r="P55" t="inlineStr">
        <is>
          <t>2025-06-20</t>
        </is>
      </c>
      <c r="Q55" t="inlineStr">
        <is>
          <t>Oracle Fusion 26C Readiness — Financials</t>
        </is>
      </c>
      <c r="R55" t="inlineStr"/>
    </row>
    <row r="56">
      <c r="A56" t="inlineStr">
        <is>
          <t>CHG_IMP_0031</t>
        </is>
      </c>
      <c r="B56" t="inlineStr">
        <is>
          <t>REL_26C</t>
        </is>
      </c>
      <c r="C56" t="inlineStr">
        <is>
          <t>Payables Agent for Invoice Ingestion, Compliance and Control</t>
        </is>
      </c>
      <c r="D56" t="inlineStr">
        <is>
          <t>Payables Agent for Invoice Ingestion, Compliance and Control. Module: Financials. Release: 26C. The Payables Agent delivers automation and industry best practices across the entire invoice lifecycle, enabling near-touchless processing. By drastically reducing manual intervention, organizations minimize processing errors, maximize operational efficiency, and empower finance teams to refocus on</t>
        </is>
      </c>
      <c r="E56" t="inlineStr">
        <is>
          <t>Financials</t>
        </is>
      </c>
      <c r="F56" t="inlineStr">
        <is>
          <t>Functional</t>
        </is>
      </c>
      <c r="G56" t="inlineStr">
        <is>
          <t>Functional</t>
        </is>
      </c>
      <c r="H56" t="inlineStr"/>
      <c r="I56" t="inlineStr"/>
      <c r="J56" t="inlineStr">
        <is>
          <t>Financials</t>
        </is>
      </c>
      <c r="K56" t="inlineStr">
        <is>
          <t>N</t>
        </is>
      </c>
      <c r="L56" t="inlineStr">
        <is>
          <t>Y</t>
        </is>
      </c>
      <c r="M56" t="inlineStr">
        <is>
          <t>N</t>
        </is>
      </c>
      <c r="N56" t="inlineStr">
        <is>
          <t>Action type: Steps to Enable. **Feature Enablement** This feature is enabled by default. After the required security roles and privileges described in Access Requirement section are configured, u</t>
        </is>
      </c>
      <c r="O56" t="inlineStr">
        <is>
          <t>Critical</t>
        </is>
      </c>
      <c r="P56" t="inlineStr">
        <is>
          <t>2025-06-20</t>
        </is>
      </c>
      <c r="Q56" t="inlineStr">
        <is>
          <t>Oracle Fusion 26C Readiness — Financials</t>
        </is>
      </c>
      <c r="R56" t="inlineStr"/>
    </row>
    <row r="57">
      <c r="A57" t="inlineStr">
        <is>
          <t>CHG_IMP_0032</t>
        </is>
      </c>
      <c r="B57" t="inlineStr">
        <is>
          <t>REL_26C</t>
        </is>
      </c>
      <c r="C57" t="inlineStr">
        <is>
          <t>Payments Agent for Payment Options, Offers, and Execution</t>
        </is>
      </c>
      <c r="D57" t="inlineStr">
        <is>
          <t>Payments Agent for Payment Options, Offers, and Execution. Module: Financials. Release: 26C. The Payments Agent continues to enhance conversational, insight-driven experiences across Payment Options, Supplier Offers, and Payment Execution. In this release, a new page for Payments Agent provides a centralized workspace where users can access key insights, interact through the Ask Oracle bar,</t>
        </is>
      </c>
      <c r="E57" t="inlineStr">
        <is>
          <t>Financials</t>
        </is>
      </c>
      <c r="F57" t="inlineStr">
        <is>
          <t>Functional</t>
        </is>
      </c>
      <c r="G57" t="inlineStr">
        <is>
          <t>Functional</t>
        </is>
      </c>
      <c r="H57" t="inlineStr"/>
      <c r="I57" t="inlineStr"/>
      <c r="J57" t="inlineStr">
        <is>
          <t>Financials</t>
        </is>
      </c>
      <c r="K57" t="inlineStr">
        <is>
          <t>N</t>
        </is>
      </c>
      <c r="L57" t="inlineStr">
        <is>
          <t>Y</t>
        </is>
      </c>
      <c r="M57" t="inlineStr">
        <is>
          <t>N</t>
        </is>
      </c>
      <c r="N57" t="inlineStr">
        <is>
          <t xml:space="preserve">Action type: Steps to Enable. • No additional setup is required for these enhancements if Payments Agent is already enabled. • Users can still access the current Insights and Payments through their </t>
        </is>
      </c>
      <c r="O57" t="inlineStr">
        <is>
          <t>Critical</t>
        </is>
      </c>
      <c r="P57" t="inlineStr">
        <is>
          <t>2025-06-20</t>
        </is>
      </c>
      <c r="Q57" t="inlineStr">
        <is>
          <t>Oracle Fusion 26C Readiness — Financials</t>
        </is>
      </c>
      <c r="R57" t="inlineStr"/>
    </row>
    <row r="58">
      <c r="A58" t="inlineStr">
        <is>
          <t>CHG_IMP_0033</t>
        </is>
      </c>
      <c r="B58" t="inlineStr">
        <is>
          <t>REL_26C</t>
        </is>
      </c>
      <c r="C58" t="inlineStr">
        <is>
          <t>Purge Expired Outbound and Inbound Message Files from the Oracle Content Repository</t>
        </is>
      </c>
      <c r="D58" t="inlineStr">
        <is>
          <t xml:space="preserve">Purge Expired Outbound and Inbound Message Files from the Oracle Content Repository. Module: Financials. Release: 26C. Oracle Collaboration Messaging stores integration artifacts in specific repository accounts. Over time, these files can accumulate, driving storage growth and slowing down queries, which can impact overall processing performance.
 You can use the **Run Data Lifecycle Process for </t>
        </is>
      </c>
      <c r="E58" t="inlineStr">
        <is>
          <t>Financials</t>
        </is>
      </c>
      <c r="F58" t="inlineStr">
        <is>
          <t>Functional</t>
        </is>
      </c>
      <c r="G58" t="inlineStr">
        <is>
          <t>Functional</t>
        </is>
      </c>
      <c r="H58" t="inlineStr"/>
      <c r="I58" t="inlineStr"/>
      <c r="J58" t="inlineStr">
        <is>
          <t>Financials</t>
        </is>
      </c>
      <c r="K58" t="inlineStr">
        <is>
          <t>N</t>
        </is>
      </c>
      <c r="L58" t="inlineStr">
        <is>
          <t>Y</t>
        </is>
      </c>
      <c r="M58" t="inlineStr">
        <is>
          <t>N</t>
        </is>
      </c>
      <c r="N58" t="inlineStr">
        <is>
          <t>Action type: Steps to Enable. Here's how you can clean up accumulated files: 1. From the **Scheduled Processes** area, schedule the **Run Data Lifecycle Process for Collabo</t>
        </is>
      </c>
      <c r="O58" t="inlineStr">
        <is>
          <t>Critical</t>
        </is>
      </c>
      <c r="P58" t="inlineStr">
        <is>
          <t>2025-06-20</t>
        </is>
      </c>
      <c r="Q58" t="inlineStr">
        <is>
          <t>Oracle Fusion 26C Readiness — Financials</t>
        </is>
      </c>
      <c r="R58" t="inlineStr"/>
    </row>
    <row r="59">
      <c r="A59" t="inlineStr">
        <is>
          <t>CHG_IMP_0034</t>
        </is>
      </c>
      <c r="B59" t="inlineStr">
        <is>
          <t>REL_26C</t>
        </is>
      </c>
      <c r="C59" t="inlineStr">
        <is>
          <t>Redwood: Manage B2B Certificates</t>
        </is>
      </c>
      <c r="D59" t="inlineStr">
        <is>
          <t>Redwood: Manage B2B Certificates. Module: Financials. Release: 26C. You can now use a Redwood page to define, manage, and maintain the digital certificates used to enable encryption and decryption for collaboration messages exchanged with your trading partners using the AS2 protocol via Oracle B2B.
This helps protect sensitive data in transit and meet organizationa</t>
        </is>
      </c>
      <c r="E59" t="inlineStr">
        <is>
          <t>Financials</t>
        </is>
      </c>
      <c r="F59" t="inlineStr">
        <is>
          <t>Functional</t>
        </is>
      </c>
      <c r="G59" t="inlineStr">
        <is>
          <t>Functional</t>
        </is>
      </c>
      <c r="H59" t="inlineStr"/>
      <c r="I59" t="inlineStr"/>
      <c r="J59" t="inlineStr">
        <is>
          <t>Financials</t>
        </is>
      </c>
      <c r="K59" t="inlineStr">
        <is>
          <t>N</t>
        </is>
      </c>
      <c r="L59" t="inlineStr">
        <is>
          <t>Y</t>
        </is>
      </c>
      <c r="M59" t="inlineStr">
        <is>
          <t>N</t>
        </is>
      </c>
      <c r="N59" t="inlineStr">
        <is>
          <t>Action type: Steps to Enable. You can access this functionality by enabling the feature **Simplify Configuration and Processing for B2B Messaging**orthe profile option **ORA_CMK_MESSAGING_CERTIFICATES</t>
        </is>
      </c>
      <c r="O59" t="inlineStr">
        <is>
          <t>Critical</t>
        </is>
      </c>
      <c r="P59" t="inlineStr">
        <is>
          <t>2025-06-20</t>
        </is>
      </c>
      <c r="Q59" t="inlineStr">
        <is>
          <t>Oracle Fusion 26C Readiness — Financials</t>
        </is>
      </c>
      <c r="R59" t="inlineStr"/>
    </row>
    <row r="60">
      <c r="A60" t="inlineStr">
        <is>
          <t>CHG_IMP_0035</t>
        </is>
      </c>
      <c r="B60" t="inlineStr">
        <is>
          <t>REL_26C</t>
        </is>
      </c>
      <c r="C60" t="inlineStr">
        <is>
          <t>Redwood: Migrate B2B Location Codes to Customer B2B properties</t>
        </is>
      </c>
      <c r="D60" t="inlineStr">
        <is>
          <t>Redwood: Migrate B2B Location Codes to Customer B2B properties. Module: Financials. Release: 26C. You can use a Redwood page to define and maintain location codes used to identify ship-to and bill-to locations when processing order-to-cash messages.
Here are the messages that support this feature:
• Purchase Order - Inbound
• Purchase Order Change - Inbound
• Purchase Order Cancellation – Inbo</t>
        </is>
      </c>
      <c r="E60" t="inlineStr">
        <is>
          <t>Financials</t>
        </is>
      </c>
      <c r="F60" t="inlineStr">
        <is>
          <t>Functional</t>
        </is>
      </c>
      <c r="G60" t="inlineStr">
        <is>
          <t>Functional</t>
        </is>
      </c>
      <c r="H60" t="inlineStr"/>
      <c r="I60" t="inlineStr"/>
      <c r="J60" t="inlineStr">
        <is>
          <t>Financials</t>
        </is>
      </c>
      <c r="K60" t="inlineStr">
        <is>
          <t>N</t>
        </is>
      </c>
      <c r="L60" t="inlineStr">
        <is>
          <t>Y</t>
        </is>
      </c>
      <c r="M60" t="inlineStr">
        <is>
          <t>N</t>
        </is>
      </c>
      <c r="N60" t="inlineStr">
        <is>
          <t>Action type: Steps to Enable. You can access this functionality by enabling the feature **Simplify Configuration and Processing for B2B Messaging**. 1. Perform the following standard steps to s</t>
        </is>
      </c>
      <c r="O60" t="inlineStr">
        <is>
          <t>Critical</t>
        </is>
      </c>
      <c r="P60" t="inlineStr">
        <is>
          <t>2025-06-20</t>
        </is>
      </c>
      <c r="Q60" t="inlineStr">
        <is>
          <t>Oracle Fusion 26C Readiness — Financials</t>
        </is>
      </c>
      <c r="R60" t="inlineStr"/>
    </row>
    <row r="61">
      <c r="A61" t="inlineStr">
        <is>
          <t>CHG_IMP_0036</t>
        </is>
      </c>
      <c r="B61" t="inlineStr">
        <is>
          <t>REL_26C</t>
        </is>
      </c>
      <c r="C61" t="inlineStr">
        <is>
          <t>Report Sales Order Import Errors</t>
        </is>
      </c>
      <c r="D61" t="inlineStr">
        <is>
          <t>Report Sales Order Import Errors. Module: Financials. Release: 26C. You can now view Oracle Order Management failure or error notifications for inbound PO messages submitted via Collaboration Messaging (Purchase Order, Purchase Order Change, and Purchase Order Cancellation). These notifications are generated after the Import Sales Orders scheduled process runs, so t</t>
        </is>
      </c>
      <c r="E61" t="inlineStr">
        <is>
          <t>Financials</t>
        </is>
      </c>
      <c r="F61" t="inlineStr">
        <is>
          <t>Functional</t>
        </is>
      </c>
      <c r="G61" t="inlineStr">
        <is>
          <t>Functional</t>
        </is>
      </c>
      <c r="H61" t="inlineStr"/>
      <c r="I61" t="inlineStr"/>
      <c r="J61" t="inlineStr">
        <is>
          <t>Financials</t>
        </is>
      </c>
      <c r="K61" t="inlineStr">
        <is>
          <t>N</t>
        </is>
      </c>
      <c r="L61" t="inlineStr">
        <is>
          <t>Y</t>
        </is>
      </c>
      <c r="M61" t="inlineStr">
        <is>
          <t>N</t>
        </is>
      </c>
      <c r="N61" t="inlineStr">
        <is>
          <t xml:space="preserve">Action type: Steps to Enable. 1. Perform the following high-level tasks to set up your documents: • Define your providers. • Create connections. • Assign properties to your inbound order documents. • </t>
        </is>
      </c>
      <c r="O61" t="inlineStr">
        <is>
          <t>Critical</t>
        </is>
      </c>
      <c r="P61" t="inlineStr">
        <is>
          <t>2025-06-20</t>
        </is>
      </c>
      <c r="Q61" t="inlineStr">
        <is>
          <t>Oracle Fusion 26C Readiness — Financials</t>
        </is>
      </c>
      <c r="R61" t="inlineStr"/>
    </row>
    <row r="62">
      <c r="A62" t="inlineStr">
        <is>
          <t>CHG_IMP_0037</t>
        </is>
      </c>
      <c r="B62" t="inlineStr">
        <is>
          <t>REL_26C</t>
        </is>
      </c>
      <c r="C62" t="inlineStr">
        <is>
          <t>Retirement Assistant</t>
        </is>
      </c>
      <c r="D62" t="inlineStr">
        <is>
          <t>Retirement Assistant. Module: Financials. Release: 26C. The Retirement Assistant simplifies and streamlines the asset retirement process through an intuitive conversational experience that helps fixed asset accountants submit, review, and process retirement activity more efficiently. The assistant also supports the processing of retirement requests submi</t>
        </is>
      </c>
      <c r="E62" t="inlineStr">
        <is>
          <t>Financials</t>
        </is>
      </c>
      <c r="F62" t="inlineStr">
        <is>
          <t>Functional</t>
        </is>
      </c>
      <c r="G62" t="inlineStr">
        <is>
          <t>Functional</t>
        </is>
      </c>
      <c r="H62" t="inlineStr"/>
      <c r="I62" t="inlineStr"/>
      <c r="J62" t="inlineStr">
        <is>
          <t>Financials</t>
        </is>
      </c>
      <c r="K62" t="inlineStr">
        <is>
          <t>N</t>
        </is>
      </c>
      <c r="L62" t="inlineStr">
        <is>
          <t>N</t>
        </is>
      </c>
      <c r="M62" t="inlineStr">
        <is>
          <t>N</t>
        </is>
      </c>
      <c r="N62" t="inlineStr">
        <is>
          <t>Auto-enabled — no action required</t>
        </is>
      </c>
      <c r="O62" t="inlineStr">
        <is>
          <t>Low</t>
        </is>
      </c>
      <c r="P62" t="inlineStr">
        <is>
          <t>2025-06-20</t>
        </is>
      </c>
      <c r="Q62" t="inlineStr">
        <is>
          <t>Oracle Fusion 26C Readiness — Financials</t>
        </is>
      </c>
      <c r="R62" t="inlineStr"/>
    </row>
    <row r="63">
      <c r="A63" t="inlineStr">
        <is>
          <t>CHG_IMP_0038</t>
        </is>
      </c>
      <c r="B63" t="inlineStr">
        <is>
          <t>REL_26C</t>
        </is>
      </c>
      <c r="C63" t="inlineStr">
        <is>
          <t>Retirement Request Assistant</t>
        </is>
      </c>
      <c r="D63" t="inlineStr">
        <is>
          <t>Retirement Request Assistant. Module: Financials. Release: 26C. The Retirement Request Assistant streamlines the asset retirement process by submitting and tracking retirement requests through a guided conversational experience.
The following options are presented when you open the assistant:
• Retire My Assets
• Show My Recent Retirement Requests
**Retire My</t>
        </is>
      </c>
      <c r="E63" t="inlineStr">
        <is>
          <t>Financials</t>
        </is>
      </c>
      <c r="F63" t="inlineStr">
        <is>
          <t>Functional</t>
        </is>
      </c>
      <c r="G63" t="inlineStr">
        <is>
          <t>Functional</t>
        </is>
      </c>
      <c r="H63" t="inlineStr"/>
      <c r="I63" t="inlineStr"/>
      <c r="J63" t="inlineStr">
        <is>
          <t>Financials</t>
        </is>
      </c>
      <c r="K63" t="inlineStr">
        <is>
          <t>N</t>
        </is>
      </c>
      <c r="L63" t="inlineStr">
        <is>
          <t>N</t>
        </is>
      </c>
      <c r="M63" t="inlineStr">
        <is>
          <t>N</t>
        </is>
      </c>
      <c r="N63" t="inlineStr">
        <is>
          <t>Auto-enabled — no action required</t>
        </is>
      </c>
      <c r="O63" t="inlineStr">
        <is>
          <t>Low</t>
        </is>
      </c>
      <c r="P63" t="inlineStr">
        <is>
          <t>2025-06-20</t>
        </is>
      </c>
      <c r="Q63" t="inlineStr">
        <is>
          <t>Oracle Fusion 26C Readiness — Financials</t>
        </is>
      </c>
      <c r="R63" t="inlineStr"/>
    </row>
    <row r="64">
      <c r="A64" t="inlineStr">
        <is>
          <t>CHG_IMP_0039</t>
        </is>
      </c>
      <c r="B64" t="inlineStr">
        <is>
          <t>REL_26C</t>
        </is>
      </c>
      <c r="C64" t="inlineStr">
        <is>
          <t>Revenue Contract Realignment</t>
        </is>
      </c>
      <c r="D64" t="inlineStr">
        <is>
          <t>Revenue Contract Realignment. Module: Financials. Release: 26C. Reassign performance obligations between revenue contracts to correct any misidentified contract arrangements, ensuring that obligations originating from multiple orders are accurately consolidated into a single contract. This supports compliance with ASC 606 and IFRS 15, improves revenue accuracy,</t>
        </is>
      </c>
      <c r="E64" t="inlineStr">
        <is>
          <t>Financials</t>
        </is>
      </c>
      <c r="F64" t="inlineStr">
        <is>
          <t>Functional</t>
        </is>
      </c>
      <c r="G64" t="inlineStr">
        <is>
          <t>Functional</t>
        </is>
      </c>
      <c r="H64" t="inlineStr"/>
      <c r="I64" t="inlineStr"/>
      <c r="J64" t="inlineStr">
        <is>
          <t>Financials</t>
        </is>
      </c>
      <c r="K64" t="inlineStr">
        <is>
          <t>N</t>
        </is>
      </c>
      <c r="L64" t="inlineStr">
        <is>
          <t>N</t>
        </is>
      </c>
      <c r="M64" t="inlineStr">
        <is>
          <t>N</t>
        </is>
      </c>
      <c r="N64" t="inlineStr">
        <is>
          <t>Auto-enabled — no action required</t>
        </is>
      </c>
      <c r="O64" t="inlineStr">
        <is>
          <t>Low</t>
        </is>
      </c>
      <c r="P64" t="inlineStr">
        <is>
          <t>2025-06-20</t>
        </is>
      </c>
      <c r="Q64" t="inlineStr">
        <is>
          <t>Oracle Fusion 26C Readiness — Financials</t>
        </is>
      </c>
      <c r="R64" t="inlineStr"/>
    </row>
    <row r="65">
      <c r="A65" t="inlineStr">
        <is>
          <t>CHG_IMP_0040</t>
        </is>
      </c>
      <c r="B65" t="inlineStr">
        <is>
          <t>REL_26C</t>
        </is>
      </c>
      <c r="C65" t="inlineStr">
        <is>
          <t>Service Excellence Continuing Investments</t>
        </is>
      </c>
      <c r="D65" t="inlineStr">
        <is>
          <t>Service Excellence Continuing Investments. Module: Financials. Release: 26C. Our ongoing investment in service excellence has a focus on overall usability, resiliency, performance, and security. This work is based on monitoring performance trends, reviewing common use patterns, analyzing service requests, and participating in many discussions with customers.
**Usability:**</t>
        </is>
      </c>
      <c r="E65" t="inlineStr">
        <is>
          <t>Financials</t>
        </is>
      </c>
      <c r="F65" t="inlineStr">
        <is>
          <t>Functional</t>
        </is>
      </c>
      <c r="G65" t="inlineStr">
        <is>
          <t>Functional</t>
        </is>
      </c>
      <c r="H65" t="inlineStr"/>
      <c r="I65" t="inlineStr"/>
      <c r="J65" t="inlineStr">
        <is>
          <t>Financials</t>
        </is>
      </c>
      <c r="K65" t="inlineStr">
        <is>
          <t>N</t>
        </is>
      </c>
      <c r="L65" t="inlineStr">
        <is>
          <t>N</t>
        </is>
      </c>
      <c r="M65" t="inlineStr">
        <is>
          <t>N</t>
        </is>
      </c>
      <c r="N65" t="inlineStr">
        <is>
          <t>Auto-enabled — no action required</t>
        </is>
      </c>
      <c r="O65" t="inlineStr">
        <is>
          <t>Low</t>
        </is>
      </c>
      <c r="P65" t="inlineStr">
        <is>
          <t>2025-06-20</t>
        </is>
      </c>
      <c r="Q65" t="inlineStr">
        <is>
          <t>Oracle Fusion 26C Readiness — Financials</t>
        </is>
      </c>
      <c r="R65" t="inlineStr"/>
    </row>
    <row r="66">
      <c r="A66" t="inlineStr">
        <is>
          <t>CHG_IMP_0041</t>
        </is>
      </c>
      <c r="B66" t="inlineStr">
        <is>
          <t>REL_26C</t>
        </is>
      </c>
      <c r="C66" t="inlineStr">
        <is>
          <t>Split Installments Based on Payment Threshold Amount for Japan Supplier Payments</t>
        </is>
      </c>
      <c r="D66" t="inlineStr">
        <is>
          <t>Split Installments Based on Payment Threshold Amount for Japan Supplier Payments. Module: Financials. Release: 26C. Oracle Payables now supports splitting supplier payment installments based on configurable payment threshold amounts to address common payment practices in Japan. Organizations can automatically divide supplier payments into immediate and deferred portions when the total payment amou</t>
        </is>
      </c>
      <c r="E66" t="inlineStr">
        <is>
          <t>Financials</t>
        </is>
      </c>
      <c r="F66" t="inlineStr">
        <is>
          <t>Functional</t>
        </is>
      </c>
      <c r="G66" t="inlineStr">
        <is>
          <t>Functional</t>
        </is>
      </c>
      <c r="H66" t="inlineStr"/>
      <c r="I66" t="inlineStr"/>
      <c r="J66" t="inlineStr">
        <is>
          <t>Financials</t>
        </is>
      </c>
      <c r="K66" t="inlineStr">
        <is>
          <t>N</t>
        </is>
      </c>
      <c r="L66" t="inlineStr">
        <is>
          <t>Y</t>
        </is>
      </c>
      <c r="M66" t="inlineStr">
        <is>
          <t>N</t>
        </is>
      </c>
      <c r="N66" t="inlineStr">
        <is>
          <t>Action type: Steps to Enable. Use the Opt In UI to enable this feature. For instructions, refer to the Optional Uptake of New Features section of this document. Offering: *Fin</t>
        </is>
      </c>
      <c r="O66" t="inlineStr">
        <is>
          <t>Critical</t>
        </is>
      </c>
      <c r="P66" t="inlineStr">
        <is>
          <t>2025-06-20</t>
        </is>
      </c>
      <c r="Q66" t="inlineStr">
        <is>
          <t>Oracle Fusion 26C Readiness — Financials</t>
        </is>
      </c>
      <c r="R66" t="inlineStr"/>
    </row>
    <row r="67">
      <c r="A67" t="inlineStr">
        <is>
          <t>CHG_IMP_0042</t>
        </is>
      </c>
      <c r="B67" t="inlineStr">
        <is>
          <t>REL_26C</t>
        </is>
      </c>
      <c r="C67" t="inlineStr">
        <is>
          <t>Streamline the Import and Export of Messaging Setup Data</t>
        </is>
      </c>
      <c r="D67" t="inlineStr">
        <is>
          <t>Streamline the Import and Export of Messaging Setup Data. Module: Financials. Release: 26C. You can now export and import Oracle Collaboration Messaging setup data to migrate your configuration across pods and environments like development, test, and production. Setup data includes messaging providers, connections, and partner configurations for both suppliers and customers.
You now have:</t>
        </is>
      </c>
      <c r="E67" t="inlineStr">
        <is>
          <t>Financials</t>
        </is>
      </c>
      <c r="F67" t="inlineStr">
        <is>
          <t>Functional</t>
        </is>
      </c>
      <c r="G67" t="inlineStr">
        <is>
          <t>Functional</t>
        </is>
      </c>
      <c r="H67" t="inlineStr"/>
      <c r="I67" t="inlineStr"/>
      <c r="J67" t="inlineStr">
        <is>
          <t>Financials</t>
        </is>
      </c>
      <c r="K67" t="inlineStr">
        <is>
          <t>N</t>
        </is>
      </c>
      <c r="L67" t="inlineStr">
        <is>
          <t>Y</t>
        </is>
      </c>
      <c r="M67" t="inlineStr">
        <is>
          <t>N</t>
        </is>
      </c>
      <c r="N67" t="inlineStr">
        <is>
          <t>Action type: Steps to Enable. After you enable the **Simplify Configuration and Processing for B2B Messaging** feature, perform the following high-level tasks: 1. Create an implementation project. 2.</t>
        </is>
      </c>
      <c r="O67" t="inlineStr">
        <is>
          <t>Critical</t>
        </is>
      </c>
      <c r="P67" t="inlineStr">
        <is>
          <t>2025-06-20</t>
        </is>
      </c>
      <c r="Q67" t="inlineStr">
        <is>
          <t>Oracle Fusion 26C Readiness — Financials</t>
        </is>
      </c>
      <c r="R67" t="inlineStr"/>
    </row>
    <row r="68">
      <c r="A68" t="inlineStr">
        <is>
          <t>CHG_IMP_0043</t>
        </is>
      </c>
      <c r="B68" t="inlineStr">
        <is>
          <t>REL_26C</t>
        </is>
      </c>
      <c r="C68" t="inlineStr">
        <is>
          <t>Subsidies, Origination, and Interim Rent Payments in Equipment Revenue Leases</t>
        </is>
      </c>
      <c r="D68" t="inlineStr">
        <is>
          <t>Subsidies, Origination, and Interim Rent Payments in Equipment Revenue Leases. Module: Financials. Release: 26C. Create and bill one-time payments for subsidy, origination charges, and interim rent at lease inception, associating each payment with specific assets. Automatically generate revenue recognition schedules and accounting entries for these payments.
To create leases with payments for int</t>
        </is>
      </c>
      <c r="E68" t="inlineStr">
        <is>
          <t>Financials</t>
        </is>
      </c>
      <c r="F68" t="inlineStr">
        <is>
          <t>Functional</t>
        </is>
      </c>
      <c r="G68" t="inlineStr">
        <is>
          <t>Functional</t>
        </is>
      </c>
      <c r="H68" t="inlineStr"/>
      <c r="I68" t="inlineStr"/>
      <c r="J68" t="inlineStr">
        <is>
          <t>Financials</t>
        </is>
      </c>
      <c r="K68" t="inlineStr">
        <is>
          <t>N</t>
        </is>
      </c>
      <c r="L68" t="inlineStr">
        <is>
          <t>Y</t>
        </is>
      </c>
      <c r="M68" t="inlineStr">
        <is>
          <t>N</t>
        </is>
      </c>
      <c r="N68" t="inlineStr">
        <is>
          <t>Action type: Steps to Enable. Use the Opt In UI to enable this feature. For instructions, refer to the Optional Uptake of New Features section of this document. Offering: *Financ</t>
        </is>
      </c>
      <c r="O68" t="inlineStr">
        <is>
          <t>Critical</t>
        </is>
      </c>
      <c r="P68" t="inlineStr">
        <is>
          <t>2025-06-20</t>
        </is>
      </c>
      <c r="Q68" t="inlineStr">
        <is>
          <t>Oracle Fusion 26C Readiness — Financials</t>
        </is>
      </c>
      <c r="R68" t="inlineStr"/>
    </row>
    <row r="69">
      <c r="A69" t="inlineStr">
        <is>
          <t>CHG_IMP_0044</t>
        </is>
      </c>
      <c r="B69" t="inlineStr">
        <is>
          <t>REL_26C</t>
        </is>
      </c>
      <c r="C69" t="inlineStr">
        <is>
          <t>Use Message Converter Service for Outbound Flows</t>
        </is>
      </c>
      <c r="D69" t="inlineStr">
        <is>
          <t>Use Message Converter Service for Outbound Flows. Module: Financials. Release: 26C. You can now enable outbound flows such as ASN Outbound and PO Outbound to use the Message Converter Service when a message definition is configured in mapping file mode. The service retrieves the source payload using the appropriate REST API resource, converts it to XML using configurable JSON mappi</t>
        </is>
      </c>
      <c r="E69" t="inlineStr">
        <is>
          <t>Financials</t>
        </is>
      </c>
      <c r="F69" t="inlineStr">
        <is>
          <t>Functional</t>
        </is>
      </c>
      <c r="G69" t="inlineStr">
        <is>
          <t>Functional</t>
        </is>
      </c>
      <c r="H69" t="inlineStr"/>
      <c r="I69" t="inlineStr"/>
      <c r="J69" t="inlineStr">
        <is>
          <t>Financials</t>
        </is>
      </c>
      <c r="K69" t="inlineStr">
        <is>
          <t>N</t>
        </is>
      </c>
      <c r="L69" t="inlineStr">
        <is>
          <t>Y</t>
        </is>
      </c>
      <c r="M69" t="inlineStr">
        <is>
          <t>N</t>
        </is>
      </c>
      <c r="N69" t="inlineStr">
        <is>
          <t>Action type: Steps to Enable. You can access this functionality by enabling the feature **Simplify Configuration and Processing for B2B Messaging**. Perform the following high-level tasks to set up yo</t>
        </is>
      </c>
      <c r="O69" t="inlineStr">
        <is>
          <t>Critical</t>
        </is>
      </c>
      <c r="P69" t="inlineStr">
        <is>
          <t>2025-06-20</t>
        </is>
      </c>
      <c r="Q69" t="inlineStr">
        <is>
          <t>Oracle Fusion 26C Readiness — Financials</t>
        </is>
      </c>
      <c r="R69" t="inlineStr"/>
    </row>
    <row r="70">
      <c r="A70" t="inlineStr">
        <is>
          <t>CHG_IMP_0045</t>
        </is>
      </c>
      <c r="B70" t="inlineStr">
        <is>
          <t>REL_26C</t>
        </is>
      </c>
      <c r="C70" t="inlineStr">
        <is>
          <t>Automatic Creation of Rebills when Canceling Invoices</t>
        </is>
      </c>
      <c r="D70" t="inlineStr">
        <is>
          <t>Automatic Creation of Rebills when Canceling Invoices. Module: Project Management. Release: 26C. Cancel and rebill project contract invoices with a single action. Rebill invoices contain the same invoice lines and transactions as the original invoice when the cancel and rebill invoice action is initiated without performing any transaction-level adjustments, thereby allowing adjustments as neede</t>
        </is>
      </c>
      <c r="E70" t="inlineStr">
        <is>
          <t>Project Management</t>
        </is>
      </c>
      <c r="F70" t="inlineStr">
        <is>
          <t>Functional</t>
        </is>
      </c>
      <c r="G70" t="inlineStr">
        <is>
          <t>Functional</t>
        </is>
      </c>
      <c r="H70" t="inlineStr"/>
      <c r="I70" t="inlineStr"/>
      <c r="J70" t="inlineStr">
        <is>
          <t>Project Management</t>
        </is>
      </c>
      <c r="K70" t="inlineStr">
        <is>
          <t>N</t>
        </is>
      </c>
      <c r="L70" t="inlineStr">
        <is>
          <t>N</t>
        </is>
      </c>
      <c r="M70" t="inlineStr">
        <is>
          <t>N</t>
        </is>
      </c>
      <c r="N70" t="inlineStr">
        <is>
          <t>Auto-enabled — no action required</t>
        </is>
      </c>
      <c r="O70" t="inlineStr">
        <is>
          <t>Low</t>
        </is>
      </c>
      <c r="P70" t="inlineStr">
        <is>
          <t>2025-06-20</t>
        </is>
      </c>
      <c r="Q70" t="inlineStr">
        <is>
          <t>Oracle Fusion 26C Readiness — Project Management</t>
        </is>
      </c>
      <c r="R70" t="inlineStr"/>
    </row>
    <row r="71">
      <c r="A71" t="inlineStr">
        <is>
          <t>CHG_IMP_0046</t>
        </is>
      </c>
      <c r="B71" t="inlineStr">
        <is>
          <t>REL_26C</t>
        </is>
      </c>
      <c r="C71" t="inlineStr">
        <is>
          <t>Data Extraction Using Read-Only Replicated Data</t>
        </is>
      </c>
      <c r="D71" t="inlineStr">
        <is>
          <t>Data Extraction Using Read-Only Replicated Data. Module: Project Management. Release: 26C. Extract data with improved reliability and speed, with less impact on core application performance. The simplified extraction experience includes support for full or incremental extracts, on-demand runs or schedules, and status monitoring. Use this functionality to extract data for reporting, analyt</t>
        </is>
      </c>
      <c r="E71" t="inlineStr">
        <is>
          <t>Project Management</t>
        </is>
      </c>
      <c r="F71" t="inlineStr">
        <is>
          <t>Functional</t>
        </is>
      </c>
      <c r="G71" t="inlineStr">
        <is>
          <t>Functional</t>
        </is>
      </c>
      <c r="H71" t="inlineStr"/>
      <c r="I71" t="inlineStr"/>
      <c r="J71" t="inlineStr">
        <is>
          <t>Project Management</t>
        </is>
      </c>
      <c r="K71" t="inlineStr">
        <is>
          <t>N</t>
        </is>
      </c>
      <c r="L71" t="inlineStr">
        <is>
          <t>Y</t>
        </is>
      </c>
      <c r="M71" t="inlineStr">
        <is>
          <t>N</t>
        </is>
      </c>
      <c r="N71" t="inlineStr">
        <is>
          <t xml:space="preserve">Action type: Steps to Enable. 1. Use the Opt In UI to enable the Redwood: Extract Application Data from a Read-Only Data Store Using a Redwood Page feature under Financials Offering. • Make sure that </t>
        </is>
      </c>
      <c r="O71" t="inlineStr">
        <is>
          <t>Medium</t>
        </is>
      </c>
      <c r="P71" t="inlineStr">
        <is>
          <t>2025-06-20</t>
        </is>
      </c>
      <c r="Q71" t="inlineStr">
        <is>
          <t>Oracle Fusion 26C Readiness — Project Management</t>
        </is>
      </c>
      <c r="R71" t="inlineStr"/>
    </row>
    <row r="72">
      <c r="A72" t="inlineStr">
        <is>
          <t>CHG_IMP_0047</t>
        </is>
      </c>
      <c r="B72" t="inlineStr">
        <is>
          <t>REL_26C</t>
        </is>
      </c>
      <c r="C72" t="inlineStr">
        <is>
          <t>Labor Commitment Reporting in OTBI</t>
        </is>
      </c>
      <c r="D72" t="inlineStr">
        <is>
          <t>Labor Commitment Reporting in OTBI. Module: Project Management. Release: 26C. Leverage Oracle Transactional Business Intelligence, or OTBI, to report on labor commitment information for project planning and control. Labor commitment reporting helps you analyze future labor commitments and related cost distributions so you can validate project spend, review commitment liquidat</t>
        </is>
      </c>
      <c r="E72" t="inlineStr">
        <is>
          <t>Project Management</t>
        </is>
      </c>
      <c r="F72" t="inlineStr">
        <is>
          <t>Functional</t>
        </is>
      </c>
      <c r="G72" t="inlineStr">
        <is>
          <t>Functional</t>
        </is>
      </c>
      <c r="H72" t="inlineStr"/>
      <c r="I72" t="inlineStr"/>
      <c r="J72" t="inlineStr">
        <is>
          <t>Project Management</t>
        </is>
      </c>
      <c r="K72" t="inlineStr">
        <is>
          <t>N</t>
        </is>
      </c>
      <c r="L72" t="inlineStr">
        <is>
          <t>N</t>
        </is>
      </c>
      <c r="M72" t="inlineStr">
        <is>
          <t>N</t>
        </is>
      </c>
      <c r="N72" t="inlineStr">
        <is>
          <t>Auto-enabled — no action required</t>
        </is>
      </c>
      <c r="O72" t="inlineStr">
        <is>
          <t>Low</t>
        </is>
      </c>
      <c r="P72" t="inlineStr">
        <is>
          <t>2025-06-20</t>
        </is>
      </c>
      <c r="Q72" t="inlineStr">
        <is>
          <t>Oracle Fusion 26C Readiness — Project Management</t>
        </is>
      </c>
      <c r="R72" t="inlineStr"/>
    </row>
    <row r="73">
      <c r="A73" t="inlineStr">
        <is>
          <t>CHG_IMP_0048</t>
        </is>
      </c>
      <c r="B73" t="inlineStr">
        <is>
          <t>REL_26C</t>
        </is>
      </c>
      <c r="C73" t="inlineStr">
        <is>
          <t>Milestone Approval History</t>
        </is>
      </c>
      <c r="D73" t="inlineStr">
        <is>
          <t>Milestone Approval History. Module: Project Management. Release: 26C. Enable project managers to view a detailed approval history for each milestone, including status changes, initiators, approvers, and timestamps for all approval actions. A clear record of the milestone approval events offers transparency and audit.
Milestone Status - Change History
The business be</t>
        </is>
      </c>
      <c r="E73" t="inlineStr">
        <is>
          <t>Project Management</t>
        </is>
      </c>
      <c r="F73" t="inlineStr">
        <is>
          <t>Functional</t>
        </is>
      </c>
      <c r="G73" t="inlineStr">
        <is>
          <t>Functional</t>
        </is>
      </c>
      <c r="H73" t="inlineStr"/>
      <c r="I73" t="inlineStr"/>
      <c r="J73" t="inlineStr">
        <is>
          <t>Project Management</t>
        </is>
      </c>
      <c r="K73" t="inlineStr">
        <is>
          <t>N</t>
        </is>
      </c>
      <c r="L73" t="inlineStr">
        <is>
          <t>N</t>
        </is>
      </c>
      <c r="M73" t="inlineStr">
        <is>
          <t>N</t>
        </is>
      </c>
      <c r="N73" t="inlineStr">
        <is>
          <t>Auto-enabled — no action required</t>
        </is>
      </c>
      <c r="O73" t="inlineStr">
        <is>
          <t>Low</t>
        </is>
      </c>
      <c r="P73" t="inlineStr">
        <is>
          <t>2025-06-20</t>
        </is>
      </c>
      <c r="Q73" t="inlineStr">
        <is>
          <t>Oracle Fusion 26C Readiness — Project Management</t>
        </is>
      </c>
      <c r="R73" t="inlineStr"/>
    </row>
    <row r="74">
      <c r="A74" t="inlineStr">
        <is>
          <t>CHG_IMP_0049</t>
        </is>
      </c>
      <c r="B74" t="inlineStr">
        <is>
          <t>REL_26C</t>
        </is>
      </c>
      <c r="C74" t="inlineStr">
        <is>
          <t>Optional Ship-To Account and Site Through Configurable Contract Line Validations</t>
        </is>
      </c>
      <c r="D74" t="inlineStr">
        <is>
          <t>Optional Ship-To Account and Site Through Configurable Contract Line Validations. Module: Project Management. Release: 26C. Specifying ship-to details on contract lines may be unnecessary when billing for projects or professional services, or when ship-to information is not used as a sales tax determinant. Privileged users can effectively make the ship-to account and ship-to site optional by chang</t>
        </is>
      </c>
      <c r="E74" t="inlineStr">
        <is>
          <t>Project Management</t>
        </is>
      </c>
      <c r="F74" t="inlineStr">
        <is>
          <t>Functional</t>
        </is>
      </c>
      <c r="G74" t="inlineStr">
        <is>
          <t>Functional</t>
        </is>
      </c>
      <c r="H74" t="inlineStr"/>
      <c r="I74" t="inlineStr"/>
      <c r="J74" t="inlineStr">
        <is>
          <t>Project Management</t>
        </is>
      </c>
      <c r="K74" t="inlineStr">
        <is>
          <t>N</t>
        </is>
      </c>
      <c r="L74" t="inlineStr">
        <is>
          <t>Y</t>
        </is>
      </c>
      <c r="M74" t="inlineStr">
        <is>
          <t>N</t>
        </is>
      </c>
      <c r="N74" t="inlineStr">
        <is>
          <t>Action type: Steps to Enable. Two new contract line validations have been added to the **Manage Contract Validations** setup page; one to validate entry of ship-to acc</t>
        </is>
      </c>
      <c r="O74" t="inlineStr">
        <is>
          <t>Medium</t>
        </is>
      </c>
      <c r="P74" t="inlineStr">
        <is>
          <t>2025-06-20</t>
        </is>
      </c>
      <c r="Q74" t="inlineStr">
        <is>
          <t>Oracle Fusion 26C Readiness — Project Management</t>
        </is>
      </c>
      <c r="R74" t="inlineStr"/>
    </row>
    <row r="75">
      <c r="A75" t="inlineStr">
        <is>
          <t>CHG_IMP_0050</t>
        </is>
      </c>
      <c r="B75" t="inlineStr">
        <is>
          <t>REL_26C</t>
        </is>
      </c>
      <c r="C75" t="inlineStr">
        <is>
          <t>Program Performance Advisor</t>
        </is>
      </c>
      <c r="D75" t="inlineStr">
        <is>
          <t>Program Performance Advisor. Module: Project Management. Release: 26C. Drive program success with AI-enabled program analysis and actionable plans. Oracle AI helps uncover program-specific trends and generates actionable recommendations, empowering data-driven decision-making and optimizing program execution.
In seconds, AI analyzes key performance metrics to provide Opt-in required: true.</t>
        </is>
      </c>
      <c r="E75" t="inlineStr">
        <is>
          <t>Project Management</t>
        </is>
      </c>
      <c r="F75" t="inlineStr">
        <is>
          <t>AI Feature</t>
        </is>
      </c>
      <c r="G75" t="inlineStr">
        <is>
          <t>AI Feature</t>
        </is>
      </c>
      <c r="H75" t="inlineStr"/>
      <c r="I75" t="inlineStr"/>
      <c r="J75" t="inlineStr">
        <is>
          <t>Project Management</t>
        </is>
      </c>
      <c r="K75" t="inlineStr">
        <is>
          <t>N</t>
        </is>
      </c>
      <c r="L75" t="inlineStr">
        <is>
          <t>Y</t>
        </is>
      </c>
      <c r="M75" t="inlineStr">
        <is>
          <t>N</t>
        </is>
      </c>
      <c r="N75" t="inlineStr">
        <is>
          <t>Action type: Steps to Enable. Use the Opt In UI to enable this feature. For instructions, refer to the Optional Uptake of New Features section of this document. Offering: *Project Financial Management</t>
        </is>
      </c>
      <c r="O75" t="inlineStr">
        <is>
          <t>Medium</t>
        </is>
      </c>
      <c r="P75" t="inlineStr">
        <is>
          <t>2025-06-20</t>
        </is>
      </c>
      <c r="Q75" t="inlineStr">
        <is>
          <t>Oracle Fusion 26C Readiness — Project Management</t>
        </is>
      </c>
      <c r="R75" t="inlineStr"/>
    </row>
    <row r="76">
      <c r="A76" t="inlineStr">
        <is>
          <t>CHG_IMP_0051</t>
        </is>
      </c>
      <c r="B76" t="inlineStr">
        <is>
          <t>REL_26C</t>
        </is>
      </c>
      <c r="C76" t="inlineStr">
        <is>
          <t>Program Progress Summary Generator</t>
        </is>
      </c>
      <c r="D76" t="inlineStr">
        <is>
          <t>Program Progress Summary Generator. Module: Project Management. Release: 26C. Reduce time spent on report writing with AI-powered summaries for project programs. Generative AI automatically drafts summaries highlighting key achievements, insights, and recommendations. Program managers can then easily edit and finalize the summaries, saving valuable time.
Program managers can Opt-in required: true</t>
        </is>
      </c>
      <c r="E76" t="inlineStr">
        <is>
          <t>Project Management</t>
        </is>
      </c>
      <c r="F76" t="inlineStr">
        <is>
          <t>AI Feature</t>
        </is>
      </c>
      <c r="G76" t="inlineStr">
        <is>
          <t>AI Feature</t>
        </is>
      </c>
      <c r="H76" t="inlineStr"/>
      <c r="I76" t="inlineStr"/>
      <c r="J76" t="inlineStr">
        <is>
          <t>Project Management</t>
        </is>
      </c>
      <c r="K76" t="inlineStr">
        <is>
          <t>N</t>
        </is>
      </c>
      <c r="L76" t="inlineStr">
        <is>
          <t>Y</t>
        </is>
      </c>
      <c r="M76" t="inlineStr">
        <is>
          <t>N</t>
        </is>
      </c>
      <c r="N76" t="inlineStr">
        <is>
          <t>Action type: Steps to Enable. Use the Opt In UI to enable this feature. For instructions, refer to the Optional Uptake of New Features section of this document. Offering: *Project Financial Management</t>
        </is>
      </c>
      <c r="O76" t="inlineStr">
        <is>
          <t>Medium</t>
        </is>
      </c>
      <c r="P76" t="inlineStr">
        <is>
          <t>2025-06-20</t>
        </is>
      </c>
      <c r="Q76" t="inlineStr">
        <is>
          <t>Oracle Fusion 26C Readiness — Project Management</t>
        </is>
      </c>
      <c r="R76" t="inlineStr"/>
    </row>
    <row r="77">
      <c r="A77" t="inlineStr">
        <is>
          <t>CHG_IMP_0052</t>
        </is>
      </c>
      <c r="B77" t="inlineStr">
        <is>
          <t>REL_26C</t>
        </is>
      </c>
      <c r="C77" t="inlineStr">
        <is>
          <t>Project Billing and Revenue Event Creation Assistant</t>
        </is>
      </c>
      <c r="D77" t="inlineStr">
        <is>
          <t>Project Billing and Revenue Event Creation Assistant. Module: Project Management. Release: 26C. Helps users create recurring invoice and revenue events for eligible external fixed-price contracts through a guided conversational experience.
The assistant validates the contract or contract line, billing frequency, event type, contract line dates, contract line amount, and existing event details</t>
        </is>
      </c>
      <c r="E77" t="inlineStr">
        <is>
          <t>Project Management</t>
        </is>
      </c>
      <c r="F77" t="inlineStr">
        <is>
          <t>Functional</t>
        </is>
      </c>
      <c r="G77" t="inlineStr">
        <is>
          <t>Functional</t>
        </is>
      </c>
      <c r="H77" t="inlineStr"/>
      <c r="I77" t="inlineStr"/>
      <c r="J77" t="inlineStr">
        <is>
          <t>Project Management</t>
        </is>
      </c>
      <c r="K77" t="inlineStr">
        <is>
          <t>N</t>
        </is>
      </c>
      <c r="L77" t="inlineStr">
        <is>
          <t>Y</t>
        </is>
      </c>
      <c r="M77" t="inlineStr">
        <is>
          <t>N</t>
        </is>
      </c>
      <c r="N77" t="inlineStr">
        <is>
          <t xml:space="preserve">Action type: Steps to Enable. **Project Billing and Revenue Event Creation Assistant**role is needed to use the assistant within the AI Agent Studio. Refer to the Access Requirements section for </t>
        </is>
      </c>
      <c r="O77" t="inlineStr">
        <is>
          <t>Medium</t>
        </is>
      </c>
      <c r="P77" t="inlineStr">
        <is>
          <t>2025-06-20</t>
        </is>
      </c>
      <c r="Q77" t="inlineStr">
        <is>
          <t>Oracle Fusion 26C Readiness — Project Management</t>
        </is>
      </c>
      <c r="R77" t="inlineStr"/>
    </row>
    <row r="78">
      <c r="A78" t="inlineStr">
        <is>
          <t>CHG_IMP_0053</t>
        </is>
      </c>
      <c r="B78" t="inlineStr">
        <is>
          <t>REL_26C</t>
        </is>
      </c>
      <c r="C78" t="inlineStr">
        <is>
          <t>Project Capitalization Analyst</t>
        </is>
      </c>
      <c r="D78" t="inlineStr">
        <is>
          <t>Project Capitalization Analyst. Module: Project Management. Release: 26C. Investigate project capitalization issues through a guided, conversational experience.
Project accountants can review pending capitalization costs for a project, narrow large result sets by business dimensions such as transaction source, task, or expenditure type, and diagnose why selected project</t>
        </is>
      </c>
      <c r="E78" t="inlineStr">
        <is>
          <t>Project Management</t>
        </is>
      </c>
      <c r="F78" t="inlineStr">
        <is>
          <t>Functional</t>
        </is>
      </c>
      <c r="G78" t="inlineStr">
        <is>
          <t>Functional</t>
        </is>
      </c>
      <c r="H78" t="inlineStr"/>
      <c r="I78" t="inlineStr"/>
      <c r="J78" t="inlineStr">
        <is>
          <t>Project Management</t>
        </is>
      </c>
      <c r="K78" t="inlineStr">
        <is>
          <t>N</t>
        </is>
      </c>
      <c r="L78" t="inlineStr">
        <is>
          <t>Y</t>
        </is>
      </c>
      <c r="M78" t="inlineStr">
        <is>
          <t>N</t>
        </is>
      </c>
      <c r="N78" t="inlineStr">
        <is>
          <t>Action type: Steps to Enable. **Project Capitalization Analyst**role is needed to use the assistant within the AI Agent Studio. Refer to the Access Requirements section for details.</t>
        </is>
      </c>
      <c r="O78" t="inlineStr">
        <is>
          <t>Medium</t>
        </is>
      </c>
      <c r="P78" t="inlineStr">
        <is>
          <t>2025-06-20</t>
        </is>
      </c>
      <c r="Q78" t="inlineStr">
        <is>
          <t>Oracle Fusion 26C Readiness — Project Management</t>
        </is>
      </c>
      <c r="R78" t="inlineStr"/>
    </row>
    <row r="79">
      <c r="A79" t="inlineStr">
        <is>
          <t>CHG_IMP_0054</t>
        </is>
      </c>
      <c r="B79" t="inlineStr">
        <is>
          <t>REL_26C</t>
        </is>
      </c>
      <c r="C79" t="inlineStr">
        <is>
          <t>Project Change Order Initiation Assistant</t>
        </is>
      </c>
      <c r="D79" t="inlineStr">
        <is>
          <t>Project Change Order Initiation Assistant. Module: Project Management. Release: 26C. Leverage generative AI to create a change order from a project issue. For issues that need a change order, using the information available in the issue, the project manager can now create a change order effortlessly. With the ability to also extract and create detailed budget impacts automatically, Opt-in required</t>
        </is>
      </c>
      <c r="E79" t="inlineStr">
        <is>
          <t>Project Management</t>
        </is>
      </c>
      <c r="F79" t="inlineStr">
        <is>
          <t>AI Feature</t>
        </is>
      </c>
      <c r="G79" t="inlineStr">
        <is>
          <t>AI Feature</t>
        </is>
      </c>
      <c r="H79" t="inlineStr"/>
      <c r="I79" t="inlineStr"/>
      <c r="J79" t="inlineStr">
        <is>
          <t>Project Management</t>
        </is>
      </c>
      <c r="K79" t="inlineStr">
        <is>
          <t>N</t>
        </is>
      </c>
      <c r="L79" t="inlineStr">
        <is>
          <t>Y</t>
        </is>
      </c>
      <c r="M79" t="inlineStr">
        <is>
          <t>N</t>
        </is>
      </c>
      <c r="N79" t="inlineStr">
        <is>
          <t>Action type: Steps to Enable. Use the Opt In UI to enable this feature. For instructions, refer to the Optional Uptake of New Features section of this document. Offering: *Project Execution Management</t>
        </is>
      </c>
      <c r="O79" t="inlineStr">
        <is>
          <t>Medium</t>
        </is>
      </c>
      <c r="P79" t="inlineStr">
        <is>
          <t>2025-06-20</t>
        </is>
      </c>
      <c r="Q79" t="inlineStr">
        <is>
          <t>Oracle Fusion 26C Readiness — Project Management</t>
        </is>
      </c>
      <c r="R79" t="inlineStr"/>
    </row>
    <row r="80">
      <c r="A80" t="inlineStr">
        <is>
          <t>CHG_IMP_0055</t>
        </is>
      </c>
      <c r="B80" t="inlineStr">
        <is>
          <t>REL_26C</t>
        </is>
      </c>
      <c r="C80" t="inlineStr">
        <is>
          <t>Project Change Summary Generation Assistant</t>
        </is>
      </c>
      <c r="D80" t="inlineStr">
        <is>
          <t>Project Change Summary Generation Assistant. Module: Project Management. Release: 26C. Create a comprehensive summary of a project change order with a single click. The summary highlighting the impact of the change order on the project financials helps align stakeholders with project updates and eases approvals. The AI-generated summary can be easily edited and finalized, saving the p Opt-in requi</t>
        </is>
      </c>
      <c r="E80" t="inlineStr">
        <is>
          <t>Project Management</t>
        </is>
      </c>
      <c r="F80" t="inlineStr">
        <is>
          <t>Functional</t>
        </is>
      </c>
      <c r="G80" t="inlineStr">
        <is>
          <t>Functional</t>
        </is>
      </c>
      <c r="H80" t="inlineStr"/>
      <c r="I80" t="inlineStr"/>
      <c r="J80" t="inlineStr">
        <is>
          <t>Project Management</t>
        </is>
      </c>
      <c r="K80" t="inlineStr">
        <is>
          <t>N</t>
        </is>
      </c>
      <c r="L80" t="inlineStr">
        <is>
          <t>Y</t>
        </is>
      </c>
      <c r="M80" t="inlineStr">
        <is>
          <t>N</t>
        </is>
      </c>
      <c r="N80" t="inlineStr">
        <is>
          <t>Action type: Steps to Enable. Use the Opt In UI to enable this feature. For instructions, refer to the Optional Uptake of New Features section of this document. Offering: *Project Execution Management</t>
        </is>
      </c>
      <c r="O80" t="inlineStr">
        <is>
          <t>Medium</t>
        </is>
      </c>
      <c r="P80" t="inlineStr">
        <is>
          <t>2025-06-20</t>
        </is>
      </c>
      <c r="Q80" t="inlineStr">
        <is>
          <t>Oracle Fusion 26C Readiness — Project Management</t>
        </is>
      </c>
      <c r="R80" t="inlineStr"/>
    </row>
    <row r="81">
      <c r="A81" t="inlineStr">
        <is>
          <t>CHG_IMP_0056</t>
        </is>
      </c>
      <c r="B81" t="inlineStr">
        <is>
          <t>REL_26C</t>
        </is>
      </c>
      <c r="C81" t="inlineStr">
        <is>
          <t>Project Contract Bill Transactions Assistant</t>
        </is>
      </c>
      <c r="D81" t="inlineStr">
        <is>
          <t>Project Contract Bill Transactions Assistant. Module: Project Management. Release: 26C. Helps users find, review, and summarize bill transactions through a guided conversational experience, enabling faster billing review and decision-making.
Use the Project Contract Bill Transactions Assistant to:
• Find and review bill transactions by project, contract, status, or date range.
• Summ</t>
        </is>
      </c>
      <c r="E81" t="inlineStr">
        <is>
          <t>Project Management</t>
        </is>
      </c>
      <c r="F81" t="inlineStr">
        <is>
          <t>Functional</t>
        </is>
      </c>
      <c r="G81" t="inlineStr">
        <is>
          <t>Functional</t>
        </is>
      </c>
      <c r="H81" t="inlineStr"/>
      <c r="I81" t="inlineStr"/>
      <c r="J81" t="inlineStr">
        <is>
          <t>Project Management</t>
        </is>
      </c>
      <c r="K81" t="inlineStr">
        <is>
          <t>N</t>
        </is>
      </c>
      <c r="L81" t="inlineStr">
        <is>
          <t>Y</t>
        </is>
      </c>
      <c r="M81" t="inlineStr">
        <is>
          <t>N</t>
        </is>
      </c>
      <c r="N81" t="inlineStr">
        <is>
          <t>Action type: Steps to Enable. **Project Contract Bill Transactions Assistant**role is needed to use the assistant within the AI Agent Studio. Refer to the Access Requirements section for details.</t>
        </is>
      </c>
      <c r="O81" t="inlineStr">
        <is>
          <t>Medium</t>
        </is>
      </c>
      <c r="P81" t="inlineStr">
        <is>
          <t>2025-06-20</t>
        </is>
      </c>
      <c r="Q81" t="inlineStr">
        <is>
          <t>Oracle Fusion 26C Readiness — Project Management</t>
        </is>
      </c>
      <c r="R81" t="inlineStr"/>
    </row>
    <row r="82">
      <c r="A82" t="inlineStr">
        <is>
          <t>CHG_IMP_0057</t>
        </is>
      </c>
      <c r="B82" t="inlineStr">
        <is>
          <t>REL_26C</t>
        </is>
      </c>
      <c r="C82" t="inlineStr">
        <is>
          <t>Project Contract Invoicing Assistant</t>
        </is>
      </c>
      <c r="D82" t="inlineStr">
        <is>
          <t>Project Contract Invoicing Assistant. Module: Project Management. Release: 26C. The **Project Contract Invoicing Assistant** enables you to search and review invoices by business unit, customer, contract number, and status. It also allows you to process invoices to *Released* status after review and create cancel credit invoices for original standard invoices. The assistant pro</t>
        </is>
      </c>
      <c r="E82" t="inlineStr">
        <is>
          <t>Project Management</t>
        </is>
      </c>
      <c r="F82" t="inlineStr">
        <is>
          <t>Functional</t>
        </is>
      </c>
      <c r="G82" t="inlineStr">
        <is>
          <t>Functional</t>
        </is>
      </c>
      <c r="H82" t="inlineStr"/>
      <c r="I82" t="inlineStr"/>
      <c r="J82" t="inlineStr">
        <is>
          <t>Project Management</t>
        </is>
      </c>
      <c r="K82" t="inlineStr">
        <is>
          <t>N</t>
        </is>
      </c>
      <c r="L82" t="inlineStr">
        <is>
          <t>Y</t>
        </is>
      </c>
      <c r="M82" t="inlineStr">
        <is>
          <t>N</t>
        </is>
      </c>
      <c r="N82" t="inlineStr">
        <is>
          <t>Action type: Steps to Enable. Please refer to the **Access Requirements** section below.</t>
        </is>
      </c>
      <c r="O82" t="inlineStr">
        <is>
          <t>Medium</t>
        </is>
      </c>
      <c r="P82" t="inlineStr">
        <is>
          <t>2025-06-20</t>
        </is>
      </c>
      <c r="Q82" t="inlineStr">
        <is>
          <t>Oracle Fusion 26C Readiness — Project Management</t>
        </is>
      </c>
      <c r="R82" t="inlineStr"/>
    </row>
    <row r="83">
      <c r="A83" t="inlineStr">
        <is>
          <t>CHG_IMP_0058</t>
        </is>
      </c>
      <c r="B83" t="inlineStr">
        <is>
          <t>REL_26C</t>
        </is>
      </c>
      <c r="C83" t="inlineStr">
        <is>
          <t>Project Contract Validation Assistant</t>
        </is>
      </c>
      <c r="D83" t="inlineStr">
        <is>
          <t>Project Contract Validation Assistant. Module: Project Management. Release: 26C. Validate project contracts by checking delivered and custom validation rules, providing resolution details, and enabling corrective action using the **Project Contract Validation Assistant**. When no validation issues are found, it can also submit the contract for approval. This helps accelerate con</t>
        </is>
      </c>
      <c r="E83" t="inlineStr">
        <is>
          <t>Project Management</t>
        </is>
      </c>
      <c r="F83" t="inlineStr">
        <is>
          <t>Functional</t>
        </is>
      </c>
      <c r="G83" t="inlineStr">
        <is>
          <t>Functional</t>
        </is>
      </c>
      <c r="H83" t="inlineStr"/>
      <c r="I83" t="inlineStr"/>
      <c r="J83" t="inlineStr">
        <is>
          <t>Project Management</t>
        </is>
      </c>
      <c r="K83" t="inlineStr">
        <is>
          <t>N</t>
        </is>
      </c>
      <c r="L83" t="inlineStr">
        <is>
          <t>Y</t>
        </is>
      </c>
      <c r="M83" t="inlineStr">
        <is>
          <t>N</t>
        </is>
      </c>
      <c r="N83" t="inlineStr">
        <is>
          <t>Action type: Steps to Enable. • The Project Contract Validation Assistant is a preconfigured template. You need to create your own agent using the preconfigured template. To learn how to set up AI age</t>
        </is>
      </c>
      <c r="O83" t="inlineStr">
        <is>
          <t>Medium</t>
        </is>
      </c>
      <c r="P83" t="inlineStr">
        <is>
          <t>2025-06-20</t>
        </is>
      </c>
      <c r="Q83" t="inlineStr">
        <is>
          <t>Oracle Fusion 26C Readiness — Project Management</t>
        </is>
      </c>
      <c r="R83" t="inlineStr"/>
    </row>
    <row r="84">
      <c r="A84" t="inlineStr">
        <is>
          <t>CHG_IMP_0059</t>
        </is>
      </c>
      <c r="B84" t="inlineStr">
        <is>
          <t>REL_26C</t>
        </is>
      </c>
      <c r="C84" t="inlineStr">
        <is>
          <t>Project Contract and Customer Purchase Order Reconciliation Assistant</t>
        </is>
      </c>
      <c r="D84" t="inlineStr">
        <is>
          <t>Project Contract and Customer Purchase Order Reconciliation Assistant. Module: Project Management. Release: 26C. Reconcile project contracts with attached customer purchase order documents by comparing key attributes and identifying mismatches so corrective action can be taken. This automated reconciliation helps reduce contract approval cycles, accelerate the contract funding process, and achieve</t>
        </is>
      </c>
      <c r="E84" t="inlineStr">
        <is>
          <t>Project Management</t>
        </is>
      </c>
      <c r="F84" t="inlineStr">
        <is>
          <t>Functional</t>
        </is>
      </c>
      <c r="G84" t="inlineStr">
        <is>
          <t>Functional</t>
        </is>
      </c>
      <c r="H84" t="inlineStr"/>
      <c r="I84" t="inlineStr"/>
      <c r="J84" t="inlineStr">
        <is>
          <t>Project Management</t>
        </is>
      </c>
      <c r="K84" t="inlineStr">
        <is>
          <t>N</t>
        </is>
      </c>
      <c r="L84" t="inlineStr">
        <is>
          <t>Y</t>
        </is>
      </c>
      <c r="M84" t="inlineStr">
        <is>
          <t>N</t>
        </is>
      </c>
      <c r="N84" t="inlineStr">
        <is>
          <t>Action type: Steps to Enable. • The Project Contract and Customer Purchase Order Reconciliation Assistant is a preconfigured template. You need to create your own agent using the</t>
        </is>
      </c>
      <c r="O84" t="inlineStr">
        <is>
          <t>Medium</t>
        </is>
      </c>
      <c r="P84" t="inlineStr">
        <is>
          <t>2025-06-20</t>
        </is>
      </c>
      <c r="Q84" t="inlineStr">
        <is>
          <t>Oracle Fusion 26C Readiness — Project Management</t>
        </is>
      </c>
      <c r="R84" t="inlineStr"/>
    </row>
    <row r="85">
      <c r="A85" t="inlineStr">
        <is>
          <t>CHG_IMP_0060</t>
        </is>
      </c>
      <c r="B85" t="inlineStr">
        <is>
          <t>REL_26C</t>
        </is>
      </c>
      <c r="C85" t="inlineStr">
        <is>
          <t>Project Contract and Sales Order Reconciliation Assistant</t>
        </is>
      </c>
      <c r="D85" t="inlineStr">
        <is>
          <t>Project Contract and Sales Order Reconciliation Assistant. Module: Project Management. Release: 26C. Reconcile project contracts with attached sales orders by comparing key attributes and identifying mismatches so corrective action can be taken. This automated reconciliation helps reduce contract approval cycles, accelerate funding, and achieve faster invoicing and revenue recognition.
The assist</t>
        </is>
      </c>
      <c r="E85" t="inlineStr">
        <is>
          <t>Project Management</t>
        </is>
      </c>
      <c r="F85" t="inlineStr">
        <is>
          <t>Functional</t>
        </is>
      </c>
      <c r="G85" t="inlineStr">
        <is>
          <t>Functional</t>
        </is>
      </c>
      <c r="H85" t="inlineStr"/>
      <c r="I85" t="inlineStr"/>
      <c r="J85" t="inlineStr">
        <is>
          <t>Project Management</t>
        </is>
      </c>
      <c r="K85" t="inlineStr">
        <is>
          <t>N</t>
        </is>
      </c>
      <c r="L85" t="inlineStr">
        <is>
          <t>Y</t>
        </is>
      </c>
      <c r="M85" t="inlineStr">
        <is>
          <t>N</t>
        </is>
      </c>
      <c r="N85" t="inlineStr">
        <is>
          <t>Action type: Steps to Enable. • The Project Contract and Sales Order Reconciliation Assistant is a preconfigured template. You need to create your own agent using the preconfigured template.</t>
        </is>
      </c>
      <c r="O85" t="inlineStr">
        <is>
          <t>Medium</t>
        </is>
      </c>
      <c r="P85" t="inlineStr">
        <is>
          <t>2025-06-20</t>
        </is>
      </c>
      <c r="Q85" t="inlineStr">
        <is>
          <t>Oracle Fusion 26C Readiness — Project Management</t>
        </is>
      </c>
      <c r="R85" t="inlineStr"/>
    </row>
    <row r="86">
      <c r="A86" t="inlineStr">
        <is>
          <t>CHG_IMP_0061</t>
        </is>
      </c>
      <c r="B86" t="inlineStr">
        <is>
          <t>REL_26C</t>
        </is>
      </c>
      <c r="C86" t="inlineStr">
        <is>
          <t>Project Cost Adjustment Assistant</t>
        </is>
      </c>
      <c r="D86" t="inlineStr">
        <is>
          <t>Project Cost Adjustment Assistant. Module: Project Management. Release: 26C. Perform project cost transfer adjustments for individual transactions using natural language prompts. Transfer costs across projects, tasks, awards, and funding sources, and adjust attributes such as cost type and project role. Prompt templates, in-context transaction search, additional inquiries, a</t>
        </is>
      </c>
      <c r="E86" t="inlineStr">
        <is>
          <t>Project Management</t>
        </is>
      </c>
      <c r="F86" t="inlineStr">
        <is>
          <t>Functional</t>
        </is>
      </c>
      <c r="G86" t="inlineStr">
        <is>
          <t>Functional</t>
        </is>
      </c>
      <c r="H86" t="inlineStr"/>
      <c r="I86" t="inlineStr"/>
      <c r="J86" t="inlineStr">
        <is>
          <t>Project Management</t>
        </is>
      </c>
      <c r="K86" t="inlineStr">
        <is>
          <t>N</t>
        </is>
      </c>
      <c r="L86" t="inlineStr">
        <is>
          <t>Y</t>
        </is>
      </c>
      <c r="M86" t="inlineStr">
        <is>
          <t>N</t>
        </is>
      </c>
      <c r="N86" t="inlineStr">
        <is>
          <t>Action type: Steps to Enable. **Project Cost Adjustment Assistant**role is needed to use the assistant within the AI Agent Studio. Refer to the Access Requirements section for details.</t>
        </is>
      </c>
      <c r="O86" t="inlineStr">
        <is>
          <t>Medium</t>
        </is>
      </c>
      <c r="P86" t="inlineStr">
        <is>
          <t>2025-06-20</t>
        </is>
      </c>
      <c r="Q86" t="inlineStr">
        <is>
          <t>Oracle Fusion 26C Readiness — Project Management</t>
        </is>
      </c>
      <c r="R86" t="inlineStr"/>
    </row>
    <row r="87">
      <c r="A87" t="inlineStr">
        <is>
          <t>CHG_IMP_0062</t>
        </is>
      </c>
      <c r="B87" t="inlineStr">
        <is>
          <t>REL_26C</t>
        </is>
      </c>
      <c r="C87" t="inlineStr">
        <is>
          <t>Project Cost Exceptions Assistant</t>
        </is>
      </c>
      <c r="D87" t="inlineStr">
        <is>
          <t>Project Cost Exceptions Assistant. Module: Project Management. Release: 26C. Identify and analyze unprocessed project cost exceptions using natural language requests. The assistant streamlines exception investigation and resolution by summarizing and categorizing exceptions and proposing resolution options for each type of exception.
The assistant helps project accountants</t>
        </is>
      </c>
      <c r="E87" t="inlineStr">
        <is>
          <t>Project Management</t>
        </is>
      </c>
      <c r="F87" t="inlineStr">
        <is>
          <t>Functional</t>
        </is>
      </c>
      <c r="G87" t="inlineStr">
        <is>
          <t>Functional</t>
        </is>
      </c>
      <c r="H87" t="inlineStr"/>
      <c r="I87" t="inlineStr"/>
      <c r="J87" t="inlineStr">
        <is>
          <t>Project Management</t>
        </is>
      </c>
      <c r="K87" t="inlineStr">
        <is>
          <t>N</t>
        </is>
      </c>
      <c r="L87" t="inlineStr">
        <is>
          <t>Y</t>
        </is>
      </c>
      <c r="M87" t="inlineStr">
        <is>
          <t>N</t>
        </is>
      </c>
      <c r="N87" t="inlineStr">
        <is>
          <t>Action type: Steps to Enable. **Project Cost Exceptions Assistant** role is needed use the assistant within the AI Agent Studio. Refer to the Access Requirements section for details.</t>
        </is>
      </c>
      <c r="O87" t="inlineStr">
        <is>
          <t>Medium</t>
        </is>
      </c>
      <c r="P87" t="inlineStr">
        <is>
          <t>2025-06-20</t>
        </is>
      </c>
      <c r="Q87" t="inlineStr">
        <is>
          <t>Oracle Fusion 26C Readiness — Project Management</t>
        </is>
      </c>
      <c r="R87" t="inlineStr"/>
    </row>
    <row r="88">
      <c r="A88" t="inlineStr">
        <is>
          <t>CHG_IMP_0063</t>
        </is>
      </c>
      <c r="B88" t="inlineStr">
        <is>
          <t>REL_26C</t>
        </is>
      </c>
      <c r="C88" t="inlineStr">
        <is>
          <t>Project Proposal Generation Assistant</t>
        </is>
      </c>
      <c r="D88" t="inlineStr">
        <is>
          <t>Project Proposal Generation Assistant. Module: Project Management. Release: 26C. Create a comprehensive project proposal that covers project objectives, scope, timeline, budget estimates, and staffing plans, using Oracle AI during project planning. Project managers can easily edit and finalize the proposal, saving time and improving efficiency. For example, when starting project Opt-in required: t</t>
        </is>
      </c>
      <c r="E88" t="inlineStr">
        <is>
          <t>Project Management</t>
        </is>
      </c>
      <c r="F88" t="inlineStr">
        <is>
          <t>AI Feature</t>
        </is>
      </c>
      <c r="G88" t="inlineStr">
        <is>
          <t>AI Feature</t>
        </is>
      </c>
      <c r="H88" t="inlineStr"/>
      <c r="I88" t="inlineStr"/>
      <c r="J88" t="inlineStr">
        <is>
          <t>Project Management</t>
        </is>
      </c>
      <c r="K88" t="inlineStr">
        <is>
          <t>N</t>
        </is>
      </c>
      <c r="L88" t="inlineStr">
        <is>
          <t>Y</t>
        </is>
      </c>
      <c r="M88" t="inlineStr">
        <is>
          <t>N</t>
        </is>
      </c>
      <c r="N88" t="inlineStr">
        <is>
          <t>Action type: Steps to Enable. Use the Opt In UI to enable this feature. For instructions, refer to the Optional Uptake of New Features section of this document. Offering: *Project Financial Management</t>
        </is>
      </c>
      <c r="O88" t="inlineStr">
        <is>
          <t>Medium</t>
        </is>
      </c>
      <c r="P88" t="inlineStr">
        <is>
          <t>2025-06-20</t>
        </is>
      </c>
      <c r="Q88" t="inlineStr">
        <is>
          <t>Oracle Fusion 26C Readiness — Project Management</t>
        </is>
      </c>
      <c r="R88" t="inlineStr"/>
    </row>
    <row r="89">
      <c r="A89" t="inlineStr">
        <is>
          <t>CHG_IMP_0064</t>
        </is>
      </c>
      <c r="B89" t="inlineStr">
        <is>
          <t>REL_26C</t>
        </is>
      </c>
      <c r="C89" t="inlineStr">
        <is>
          <t>Agentic AI App: Security Command Center</t>
        </is>
      </c>
      <c r="D89" t="inlineStr">
        <is>
          <t>Agentic AI App: Security Command Center. Module: Risk Management. Release: 26C. This AI application continuously analyzes risk data from Oracle Risk Management Cloud to identify problematic roles, users, and transactions. The application provides prioritized recommendations, targeted remediation steps, and communication workflows to help security analysts and administrators to</t>
        </is>
      </c>
      <c r="E89" t="inlineStr">
        <is>
          <t>Risk Management</t>
        </is>
      </c>
      <c r="F89" t="inlineStr">
        <is>
          <t>Functional</t>
        </is>
      </c>
      <c r="G89" t="inlineStr">
        <is>
          <t>Functional</t>
        </is>
      </c>
      <c r="H89" t="inlineStr"/>
      <c r="I89" t="inlineStr"/>
      <c r="J89" t="inlineStr">
        <is>
          <t>Risk Management</t>
        </is>
      </c>
      <c r="K89" t="inlineStr">
        <is>
          <t>N</t>
        </is>
      </c>
      <c r="L89" t="inlineStr">
        <is>
          <t>Y</t>
        </is>
      </c>
      <c r="M89" t="inlineStr">
        <is>
          <t>N</t>
        </is>
      </c>
      <c r="N89" t="inlineStr">
        <is>
          <t>Action type: Steps to Enable. • As an AI Studio administrator with access to Advanced Controls REST service, navigate to AI Agent Studio (see Access Requirements section). • Next, navigate to the Agen</t>
        </is>
      </c>
      <c r="O89" t="inlineStr">
        <is>
          <t>Low</t>
        </is>
      </c>
      <c r="P89" t="inlineStr">
        <is>
          <t>2025-06-20</t>
        </is>
      </c>
      <c r="Q89" t="inlineStr">
        <is>
          <t>Oracle Fusion 26C Readiness — Risk Management</t>
        </is>
      </c>
      <c r="R89" t="inlineStr"/>
    </row>
    <row r="90">
      <c r="A90" t="inlineStr">
        <is>
          <t>CHG_IMP_0065</t>
        </is>
      </c>
      <c r="B90" t="inlineStr">
        <is>
          <t>REL_26C</t>
        </is>
      </c>
      <c r="C90" t="inlineStr">
        <is>
          <t>Changes Are Made to Business Objects</t>
        </is>
      </c>
      <c r="D90" t="inlineStr">
        <is>
          <t>Changes Are Made to Business Objects. Module: Risk Management. Release: 26C. This release includes changes to five business objects and introduces one new Project Manager object.
**New Business Object Attributes**
The following business objects have been updated with new attributes.
Business Object | New Attributes
Audit - Contract | EligibleForIngestionYn New EligibleFor</t>
        </is>
      </c>
      <c r="E90" t="inlineStr">
        <is>
          <t>Risk Management</t>
        </is>
      </c>
      <c r="F90" t="inlineStr">
        <is>
          <t>Functional</t>
        </is>
      </c>
      <c r="G90" t="inlineStr">
        <is>
          <t>Functional</t>
        </is>
      </c>
      <c r="H90" t="inlineStr"/>
      <c r="I90" t="inlineStr"/>
      <c r="J90" t="inlineStr">
        <is>
          <t>Risk Management</t>
        </is>
      </c>
      <c r="K90" t="inlineStr">
        <is>
          <t>N</t>
        </is>
      </c>
      <c r="L90" t="inlineStr">
        <is>
          <t>Y</t>
        </is>
      </c>
      <c r="M90" t="inlineStr">
        <is>
          <t>N</t>
        </is>
      </c>
      <c r="N90" t="inlineStr">
        <is>
          <t>Action type: Steps to Enable. When you use business objects that introduce changes to attributes, you must run the Transaction Data Source Synchronization job. Business objects with changes require th</t>
        </is>
      </c>
      <c r="O90" t="inlineStr">
        <is>
          <t>Low</t>
        </is>
      </c>
      <c r="P90" t="inlineStr">
        <is>
          <t>2025-06-20</t>
        </is>
      </c>
      <c r="Q90" t="inlineStr">
        <is>
          <t>Oracle Fusion 26C Readiness — Risk Management</t>
        </is>
      </c>
      <c r="R90" t="inlineStr"/>
    </row>
    <row r="91">
      <c r="A91" t="inlineStr">
        <is>
          <t>CHG_IMP_0066</t>
        </is>
      </c>
      <c r="B91" t="inlineStr">
        <is>
          <t>REL_26C</t>
        </is>
      </c>
      <c r="C91" t="inlineStr">
        <is>
          <t>New Dashboard for Reviewing Intra-Role Violations</t>
        </is>
      </c>
      <c r="D91" t="inlineStr">
        <is>
          <t>New Dashboard for Reviewing Intra-Role Violations. Module: Risk Management. Release: 26C. This dashboard enables users to review intra-role access violations.
For the selected access algorithm(s), the Intra-Role Access Violations Dashboard includes:
• A summary section that shows count of roles with intra-role violations and number of users assigned to these roles.
• A detailed report</t>
        </is>
      </c>
      <c r="E91" t="inlineStr">
        <is>
          <t>Risk Management</t>
        </is>
      </c>
      <c r="F91" t="inlineStr">
        <is>
          <t>Functional</t>
        </is>
      </c>
      <c r="G91" t="inlineStr">
        <is>
          <t>Functional</t>
        </is>
      </c>
      <c r="H91" t="inlineStr"/>
      <c r="I91" t="inlineStr"/>
      <c r="J91" t="inlineStr">
        <is>
          <t>Risk Management</t>
        </is>
      </c>
      <c r="K91" t="inlineStr">
        <is>
          <t>N</t>
        </is>
      </c>
      <c r="L91" t="inlineStr">
        <is>
          <t>N</t>
        </is>
      </c>
      <c r="M91" t="inlineStr">
        <is>
          <t>N</t>
        </is>
      </c>
      <c r="N91" t="inlineStr">
        <is>
          <t>Auto-enabled — no action required</t>
        </is>
      </c>
      <c r="O91" t="inlineStr">
        <is>
          <t>Low</t>
        </is>
      </c>
      <c r="P91" t="inlineStr">
        <is>
          <t>2025-06-20</t>
        </is>
      </c>
      <c r="Q91" t="inlineStr">
        <is>
          <t>Oracle Fusion 26C Readiness — Risk Management</t>
        </is>
      </c>
      <c r="R91" t="inlineStr"/>
    </row>
    <row r="92">
      <c r="A92" t="inlineStr">
        <is>
          <t>CHG_IMP_0067</t>
        </is>
      </c>
      <c r="B92" t="inlineStr">
        <is>
          <t>REL_26C</t>
        </is>
      </c>
      <c r="C92" t="inlineStr">
        <is>
          <t>New My Access Requests Dashboard</t>
        </is>
      </c>
      <c r="D92" t="inlineStr">
        <is>
          <t>New My Access Requests Dashboard. Module: Risk Management. Release: 26C. Use a pre-built dashboard to monitor requesters’ access request activity and approvals based on the new Advanced Access Requests subject area introduced in 26B. This dashboard will be available as an additional dashboard page from **Risk Management -&gt; Risk Management Dashboard**.
The My Access Requ</t>
        </is>
      </c>
      <c r="E92" t="inlineStr">
        <is>
          <t>Risk Management</t>
        </is>
      </c>
      <c r="F92" t="inlineStr">
        <is>
          <t>Functional</t>
        </is>
      </c>
      <c r="G92" t="inlineStr">
        <is>
          <t>Functional</t>
        </is>
      </c>
      <c r="H92" t="inlineStr"/>
      <c r="I92" t="inlineStr"/>
      <c r="J92" t="inlineStr">
        <is>
          <t>Risk Management</t>
        </is>
      </c>
      <c r="K92" t="inlineStr">
        <is>
          <t>N</t>
        </is>
      </c>
      <c r="L92" t="inlineStr">
        <is>
          <t>N</t>
        </is>
      </c>
      <c r="M92" t="inlineStr">
        <is>
          <t>N</t>
        </is>
      </c>
      <c r="N92" t="inlineStr">
        <is>
          <t>Auto-enabled — no action required</t>
        </is>
      </c>
      <c r="O92" t="inlineStr">
        <is>
          <t>Low</t>
        </is>
      </c>
      <c r="P92" t="inlineStr">
        <is>
          <t>2025-06-20</t>
        </is>
      </c>
      <c r="Q92" t="inlineStr">
        <is>
          <t>Oracle Fusion 26C Readiness — Risk Management</t>
        </is>
      </c>
      <c r="R92" t="inlineStr"/>
    </row>
    <row r="93">
      <c r="A93" t="inlineStr">
        <is>
          <t>CHG_IMP_0068</t>
        </is>
      </c>
      <c r="B93" t="inlineStr">
        <is>
          <t>REL_26C</t>
        </is>
      </c>
      <c r="C93" t="inlineStr">
        <is>
          <t>Expense Completion Using Email with Any User Experience</t>
        </is>
      </c>
      <c r="D93" t="inlineStr">
        <is>
          <t>Expense Completion Using Email with Any User Experience. Module: Self Service Financials. Release: 26C. Users can email receipts directly to the Expenses Agent to create and complete expenses without ever entering the application. This option is available regardless of the application user experience - Redwood theme Progressive Web App (PWA) or otherwise. Details for the Expenses Agent using the P</t>
        </is>
      </c>
      <c r="E93" t="inlineStr">
        <is>
          <t>Self Service Financials</t>
        </is>
      </c>
      <c r="F93" t="inlineStr">
        <is>
          <t>Functional</t>
        </is>
      </c>
      <c r="G93" t="inlineStr">
        <is>
          <t>Functional</t>
        </is>
      </c>
      <c r="H93" t="inlineStr"/>
      <c r="I93" t="inlineStr"/>
      <c r="J93" t="inlineStr">
        <is>
          <t>Self Service Financials</t>
        </is>
      </c>
      <c r="K93" t="inlineStr">
        <is>
          <t>N</t>
        </is>
      </c>
      <c r="L93" t="inlineStr">
        <is>
          <t>Y</t>
        </is>
      </c>
      <c r="M93" t="inlineStr">
        <is>
          <t>N</t>
        </is>
      </c>
      <c r="N93" t="inlineStr">
        <is>
          <t>Action type: Steps to Enable. To enable email-based expense completion: • Configure electronic receipt forwarding so employees can email receipts to the Expenses Agent. • In Setup and Maintenance, nav</t>
        </is>
      </c>
      <c r="O93" t="inlineStr">
        <is>
          <t>Medium</t>
        </is>
      </c>
      <c r="P93" t="inlineStr">
        <is>
          <t>2025-06-20</t>
        </is>
      </c>
      <c r="Q93" t="inlineStr">
        <is>
          <t>Oracle Fusion 26C Readiness — Self Service Financials</t>
        </is>
      </c>
      <c r="R93" t="inlineStr"/>
    </row>
    <row r="94">
      <c r="A94" t="inlineStr">
        <is>
          <t>CHG_IMP_0069</t>
        </is>
      </c>
      <c r="B94" t="inlineStr">
        <is>
          <t>REL_26C</t>
        </is>
      </c>
      <c r="C94" t="inlineStr">
        <is>
          <t>Expenses Agent for Cash Advance Application</t>
        </is>
      </c>
      <c r="D94" t="inlineStr">
        <is>
          <t>Expenses Agent for Cash Advance Application. Module: Self Service Financials. Release: 26C. Use the Expenses Agent to apply cash advances manually when submitting expense reports.
Each cash advance has a due date, and employees are recommended to apply available cash advances by the due date; after that date, the cash advance is considered overdue.
Select one or more cash advances to app</t>
        </is>
      </c>
      <c r="E94" t="inlineStr">
        <is>
          <t>Self Service Financials</t>
        </is>
      </c>
      <c r="F94" t="inlineStr">
        <is>
          <t>Functional</t>
        </is>
      </c>
      <c r="G94" t="inlineStr">
        <is>
          <t>Functional</t>
        </is>
      </c>
      <c r="H94" t="inlineStr"/>
      <c r="I94" t="inlineStr"/>
      <c r="J94" t="inlineStr">
        <is>
          <t>Self Service Financials</t>
        </is>
      </c>
      <c r="K94" t="inlineStr">
        <is>
          <t>N</t>
        </is>
      </c>
      <c r="L94" t="inlineStr">
        <is>
          <t>Y</t>
        </is>
      </c>
      <c r="M94" t="inlineStr">
        <is>
          <t>N</t>
        </is>
      </c>
      <c r="N94" t="inlineStr">
        <is>
          <t>Action type: Steps to Enable. 1. To use these capabilities, first enable Touchless Expenses as outlined in the Touchless Mobile Expenses (25D) feature. 2. Configure cash advance application settings f</t>
        </is>
      </c>
      <c r="O94" t="inlineStr">
        <is>
          <t>Medium</t>
        </is>
      </c>
      <c r="P94" t="inlineStr">
        <is>
          <t>2025-06-20</t>
        </is>
      </c>
      <c r="Q94" t="inlineStr">
        <is>
          <t>Oracle Fusion 26C Readiness — Self Service Financials</t>
        </is>
      </c>
      <c r="R94" t="inlineStr"/>
    </row>
    <row r="95">
      <c r="A95" t="inlineStr">
        <is>
          <t>CHG_IMP_0070</t>
        </is>
      </c>
      <c r="B95" t="inlineStr">
        <is>
          <t>REL_26C</t>
        </is>
      </c>
      <c r="C95" t="inlineStr">
        <is>
          <t>Expenses Agent for Cost Allocations and Additional Information</t>
        </is>
      </c>
      <c r="D95" t="inlineStr">
        <is>
          <t>Expenses Agent for Cost Allocations and Additional Information. Module: Self Service Financials. Release: 26C. Use the Expenses Agent to split expenses across cost centers, projects, and tasks. The Expenses Agent also supports Flexible Key Flexfields (KFFs), allowing selected accounting segments to appear in the Redwood-theme Progressive Web App (PWA) user interface. These enhancements improve the</t>
        </is>
      </c>
      <c r="E95" t="inlineStr">
        <is>
          <t>Self Service Financials</t>
        </is>
      </c>
      <c r="F95" t="inlineStr">
        <is>
          <t>Functional</t>
        </is>
      </c>
      <c r="G95" t="inlineStr">
        <is>
          <t>Functional</t>
        </is>
      </c>
      <c r="H95" t="inlineStr"/>
      <c r="I95" t="inlineStr"/>
      <c r="J95" t="inlineStr">
        <is>
          <t>Self Service Financials</t>
        </is>
      </c>
      <c r="K95" t="inlineStr">
        <is>
          <t>N</t>
        </is>
      </c>
      <c r="L95" t="inlineStr">
        <is>
          <t>Y</t>
        </is>
      </c>
      <c r="M95" t="inlineStr">
        <is>
          <t>N</t>
        </is>
      </c>
      <c r="N95" t="inlineStr">
        <is>
          <t>Action type: Steps to Enable. To use these capabilities, first enable Touchless Expenses as outlined in the Touchless Mobile Expenses (25D) feature.</t>
        </is>
      </c>
      <c r="O95" t="inlineStr">
        <is>
          <t>Medium</t>
        </is>
      </c>
      <c r="P95" t="inlineStr">
        <is>
          <t>2025-06-20</t>
        </is>
      </c>
      <c r="Q95" t="inlineStr">
        <is>
          <t>Oracle Fusion 26C Readiness — Self Service Financials</t>
        </is>
      </c>
      <c r="R95" t="inlineStr"/>
    </row>
    <row r="96">
      <c r="A96" t="inlineStr">
        <is>
          <t>CHG_IMP_0071</t>
        </is>
      </c>
      <c r="B96" t="inlineStr">
        <is>
          <t>REL_26C</t>
        </is>
      </c>
      <c r="C96" t="inlineStr">
        <is>
          <t>Absence Types Redwood Experience</t>
        </is>
      </c>
      <c r="D96" t="inlineStr">
        <is>
          <t>Absence Types Redwood Experience. Module: Absence Management. Release: 26C. The absence type setup page is now available in Redwood, providing a simplified and improved user experience, in line with other Redwood pages in Absences.
**Organization**
The attributes and the rules in the **Display Features** tab in the classic version are now split into two tabs- **Display Fe</t>
        </is>
      </c>
      <c r="E96" t="inlineStr">
        <is>
          <t>Absence Management</t>
        </is>
      </c>
      <c r="F96" t="inlineStr">
        <is>
          <t>Functional</t>
        </is>
      </c>
      <c r="G96" t="inlineStr">
        <is>
          <t>Functional</t>
        </is>
      </c>
      <c r="H96" t="inlineStr"/>
      <c r="I96" t="inlineStr"/>
      <c r="J96" t="inlineStr">
        <is>
          <t>Absence Management</t>
        </is>
      </c>
      <c r="K96" t="inlineStr">
        <is>
          <t>N</t>
        </is>
      </c>
      <c r="L96" t="inlineStr">
        <is>
          <t>Y</t>
        </is>
      </c>
      <c r="M96" t="inlineStr">
        <is>
          <t>N</t>
        </is>
      </c>
      <c r="N96" t="inlineStr">
        <is>
          <t>Action type: Steps to Enable. This page is disabled by default. You need to enable the ORA_ANC_TYPES_VBCS_UI_ENABLED profile option to use this page.</t>
        </is>
      </c>
      <c r="O96" t="inlineStr">
        <is>
          <t>High</t>
        </is>
      </c>
      <c r="P96" t="inlineStr">
        <is>
          <t>2025-06-20</t>
        </is>
      </c>
      <c r="Q96" t="inlineStr">
        <is>
          <t>Oracle Fusion 26C Readiness — Absence Management</t>
        </is>
      </c>
      <c r="R96" t="inlineStr"/>
    </row>
    <row r="97">
      <c r="A97" t="inlineStr">
        <is>
          <t>CHG_IMP_0072</t>
        </is>
      </c>
      <c r="B97" t="inlineStr">
        <is>
          <t>REL_26C</t>
        </is>
      </c>
      <c r="C97" t="inlineStr">
        <is>
          <t>Additional Extensibility for Redwood Add Absence</t>
        </is>
      </c>
      <c r="D97" t="inlineStr">
        <is>
          <t>Additional Extensibility for Redwood Add Absence. Module: Absence Management. Release: 26C. You can now use Visual Builder studios to further extend the Redwood absence entry page.
With this release, you can:
• Add guided journeys to any region on the page, including new support for Other Details, Legislative Information, and Additional Information.
• Conditionally display guided journey</t>
        </is>
      </c>
      <c r="E97" t="inlineStr">
        <is>
          <t>Absence Management</t>
        </is>
      </c>
      <c r="F97" t="inlineStr">
        <is>
          <t>Functional</t>
        </is>
      </c>
      <c r="G97" t="inlineStr">
        <is>
          <t>Functional</t>
        </is>
      </c>
      <c r="H97" t="inlineStr"/>
      <c r="I97" t="inlineStr"/>
      <c r="J97" t="inlineStr">
        <is>
          <t>Absence Management</t>
        </is>
      </c>
      <c r="K97" t="inlineStr">
        <is>
          <t>N</t>
        </is>
      </c>
      <c r="L97" t="inlineStr">
        <is>
          <t>N</t>
        </is>
      </c>
      <c r="M97" t="inlineStr">
        <is>
          <t>N</t>
        </is>
      </c>
      <c r="N97" t="inlineStr">
        <is>
          <t>Auto-enabled — no action required</t>
        </is>
      </c>
      <c r="O97" t="inlineStr">
        <is>
          <t>Low</t>
        </is>
      </c>
      <c r="P97" t="inlineStr">
        <is>
          <t>2025-06-20</t>
        </is>
      </c>
      <c r="Q97" t="inlineStr">
        <is>
          <t>Oracle Fusion 26C Readiness — Absence Management</t>
        </is>
      </c>
      <c r="R97" t="inlineStr"/>
    </row>
    <row r="98">
      <c r="A98" t="inlineStr">
        <is>
          <t>CHG_IMP_0073</t>
        </is>
      </c>
      <c r="B98" t="inlineStr">
        <is>
          <t>REL_26C</t>
        </is>
      </c>
      <c r="C98" t="inlineStr">
        <is>
          <t>Calendar Usability Improvements</t>
        </is>
      </c>
      <c r="D98" t="inlineStr">
        <is>
          <t>Calendar Usability Improvements. Module: Absence Management. Release: 26C. The worker calendar includes several usability improvements that help workers understand their schedules more quickly. Multi-day absences display more consistently, shifts with notes are easier to identify, and configurable tool-tips can show the most relevant details.
Administrators can also confi</t>
        </is>
      </c>
      <c r="E98" t="inlineStr">
        <is>
          <t>Absence Management</t>
        </is>
      </c>
      <c r="F98" t="inlineStr">
        <is>
          <t>Functional</t>
        </is>
      </c>
      <c r="G98" t="inlineStr">
        <is>
          <t>Functional</t>
        </is>
      </c>
      <c r="H98" t="inlineStr"/>
      <c r="I98" t="inlineStr"/>
      <c r="J98" t="inlineStr">
        <is>
          <t>Absence Management</t>
        </is>
      </c>
      <c r="K98" t="inlineStr">
        <is>
          <t>N</t>
        </is>
      </c>
      <c r="L98" t="inlineStr">
        <is>
          <t>Y</t>
        </is>
      </c>
      <c r="M98" t="inlineStr">
        <is>
          <t>N</t>
        </is>
      </c>
      <c r="N98" t="inlineStr">
        <is>
          <t>Action type: Steps to Enable. The calendar improvements work with the delivered defaults, so no setup is required to start using them. To tailor the calendar to your workforce, administrators can conf</t>
        </is>
      </c>
      <c r="O98" t="inlineStr">
        <is>
          <t>High</t>
        </is>
      </c>
      <c r="P98" t="inlineStr">
        <is>
          <t>2025-06-20</t>
        </is>
      </c>
      <c r="Q98" t="inlineStr">
        <is>
          <t>Oracle Fusion 26C Readiness — Absence Management</t>
        </is>
      </c>
      <c r="R98" t="inlineStr"/>
    </row>
    <row r="99">
      <c r="A99" t="inlineStr">
        <is>
          <t>CHG_IMP_0074</t>
        </is>
      </c>
      <c r="B99" t="inlineStr">
        <is>
          <t>REL_26C</t>
        </is>
      </c>
      <c r="C99" t="inlineStr">
        <is>
          <t>Compensatory Time Interface Enhancements</t>
        </is>
      </c>
      <c r="D99" t="inlineStr">
        <is>
          <t>Compensatory Time Interface Enhancements. Module: Absence Management. Release: 26C. Two new enhancements to the compensatory time integration are being introduced in this release.
• **Entry-Level Approval Support for Payroll Users**
 Previously, when the **Update Compensatory Plan Balance** option on the Absence Management Job Configuration page was set to **On timecard approva</t>
        </is>
      </c>
      <c r="E99" t="inlineStr">
        <is>
          <t>Absence Management</t>
        </is>
      </c>
      <c r="F99" t="inlineStr">
        <is>
          <t>Functional</t>
        </is>
      </c>
      <c r="G99" t="inlineStr">
        <is>
          <t>Functional</t>
        </is>
      </c>
      <c r="H99" t="inlineStr"/>
      <c r="I99" t="inlineStr"/>
      <c r="J99" t="inlineStr">
        <is>
          <t>Absence Management</t>
        </is>
      </c>
      <c r="K99" t="inlineStr">
        <is>
          <t>N</t>
        </is>
      </c>
      <c r="L99" t="inlineStr">
        <is>
          <t>N</t>
        </is>
      </c>
      <c r="M99" t="inlineStr">
        <is>
          <t>N</t>
        </is>
      </c>
      <c r="N99" t="inlineStr">
        <is>
          <t>Auto-enabled — no action required</t>
        </is>
      </c>
      <c r="O99" t="inlineStr">
        <is>
          <t>Low</t>
        </is>
      </c>
      <c r="P99" t="inlineStr">
        <is>
          <t>2025-06-20</t>
        </is>
      </c>
      <c r="Q99" t="inlineStr">
        <is>
          <t>Oracle Fusion 26C Readiness — Absence Management</t>
        </is>
      </c>
      <c r="R99" t="inlineStr"/>
    </row>
    <row r="100">
      <c r="A100" t="inlineStr">
        <is>
          <t>CHG_IMP_0075</t>
        </is>
      </c>
      <c r="B100" t="inlineStr">
        <is>
          <t>REL_26C</t>
        </is>
      </c>
      <c r="C100" t="inlineStr">
        <is>
          <t>Display Unpaid Break when Absence is Entered on the Timecard</t>
        </is>
      </c>
      <c r="D100" t="inlineStr">
        <is>
          <t>Display Unpaid Break when Absence is Entered on the Timecard. Module: Absence Management. Release: 26C. Previously, we introduced a feature in 26B to display unpaid break on the absence Redwood pages when the break is automatically deducted from the absence duration. This wasn't supported for absences that were entered on the time card and later viewed in Absence Management. Now with the new enhan</t>
        </is>
      </c>
      <c r="E100" t="inlineStr">
        <is>
          <t>Absence Management</t>
        </is>
      </c>
      <c r="F100" t="inlineStr">
        <is>
          <t>Functional</t>
        </is>
      </c>
      <c r="G100" t="inlineStr">
        <is>
          <t>Functional</t>
        </is>
      </c>
      <c r="H100" t="inlineStr"/>
      <c r="I100" t="inlineStr"/>
      <c r="J100" t="inlineStr">
        <is>
          <t>Absence Management</t>
        </is>
      </c>
      <c r="K100" t="inlineStr">
        <is>
          <t>N</t>
        </is>
      </c>
      <c r="L100" t="inlineStr">
        <is>
          <t>N</t>
        </is>
      </c>
      <c r="M100" t="inlineStr">
        <is>
          <t>N</t>
        </is>
      </c>
      <c r="N100" t="inlineStr">
        <is>
          <t>Auto-enabled — no action required</t>
        </is>
      </c>
      <c r="O100" t="inlineStr">
        <is>
          <t>Low</t>
        </is>
      </c>
      <c r="P100" t="inlineStr">
        <is>
          <t>2025-06-20</t>
        </is>
      </c>
      <c r="Q100" t="inlineStr">
        <is>
          <t>Oracle Fusion 26C Readiness — Absence Management</t>
        </is>
      </c>
      <c r="R100" t="inlineStr"/>
    </row>
    <row r="101">
      <c r="A101" t="inlineStr">
        <is>
          <t>CHG_IMP_0076</t>
        </is>
      </c>
      <c r="B101" t="inlineStr">
        <is>
          <t>REL_26C</t>
        </is>
      </c>
      <c r="C101" t="inlineStr">
        <is>
          <t>Invalid Dates are Disabled in the Date Picker</t>
        </is>
      </c>
      <c r="D101" t="inlineStr">
        <is>
          <t>Invalid Dates are Disabled in the Date Picker. Module: Absence Management. Release: 26C. When you enter absences against past or future assignments using the enhanced Redwood pages, the date picker now allows selection of only the valid dates for the chosen assignment. The invalid dates are greyed out. This applies to only the absence types that allow assignment selection and when an as</t>
        </is>
      </c>
      <c r="E101" t="inlineStr">
        <is>
          <t>Absence Management</t>
        </is>
      </c>
      <c r="F101" t="inlineStr">
        <is>
          <t>Functional</t>
        </is>
      </c>
      <c r="G101" t="inlineStr">
        <is>
          <t>Functional</t>
        </is>
      </c>
      <c r="H101" t="inlineStr"/>
      <c r="I101" t="inlineStr"/>
      <c r="J101" t="inlineStr">
        <is>
          <t>Absence Management</t>
        </is>
      </c>
      <c r="K101" t="inlineStr">
        <is>
          <t>N</t>
        </is>
      </c>
      <c r="L101" t="inlineStr">
        <is>
          <t>N</t>
        </is>
      </c>
      <c r="M101" t="inlineStr">
        <is>
          <t>N</t>
        </is>
      </c>
      <c r="N101" t="inlineStr">
        <is>
          <t>Auto-enabled — no action required</t>
        </is>
      </c>
      <c r="O101" t="inlineStr">
        <is>
          <t>Low</t>
        </is>
      </c>
      <c r="P101" t="inlineStr">
        <is>
          <t>2025-06-20</t>
        </is>
      </c>
      <c r="Q101" t="inlineStr">
        <is>
          <t>Oracle Fusion 26C Readiness — Absence Management</t>
        </is>
      </c>
      <c r="R101" t="inlineStr"/>
    </row>
    <row r="102">
      <c r="A102" t="inlineStr">
        <is>
          <t>CHG_IMP_0077</t>
        </is>
      </c>
      <c r="B102" t="inlineStr">
        <is>
          <t>REL_26C</t>
        </is>
      </c>
      <c r="C102" t="inlineStr">
        <is>
          <t>Optional Reason for Discretionary Disbursements</t>
        </is>
      </c>
      <c r="D102" t="inlineStr">
        <is>
          <t>Optional Reason for Discretionary Disbursements. Module: Absence Management. Release: 26C. You can now configure absence plans to mandate reason selection when disbursing balances. You can define your list of acceptable reasons using the new ANC_DISBURSEMENT_REASONS lookup code. You need to attach these reasons to the specific absence plan in the Discretionary Disbursements section of the</t>
        </is>
      </c>
      <c r="E102" t="inlineStr">
        <is>
          <t>Absence Management</t>
        </is>
      </c>
      <c r="F102" t="inlineStr">
        <is>
          <t>Functional</t>
        </is>
      </c>
      <c r="G102" t="inlineStr">
        <is>
          <t>Functional</t>
        </is>
      </c>
      <c r="H102" t="inlineStr"/>
      <c r="I102" t="inlineStr"/>
      <c r="J102" t="inlineStr">
        <is>
          <t>Absence Management</t>
        </is>
      </c>
      <c r="K102" t="inlineStr">
        <is>
          <t>N</t>
        </is>
      </c>
      <c r="L102" t="inlineStr">
        <is>
          <t>N</t>
        </is>
      </c>
      <c r="M102" t="inlineStr">
        <is>
          <t>N</t>
        </is>
      </c>
      <c r="N102" t="inlineStr">
        <is>
          <t>Auto-enabled — no action required</t>
        </is>
      </c>
      <c r="O102" t="inlineStr">
        <is>
          <t>Low</t>
        </is>
      </c>
      <c r="P102" t="inlineStr">
        <is>
          <t>2025-06-20</t>
        </is>
      </c>
      <c r="Q102" t="inlineStr">
        <is>
          <t>Oracle Fusion 26C Readiness — Absence Management</t>
        </is>
      </c>
      <c r="R102" t="inlineStr"/>
    </row>
    <row r="103">
      <c r="A103" t="inlineStr">
        <is>
          <t>CHG_IMP_0078</t>
        </is>
      </c>
      <c r="B103" t="inlineStr">
        <is>
          <t>REL_26C</t>
        </is>
      </c>
      <c r="C103" t="inlineStr">
        <is>
          <t>Prevent Withdrawal of Previously Approved Absences</t>
        </is>
      </c>
      <c r="D103" t="inlineStr">
        <is>
          <t>Prevent Withdrawal of Previously Approved Absences. Module: Absence Management. Release: 26C. Previously, if an employee edited and resubmitted an already approved absence, the status changed to Awaiting Approval status and the employee could withdraw the absence without the manager's approval. To prevent this, the withdraw option is now hidden for approved absences that have been edited and</t>
        </is>
      </c>
      <c r="E103" t="inlineStr">
        <is>
          <t>Absence Management</t>
        </is>
      </c>
      <c r="F103" t="inlineStr">
        <is>
          <t>Functional</t>
        </is>
      </c>
      <c r="G103" t="inlineStr">
        <is>
          <t>Functional</t>
        </is>
      </c>
      <c r="H103" t="inlineStr"/>
      <c r="I103" t="inlineStr"/>
      <c r="J103" t="inlineStr">
        <is>
          <t>Absence Management</t>
        </is>
      </c>
      <c r="K103" t="inlineStr">
        <is>
          <t>N</t>
        </is>
      </c>
      <c r="L103" t="inlineStr">
        <is>
          <t>N</t>
        </is>
      </c>
      <c r="M103" t="inlineStr">
        <is>
          <t>N</t>
        </is>
      </c>
      <c r="N103" t="inlineStr">
        <is>
          <t>Auto-enabled — no action required</t>
        </is>
      </c>
      <c r="O103" t="inlineStr">
        <is>
          <t>Low</t>
        </is>
      </c>
      <c r="P103" t="inlineStr">
        <is>
          <t>2025-06-20</t>
        </is>
      </c>
      <c r="Q103" t="inlineStr">
        <is>
          <t>Oracle Fusion 26C Readiness — Absence Management</t>
        </is>
      </c>
      <c r="R103" t="inlineStr"/>
    </row>
    <row r="104">
      <c r="A104" t="inlineStr">
        <is>
          <t>CHG_IMP_0079</t>
        </is>
      </c>
      <c r="B104" t="inlineStr">
        <is>
          <t>REL_26C</t>
        </is>
      </c>
      <c r="C104" t="inlineStr">
        <is>
          <t>Use VB Studio to Restrict Access to Past and Future Assignments</t>
        </is>
      </c>
      <c r="D104" t="inlineStr">
        <is>
          <t>Use VB Studio to Restrict Access to Past and Future Assignments. Module: Absence Management. Release: 26C. Absence Management enables users to record absences for past assignments that concluded within the last year, as well as, for all active future assignments. You can now further refine these options using two new page properties in the Visual Builder Studio.
Page Property | Description
Future</t>
        </is>
      </c>
      <c r="E104" t="inlineStr">
        <is>
          <t>Absence Management</t>
        </is>
      </c>
      <c r="F104" t="inlineStr">
        <is>
          <t>Functional</t>
        </is>
      </c>
      <c r="G104" t="inlineStr">
        <is>
          <t>Functional</t>
        </is>
      </c>
      <c r="H104" t="inlineStr"/>
      <c r="I104" t="inlineStr"/>
      <c r="J104" t="inlineStr">
        <is>
          <t>Absence Management</t>
        </is>
      </c>
      <c r="K104" t="inlineStr">
        <is>
          <t>N</t>
        </is>
      </c>
      <c r="L104" t="inlineStr">
        <is>
          <t>N</t>
        </is>
      </c>
      <c r="M104" t="inlineStr">
        <is>
          <t>N</t>
        </is>
      </c>
      <c r="N104" t="inlineStr">
        <is>
          <t>Auto-enabled — no action required</t>
        </is>
      </c>
      <c r="O104" t="inlineStr">
        <is>
          <t>Low</t>
        </is>
      </c>
      <c r="P104" t="inlineStr">
        <is>
          <t>2025-06-20</t>
        </is>
      </c>
      <c r="Q104" t="inlineStr">
        <is>
          <t>Oracle Fusion 26C Readiness — Absence Management</t>
        </is>
      </c>
      <c r="R104" t="inlineStr"/>
    </row>
    <row r="105">
      <c r="A105" t="inlineStr">
        <is>
          <t>CHG_IMP_0080</t>
        </is>
      </c>
      <c r="B105" t="inlineStr">
        <is>
          <t>REL_26C</t>
        </is>
      </c>
      <c r="C105" t="inlineStr">
        <is>
          <t>Configure Attachment Options for Redwood Benefits Pending Actions</t>
        </is>
      </c>
      <c r="D105" t="inlineStr">
        <is>
          <t>Configure Attachment Options for Redwood Benefits Pending Actions. Module: Benefits. Release: 26C. Previously, the Redwood attachments component displayed both File Upload and URL options. Customers with compliance or security restrictions that prohibit URL-based attachments couldn’t disable the URL option in Benefits pending actions.
With this enhancement, you can configure which attachment typ</t>
        </is>
      </c>
      <c r="E105" t="inlineStr">
        <is>
          <t>Benefits</t>
        </is>
      </c>
      <c r="F105" t="inlineStr">
        <is>
          <t>Functional</t>
        </is>
      </c>
      <c r="G105" t="inlineStr">
        <is>
          <t>Functional</t>
        </is>
      </c>
      <c r="H105" t="inlineStr"/>
      <c r="I105" t="inlineStr"/>
      <c r="J105" t="inlineStr">
        <is>
          <t>Benefits</t>
        </is>
      </c>
      <c r="K105" t="inlineStr">
        <is>
          <t>N</t>
        </is>
      </c>
      <c r="L105" t="inlineStr">
        <is>
          <t>Y</t>
        </is>
      </c>
      <c r="M105" t="inlineStr">
        <is>
          <t>N</t>
        </is>
      </c>
      <c r="N105" t="inlineStr">
        <is>
          <t>Action type: Steps to Enable. How do I configure attachment options for Redwood Benefits pending actions?</t>
        </is>
      </c>
      <c r="O105" t="inlineStr">
        <is>
          <t>High</t>
        </is>
      </c>
      <c r="P105" t="inlineStr">
        <is>
          <t>2025-06-20</t>
        </is>
      </c>
      <c r="Q105" t="inlineStr">
        <is>
          <t>Oracle Fusion 26C Readiness — Benefits</t>
        </is>
      </c>
      <c r="R105" t="inlineStr"/>
    </row>
    <row r="106">
      <c r="A106" t="inlineStr">
        <is>
          <t>CHG_IMP_0081</t>
        </is>
      </c>
      <c r="B106" t="inlineStr">
        <is>
          <t>REL_26C</t>
        </is>
      </c>
      <c r="C106" t="inlineStr">
        <is>
          <t>Configure Enrollment Confirmation Alerts by Life Event</t>
        </is>
      </c>
      <c r="D106" t="inlineStr">
        <is>
          <t>Configure Enrollment Confirmation Alerts by Life Event. Module: Benefits. Release: 26C. You can now configure alert rules to control whether an enrollment confirmation alert is sent for a specific life event. For example, you can send the alert for a marriage life event and suppress it for an address change life event.
If you don’t configure an alert rule for a life event, the system</t>
        </is>
      </c>
      <c r="E106" t="inlineStr">
        <is>
          <t>Benefits</t>
        </is>
      </c>
      <c r="F106" t="inlineStr">
        <is>
          <t>Functional</t>
        </is>
      </c>
      <c r="G106" t="inlineStr">
        <is>
          <t>Functional</t>
        </is>
      </c>
      <c r="H106" t="inlineStr"/>
      <c r="I106" t="inlineStr"/>
      <c r="J106" t="inlineStr">
        <is>
          <t>Benefits</t>
        </is>
      </c>
      <c r="K106" t="inlineStr">
        <is>
          <t>N</t>
        </is>
      </c>
      <c r="L106" t="inlineStr">
        <is>
          <t>Y</t>
        </is>
      </c>
      <c r="M106" t="inlineStr">
        <is>
          <t>N</t>
        </is>
      </c>
      <c r="N106" t="inlineStr">
        <is>
          <t>Action type: Steps to Enable. Enable these profile options. To learn how to enable a profile option, see How do I enable a profile option? • ORA_HCM_VBCS_PWA_ENABLED • ORA_BEN_ADMINISTRATIVE_ENROLLMEN</t>
        </is>
      </c>
      <c r="O106" t="inlineStr">
        <is>
          <t>High</t>
        </is>
      </c>
      <c r="P106" t="inlineStr">
        <is>
          <t>2025-06-20</t>
        </is>
      </c>
      <c r="Q106" t="inlineStr">
        <is>
          <t>Oracle Fusion 26C Readiness — Benefits</t>
        </is>
      </c>
      <c r="R106" t="inlineStr"/>
    </row>
    <row r="107">
      <c r="A107" t="inlineStr">
        <is>
          <t>CHG_IMP_0082</t>
        </is>
      </c>
      <c r="B107" t="inlineStr">
        <is>
          <t>REL_26C</t>
        </is>
      </c>
      <c r="C107" t="inlineStr">
        <is>
          <t>Configure Rules for Benefits Redwood Page Properties</t>
        </is>
      </c>
      <c r="D107" t="inlineStr">
        <is>
          <t>Configure Rules for Benefits Redwood Page Properties. Module: Benefits. Release: 26C. Benefits Redwood page properties can now use rules in Visual Builder Studio. Previously, page properties were typically configured as static values, such as enabling or disabling a setting, adding a guided journey, or defining text for the welcome area. Administrators can now create rules that allow</t>
        </is>
      </c>
      <c r="E107" t="inlineStr">
        <is>
          <t>Benefits</t>
        </is>
      </c>
      <c r="F107" t="inlineStr">
        <is>
          <t>Functional</t>
        </is>
      </c>
      <c r="G107" t="inlineStr">
        <is>
          <t>Functional</t>
        </is>
      </c>
      <c r="H107" t="inlineStr"/>
      <c r="I107" t="inlineStr"/>
      <c r="J107" t="inlineStr">
        <is>
          <t>Benefits</t>
        </is>
      </c>
      <c r="K107" t="inlineStr">
        <is>
          <t>N</t>
        </is>
      </c>
      <c r="L107" t="inlineStr">
        <is>
          <t>Y</t>
        </is>
      </c>
      <c r="M107" t="inlineStr">
        <is>
          <t>N</t>
        </is>
      </c>
      <c r="N107" t="inlineStr">
        <is>
          <t>Action type: Steps to Enable. Here's how you configure page property rules for supported Benefits Redwood pages: 1. Open the supported Benefits Redwood page in Visual Builder Studio. 2. In Business Ru</t>
        </is>
      </c>
      <c r="O107" t="inlineStr">
        <is>
          <t>High</t>
        </is>
      </c>
      <c r="P107" t="inlineStr">
        <is>
          <t>2025-06-20</t>
        </is>
      </c>
      <c r="Q107" t="inlineStr">
        <is>
          <t>Oracle Fusion 26C Readiness — Benefits</t>
        </is>
      </c>
      <c r="R107" t="inlineStr"/>
    </row>
    <row r="108">
      <c r="A108" t="inlineStr">
        <is>
          <t>CHG_IMP_0083</t>
        </is>
      </c>
      <c r="B108" t="inlineStr">
        <is>
          <t>REL_26C</t>
        </is>
      </c>
      <c r="C108" t="inlineStr">
        <is>
          <t>Display Benefits Document Type Names in Certification Panel Drawers</t>
        </is>
      </c>
      <c r="D108" t="inlineStr">
        <is>
          <t xml:space="preserve">Display Benefits Document Type Names in Certification Panel Drawers. Module: Benefits. Release: 26C. Certification-related pending actions in Redwood Benefits now display document type names based on Benefits configuration.
Previously, the document type shown in the panel drawer was derived from the Document of Record (DOR) document types. In Redwood, you can't rename DOR document type names. If </t>
        </is>
      </c>
      <c r="E108" t="inlineStr">
        <is>
          <t>Benefits</t>
        </is>
      </c>
      <c r="F108" t="inlineStr">
        <is>
          <t>Functional</t>
        </is>
      </c>
      <c r="G108" t="inlineStr">
        <is>
          <t>Functional</t>
        </is>
      </c>
      <c r="H108" t="inlineStr"/>
      <c r="I108" t="inlineStr"/>
      <c r="J108" t="inlineStr">
        <is>
          <t>Benefits</t>
        </is>
      </c>
      <c r="K108" t="inlineStr">
        <is>
          <t>N</t>
        </is>
      </c>
      <c r="L108" t="inlineStr">
        <is>
          <t>Y</t>
        </is>
      </c>
      <c r="M108" t="inlineStr">
        <is>
          <t>N</t>
        </is>
      </c>
      <c r="N108" t="inlineStr">
        <is>
          <t>Action type: Steps to Enable. Enable these profile options. To learn how to enable a profile option, see How do I enable a profile option? • ORA_HCM_VBCS_PWA_ENABLED • ORA_BEN_ADMINISTRATIVE</t>
        </is>
      </c>
      <c r="O108" t="inlineStr">
        <is>
          <t>High</t>
        </is>
      </c>
      <c r="P108" t="inlineStr">
        <is>
          <t>2025-06-20</t>
        </is>
      </c>
      <c r="Q108" t="inlineStr">
        <is>
          <t>Oracle Fusion 26C Readiness — Benefits</t>
        </is>
      </c>
      <c r="R108" t="inlineStr"/>
    </row>
    <row r="109">
      <c r="A109" t="inlineStr">
        <is>
          <t>CHG_IMP_0084</t>
        </is>
      </c>
      <c r="B109" t="inlineStr">
        <is>
          <t>REL_26C</t>
        </is>
      </c>
      <c r="C109" t="inlineStr">
        <is>
          <t>Enable Redwood Experience for Benefits Plan Configuration Pages</t>
        </is>
      </c>
      <c r="D109" t="inlineStr">
        <is>
          <t>Enable Redwood Experience for Benefits Plan Configuration Pages. Module: Benefits. Release: 26C. These Benefits plan configuration pages are now available in the Redwood user experience as part of the ongoing Benefits Redwood adoption**:**
• Self-Service Configuration and Survey
• Configure Enrollment Action Items
• Benefit Balances
• Benefit Groups
• Reporting Groups
• Regulations
• Year Peri</t>
        </is>
      </c>
      <c r="E109" t="inlineStr">
        <is>
          <t>Benefits</t>
        </is>
      </c>
      <c r="F109" t="inlineStr">
        <is>
          <t>Functional</t>
        </is>
      </c>
      <c r="G109" t="inlineStr">
        <is>
          <t>Functional</t>
        </is>
      </c>
      <c r="H109" t="inlineStr"/>
      <c r="I109" t="inlineStr"/>
      <c r="J109" t="inlineStr">
        <is>
          <t>Benefits</t>
        </is>
      </c>
      <c r="K109" t="inlineStr">
        <is>
          <t>N</t>
        </is>
      </c>
      <c r="L109" t="inlineStr">
        <is>
          <t>Y</t>
        </is>
      </c>
      <c r="M109" t="inlineStr">
        <is>
          <t>N</t>
        </is>
      </c>
      <c r="N109" t="inlineStr">
        <is>
          <t>Action type: Steps to Enable. Enable these profile options. To learn how to enable a profile option, see How do I enable a profile option? • ORA_HCM_VBCS_PWA_ENABLED • ORA_BEN_PLAN_CONFIGURATION</t>
        </is>
      </c>
      <c r="O109" t="inlineStr">
        <is>
          <t>High</t>
        </is>
      </c>
      <c r="P109" t="inlineStr">
        <is>
          <t>2025-06-20</t>
        </is>
      </c>
      <c r="Q109" t="inlineStr">
        <is>
          <t>Oracle Fusion 26C Readiness — Benefits</t>
        </is>
      </c>
      <c r="R109" t="inlineStr"/>
    </row>
    <row r="110">
      <c r="A110" t="inlineStr">
        <is>
          <t>CHG_IMP_0085</t>
        </is>
      </c>
      <c r="B110" t="inlineStr">
        <is>
          <t>REL_26C</t>
        </is>
      </c>
      <c r="C110" t="inlineStr">
        <is>
          <t>Enhanced Benefits Analyst Agent for Flex Credits and Benefits Representatives</t>
        </is>
      </c>
      <c r="D110" t="inlineStr">
        <is>
          <t>Enhanced Benefits Analyst Agent for Flex Credits and Benefits Representatives. Module: Benefits. Release: 26C. The Benefits Analyst Agent now includes additional tools to answer more Benefits-related questions for employees.
With this enhancement, the agent can:
• Answer questions about flex credit details using the flex credit summary tool. Flex credit details are retrieved as of the current da</t>
        </is>
      </c>
      <c r="E110" t="inlineStr">
        <is>
          <t>Benefits</t>
        </is>
      </c>
      <c r="F110" t="inlineStr">
        <is>
          <t>Functional</t>
        </is>
      </c>
      <c r="G110" t="inlineStr">
        <is>
          <t>Functional</t>
        </is>
      </c>
      <c r="H110" t="inlineStr"/>
      <c r="I110" t="inlineStr"/>
      <c r="J110" t="inlineStr">
        <is>
          <t>Benefits</t>
        </is>
      </c>
      <c r="K110" t="inlineStr">
        <is>
          <t>N</t>
        </is>
      </c>
      <c r="L110" t="inlineStr">
        <is>
          <t>Y</t>
        </is>
      </c>
      <c r="M110" t="inlineStr">
        <is>
          <t>N</t>
        </is>
      </c>
      <c r="N110" t="inlineStr">
        <is>
          <t>Action type: Steps to Enable. This feature is available in the Redwood Benefits experience. Enable these profile options. To learn how to enable a profile option, see How do I enab</t>
        </is>
      </c>
      <c r="O110" t="inlineStr">
        <is>
          <t>High</t>
        </is>
      </c>
      <c r="P110" t="inlineStr">
        <is>
          <t>2025-06-20</t>
        </is>
      </c>
      <c r="Q110" t="inlineStr">
        <is>
          <t>Oracle Fusion 26C Readiness — Benefits</t>
        </is>
      </c>
      <c r="R110" t="inlineStr"/>
    </row>
    <row r="111">
      <c r="A111" t="inlineStr">
        <is>
          <t>CHG_IMP_0086</t>
        </is>
      </c>
      <c r="B111" t="inlineStr">
        <is>
          <t>REL_26C</t>
        </is>
      </c>
      <c r="C111" t="inlineStr">
        <is>
          <t>Manage Approved Certification Documents in Subsequent Life Events</t>
        </is>
      </c>
      <c r="D111" t="inlineStr">
        <is>
          <t>Manage Approved Certification Documents in Subsequent Life Events. Module: Benefits. Release: 26C. Benefits administrators and employees now have greater flexibility when a certification document has already been approved and a later life event requires additional documentation.
Previously, after a document was approved, all fields except the Received Date became read-only. If the same certifica</t>
        </is>
      </c>
      <c r="E111" t="inlineStr">
        <is>
          <t>Benefits</t>
        </is>
      </c>
      <c r="F111" t="inlineStr">
        <is>
          <t>Functional</t>
        </is>
      </c>
      <c r="G111" t="inlineStr">
        <is>
          <t>Functional</t>
        </is>
      </c>
      <c r="H111" t="inlineStr"/>
      <c r="I111" t="inlineStr"/>
      <c r="J111" t="inlineStr">
        <is>
          <t>Benefits</t>
        </is>
      </c>
      <c r="K111" t="inlineStr">
        <is>
          <t>N</t>
        </is>
      </c>
      <c r="L111" t="inlineStr">
        <is>
          <t>Y</t>
        </is>
      </c>
      <c r="M111" t="inlineStr">
        <is>
          <t>N</t>
        </is>
      </c>
      <c r="N111" t="inlineStr">
        <is>
          <t>Action type: Steps to Enable. Enable these profile options. To learn how to enable a profile option, see How do I enable a profile option? • ORA_HCM_VBCS_PWA_ENABLED • ORA_BEN_ADMINISTRATIVE_E</t>
        </is>
      </c>
      <c r="O111" t="inlineStr">
        <is>
          <t>High</t>
        </is>
      </c>
      <c r="P111" t="inlineStr">
        <is>
          <t>2025-06-20</t>
        </is>
      </c>
      <c r="Q111" t="inlineStr">
        <is>
          <t>Oracle Fusion 26C Readiness — Benefits</t>
        </is>
      </c>
      <c r="R111" t="inlineStr"/>
    </row>
    <row r="112">
      <c r="A112" t="inlineStr">
        <is>
          <t>CHG_IMP_0087</t>
        </is>
      </c>
      <c r="B112" t="inlineStr">
        <is>
          <t>REL_26C</t>
        </is>
      </c>
      <c r="C112" t="inlineStr">
        <is>
          <t>Preview Certification Attachments in the Benefits Summary</t>
        </is>
      </c>
      <c r="D112" t="inlineStr">
        <is>
          <t>Preview Certification Attachments in the Benefits Summary. Module: Benefits. Release: 26C. You can now preview the supported certification attachments directly in the Redwood Benefits Summary page. PDF and image attachments open in an inline preview. If a file type isn't supported for preview, you can still download the attachment.
Previously, you couldn't preview certification attachmen</t>
        </is>
      </c>
      <c r="E112" t="inlineStr">
        <is>
          <t>Benefits</t>
        </is>
      </c>
      <c r="F112" t="inlineStr">
        <is>
          <t>Functional</t>
        </is>
      </c>
      <c r="G112" t="inlineStr">
        <is>
          <t>Functional</t>
        </is>
      </c>
      <c r="H112" t="inlineStr"/>
      <c r="I112" t="inlineStr"/>
      <c r="J112" t="inlineStr">
        <is>
          <t>Benefits</t>
        </is>
      </c>
      <c r="K112" t="inlineStr">
        <is>
          <t>N</t>
        </is>
      </c>
      <c r="L112" t="inlineStr">
        <is>
          <t>Y</t>
        </is>
      </c>
      <c r="M112" t="inlineStr">
        <is>
          <t>N</t>
        </is>
      </c>
      <c r="N112" t="inlineStr">
        <is>
          <t>Action type: Steps to Enable. This feature is available in the Redwood Benefits Summary. Enable these profile options. To learn how to enable a profile option, see How do I enable a profile option?. •</t>
        </is>
      </c>
      <c r="O112" t="inlineStr">
        <is>
          <t>High</t>
        </is>
      </c>
      <c r="P112" t="inlineStr">
        <is>
          <t>2025-06-20</t>
        </is>
      </c>
      <c r="Q112" t="inlineStr">
        <is>
          <t>Oracle Fusion 26C Readiness — Benefits</t>
        </is>
      </c>
      <c r="R112" t="inlineStr"/>
    </row>
    <row r="113">
      <c r="A113" t="inlineStr">
        <is>
          <t>CHG_IMP_0088</t>
        </is>
      </c>
      <c r="B113" t="inlineStr">
        <is>
          <t>REL_26C</t>
        </is>
      </c>
      <c r="C113" t="inlineStr">
        <is>
          <t>Simulate a Life Event for Benefits Administrators</t>
        </is>
      </c>
      <c r="D113" t="inlineStr">
        <is>
          <t>Simulate a Life Event for Benefits Administrators. Module: Benefits. Release: 26C. Benefits administrators can now simulate a life event for a person from the Benefits Summary page. The simulation allows administrators to:
• Select a life event and event date
• Compare the life event with current benefits eligibility
• Review the estimated eligibility and rate results after the s</t>
        </is>
      </c>
      <c r="E113" t="inlineStr">
        <is>
          <t>Benefits</t>
        </is>
      </c>
      <c r="F113" t="inlineStr">
        <is>
          <t>Functional</t>
        </is>
      </c>
      <c r="G113" t="inlineStr">
        <is>
          <t>Functional</t>
        </is>
      </c>
      <c r="H113" t="inlineStr"/>
      <c r="I113" t="inlineStr"/>
      <c r="J113" t="inlineStr">
        <is>
          <t>Benefits</t>
        </is>
      </c>
      <c r="K113" t="inlineStr">
        <is>
          <t>N</t>
        </is>
      </c>
      <c r="L113" t="inlineStr">
        <is>
          <t>Y</t>
        </is>
      </c>
      <c r="M113" t="inlineStr">
        <is>
          <t>N</t>
        </is>
      </c>
      <c r="N113" t="inlineStr">
        <is>
          <t>Action type: Steps to Enable. Enable these profile options. To learn how to enable a profile option, see How do I enable a profile option? • ORA_HCM_VBCS_PWA_ENABLED • ORA_BEN_PLAN_CONFIGURATION_REDWO</t>
        </is>
      </c>
      <c r="O113" t="inlineStr">
        <is>
          <t>High</t>
        </is>
      </c>
      <c r="P113" t="inlineStr">
        <is>
          <t>2025-06-20</t>
        </is>
      </c>
      <c r="Q113" t="inlineStr">
        <is>
          <t>Oracle Fusion 26C Readiness — Benefits</t>
        </is>
      </c>
      <c r="R113" t="inlineStr"/>
    </row>
    <row r="114">
      <c r="A114" t="inlineStr">
        <is>
          <t>CHG_IMP_0089</t>
        </is>
      </c>
      <c r="B114" t="inlineStr">
        <is>
          <t>REL_26C</t>
        </is>
      </c>
      <c r="C114" t="inlineStr">
        <is>
          <t>Upload Certification Documents Outside the Enrollment Window</t>
        </is>
      </c>
      <c r="D114" t="inlineStr">
        <is>
          <t>Upload Certification Documents Outside the Enrollment Window. Module: Benefits. Release: 26C. Employees can now upload required certification documents in Redwood Self-Service Benefits after the enrollment window closes, provided the document is associated with the employee’s latest life event.
Previously, employees couldn’t upload documents outside the enrollment window. This created issue</t>
        </is>
      </c>
      <c r="E114" t="inlineStr">
        <is>
          <t>Benefits</t>
        </is>
      </c>
      <c r="F114" t="inlineStr">
        <is>
          <t>Functional</t>
        </is>
      </c>
      <c r="G114" t="inlineStr">
        <is>
          <t>Functional</t>
        </is>
      </c>
      <c r="H114" t="inlineStr"/>
      <c r="I114" t="inlineStr"/>
      <c r="J114" t="inlineStr">
        <is>
          <t>Benefits</t>
        </is>
      </c>
      <c r="K114" t="inlineStr">
        <is>
          <t>N</t>
        </is>
      </c>
      <c r="L114" t="inlineStr">
        <is>
          <t>Y</t>
        </is>
      </c>
      <c r="M114" t="inlineStr">
        <is>
          <t>N</t>
        </is>
      </c>
      <c r="N114" t="inlineStr">
        <is>
          <t>Action type: Steps to Enable. Enable these profile options. To learn how to enable a profile option, see How do I enable a profile option? • ORA_HCM_VBCS_PWA_ENABLED • ORA_BEN_ADMINISTRATIVE_ENROLL</t>
        </is>
      </c>
      <c r="O114" t="inlineStr">
        <is>
          <t>High</t>
        </is>
      </c>
      <c r="P114" t="inlineStr">
        <is>
          <t>2025-06-20</t>
        </is>
      </c>
      <c r="Q114" t="inlineStr">
        <is>
          <t>Oracle Fusion 26C Readiness — Benefits</t>
        </is>
      </c>
      <c r="R114" t="inlineStr"/>
    </row>
    <row r="115">
      <c r="A115" t="inlineStr">
        <is>
          <t>CHG_IMP_0090</t>
        </is>
      </c>
      <c r="B115" t="inlineStr">
        <is>
          <t>REL_26C</t>
        </is>
      </c>
      <c r="C115" t="inlineStr">
        <is>
          <t>Configurable Business Title Switcher Introduction in Compensation Pages</t>
        </is>
      </c>
      <c r="D115" t="inlineStr">
        <is>
          <t>Configurable Business Title Switcher Introduction in Compensation Pages. Module: Compensation. Release: 26C. We have enhanced the usability of Business Title Switcher available in Redwood My Compensation, Compensation Info and View Compensation History.
The Business Title Switcher now include search and filter functionality, allowing you to quickly find and select the relevant values. When you cl</t>
        </is>
      </c>
      <c r="E115" t="inlineStr">
        <is>
          <t>Compensation</t>
        </is>
      </c>
      <c r="F115" t="inlineStr">
        <is>
          <t>Functional</t>
        </is>
      </c>
      <c r="G115" t="inlineStr">
        <is>
          <t>Functional</t>
        </is>
      </c>
      <c r="H115" t="inlineStr"/>
      <c r="I115" t="inlineStr"/>
      <c r="J115" t="inlineStr">
        <is>
          <t>Compensation</t>
        </is>
      </c>
      <c r="K115" t="inlineStr">
        <is>
          <t>N</t>
        </is>
      </c>
      <c r="L115" t="inlineStr">
        <is>
          <t>N</t>
        </is>
      </c>
      <c r="M115" t="inlineStr">
        <is>
          <t>N</t>
        </is>
      </c>
      <c r="N115" t="inlineStr">
        <is>
          <t>Auto-enabled — no action required</t>
        </is>
      </c>
      <c r="O115" t="inlineStr">
        <is>
          <t>Low</t>
        </is>
      </c>
      <c r="P115" t="inlineStr">
        <is>
          <t>2025-06-20</t>
        </is>
      </c>
      <c r="Q115" t="inlineStr">
        <is>
          <t>Oracle Fusion 26C Readiness — Compensation</t>
        </is>
      </c>
      <c r="R115" t="inlineStr"/>
    </row>
    <row r="116">
      <c r="A116" t="inlineStr">
        <is>
          <t>CHG_IMP_0091</t>
        </is>
      </c>
      <c r="B116" t="inlineStr">
        <is>
          <t>REL_26C</t>
        </is>
      </c>
      <c r="C116" t="inlineStr">
        <is>
          <t>Enhancements to Redwood Individual Compensation Extensibility</t>
        </is>
      </c>
      <c r="D116" t="inlineStr">
        <is>
          <t>Enhancements to Redwood Individual Compensation Extensibility. Module: Compensation. Release: 26C. You can now default input values when correcting or updating an existing proposal. A new attribute is available specifically for defaulting input values during correction and update operations.
Separate Attributes for Defaulting Input Values
You can also default and validate the same field using b</t>
        </is>
      </c>
      <c r="E116" t="inlineStr">
        <is>
          <t>Compensation</t>
        </is>
      </c>
      <c r="F116" t="inlineStr">
        <is>
          <t>Functional</t>
        </is>
      </c>
      <c r="G116" t="inlineStr">
        <is>
          <t>Functional</t>
        </is>
      </c>
      <c r="H116" t="inlineStr"/>
      <c r="I116" t="inlineStr"/>
      <c r="J116" t="inlineStr">
        <is>
          <t>Compensation</t>
        </is>
      </c>
      <c r="K116" t="inlineStr">
        <is>
          <t>N</t>
        </is>
      </c>
      <c r="L116" t="inlineStr">
        <is>
          <t>N</t>
        </is>
      </c>
      <c r="M116" t="inlineStr">
        <is>
          <t>N</t>
        </is>
      </c>
      <c r="N116" t="inlineStr">
        <is>
          <t>Auto-enabled — no action required</t>
        </is>
      </c>
      <c r="O116" t="inlineStr">
        <is>
          <t>Low</t>
        </is>
      </c>
      <c r="P116" t="inlineStr">
        <is>
          <t>2025-06-20</t>
        </is>
      </c>
      <c r="Q116" t="inlineStr">
        <is>
          <t>Oracle Fusion 26C Readiness — Compensation</t>
        </is>
      </c>
      <c r="R116" t="inlineStr"/>
    </row>
    <row r="117">
      <c r="A117" t="inlineStr">
        <is>
          <t>CHG_IMP_0092</t>
        </is>
      </c>
      <c r="B117" t="inlineStr">
        <is>
          <t>REL_26C</t>
        </is>
      </c>
      <c r="C117" t="inlineStr">
        <is>
          <t>Enhancements to Redwood Salary, Compensation History Extensibility</t>
        </is>
      </c>
      <c r="D117" t="inlineStr">
        <is>
          <t>Enhancements to Redwood Salary, Compensation History Extensibility. Module: Compensation. Release: 26C. You can now configure decimal settings for monetary values in the Redwood View Compensation History summary page. In addition, enhancements to defaulting and validation allow you to apply both rules to the same field and leverage job, assignment EFF for more dynamic business rules.
View Compens</t>
        </is>
      </c>
      <c r="E117" t="inlineStr">
        <is>
          <t>Compensation</t>
        </is>
      </c>
      <c r="F117" t="inlineStr">
        <is>
          <t>Functional</t>
        </is>
      </c>
      <c r="G117" t="inlineStr">
        <is>
          <t>Functional</t>
        </is>
      </c>
      <c r="H117" t="inlineStr"/>
      <c r="I117" t="inlineStr"/>
      <c r="J117" t="inlineStr">
        <is>
          <t>Compensation</t>
        </is>
      </c>
      <c r="K117" t="inlineStr">
        <is>
          <t>N</t>
        </is>
      </c>
      <c r="L117" t="inlineStr">
        <is>
          <t>N</t>
        </is>
      </c>
      <c r="M117" t="inlineStr">
        <is>
          <t>N</t>
        </is>
      </c>
      <c r="N117" t="inlineStr">
        <is>
          <t>Auto-enabled — no action required</t>
        </is>
      </c>
      <c r="O117" t="inlineStr">
        <is>
          <t>Low</t>
        </is>
      </c>
      <c r="P117" t="inlineStr">
        <is>
          <t>2025-06-20</t>
        </is>
      </c>
      <c r="Q117" t="inlineStr">
        <is>
          <t>Oracle Fusion 26C Readiness — Compensation</t>
        </is>
      </c>
      <c r="R117" t="inlineStr"/>
    </row>
    <row r="118">
      <c r="A118" t="inlineStr">
        <is>
          <t>CHG_IMP_0093</t>
        </is>
      </c>
      <c r="B118" t="inlineStr">
        <is>
          <t>REL_26C</t>
        </is>
      </c>
      <c r="C118" t="inlineStr">
        <is>
          <t>HSDL and Migration Support for Calculation Type Simple Component</t>
        </is>
      </c>
      <c r="D118" t="inlineStr">
        <is>
          <t>HSDL and Migration Support for Calculation Type Simple Component. Module: Compensation. Release: 26C. You can now load and manage salary basis records that use the Simple Component calculation type using HCM Spreadsheet Data Loader and Functional Setup Manager.
The enhancements streamline salary management.</t>
        </is>
      </c>
      <c r="E118" t="inlineStr">
        <is>
          <t>Compensation</t>
        </is>
      </c>
      <c r="F118" t="inlineStr">
        <is>
          <t>Functional</t>
        </is>
      </c>
      <c r="G118" t="inlineStr">
        <is>
          <t>Functional</t>
        </is>
      </c>
      <c r="H118" t="inlineStr"/>
      <c r="I118" t="inlineStr"/>
      <c r="J118" t="inlineStr">
        <is>
          <t>Compensation</t>
        </is>
      </c>
      <c r="K118" t="inlineStr">
        <is>
          <t>N</t>
        </is>
      </c>
      <c r="L118" t="inlineStr">
        <is>
          <t>N</t>
        </is>
      </c>
      <c r="M118" t="inlineStr">
        <is>
          <t>N</t>
        </is>
      </c>
      <c r="N118" t="inlineStr">
        <is>
          <t>Auto-enabled — no action required</t>
        </is>
      </c>
      <c r="O118" t="inlineStr">
        <is>
          <t>Low</t>
        </is>
      </c>
      <c r="P118" t="inlineStr">
        <is>
          <t>2025-06-20</t>
        </is>
      </c>
      <c r="Q118" t="inlineStr">
        <is>
          <t>Oracle Fusion 26C Readiness — Compensation</t>
        </is>
      </c>
      <c r="R118" t="inlineStr"/>
    </row>
    <row r="119">
      <c r="A119" t="inlineStr">
        <is>
          <t>CHG_IMP_0094</t>
        </is>
      </c>
      <c r="B119" t="inlineStr">
        <is>
          <t>REL_26C</t>
        </is>
      </c>
      <c r="C119" t="inlineStr">
        <is>
          <t>Introducing the Total Compensation Statements Setup Subject Area</t>
        </is>
      </c>
      <c r="D119" t="inlineStr">
        <is>
          <t>Introducing the Total Compensation Statements Setup Subject Area. Module: Compensation. Release: 26C. Now you can report on the total compensation statements setup configuration. Users can view statements definitions and sections, periods, categories, items, conditions, and item tags that have been configured. 
 Employee transactional reporting for statement objects will be delivered through anot</t>
        </is>
      </c>
      <c r="E119" t="inlineStr">
        <is>
          <t>Compensation</t>
        </is>
      </c>
      <c r="F119" t="inlineStr">
        <is>
          <t>Functional</t>
        </is>
      </c>
      <c r="G119" t="inlineStr">
        <is>
          <t>Functional</t>
        </is>
      </c>
      <c r="H119" t="inlineStr"/>
      <c r="I119" t="inlineStr"/>
      <c r="J119" t="inlineStr">
        <is>
          <t>Compensation</t>
        </is>
      </c>
      <c r="K119" t="inlineStr">
        <is>
          <t>N</t>
        </is>
      </c>
      <c r="L119" t="inlineStr">
        <is>
          <t>N</t>
        </is>
      </c>
      <c r="M119" t="inlineStr">
        <is>
          <t>N</t>
        </is>
      </c>
      <c r="N119" t="inlineStr">
        <is>
          <t>Auto-enabled — no action required</t>
        </is>
      </c>
      <c r="O119" t="inlineStr">
        <is>
          <t>Low</t>
        </is>
      </c>
      <c r="P119" t="inlineStr">
        <is>
          <t>2025-06-20</t>
        </is>
      </c>
      <c r="Q119" t="inlineStr">
        <is>
          <t>Oracle Fusion 26C Readiness — Compensation</t>
        </is>
      </c>
      <c r="R119" t="inlineStr"/>
    </row>
    <row r="120">
      <c r="A120" t="inlineStr">
        <is>
          <t>CHG_IMP_0095</t>
        </is>
      </c>
      <c r="B120" t="inlineStr">
        <is>
          <t>REL_26C</t>
        </is>
      </c>
      <c r="C120" t="inlineStr">
        <is>
          <t>Redwood Experience for Workforce Compensation Worksheet</t>
        </is>
      </c>
      <c r="D120" t="inlineStr">
        <is>
          <t>Redwood Experience for Workforce Compensation Worksheet. Module: Compensation. Release: 26C. Enrich the manager experience with the new Workforce Compensation worksheet developed using the Redwood tool set when you enable it along with the Redwood experience. From the landing page, select one of your compensation task worksheets.
Award Tab on Landing Page
The Redwood worksheet will displa Opt-in</t>
        </is>
      </c>
      <c r="E120" t="inlineStr">
        <is>
          <t>Compensation</t>
        </is>
      </c>
      <c r="F120" t="inlineStr">
        <is>
          <t>Functional</t>
        </is>
      </c>
      <c r="G120" t="inlineStr">
        <is>
          <t>Functional</t>
        </is>
      </c>
      <c r="H120" t="inlineStr"/>
      <c r="I120" t="inlineStr"/>
      <c r="J120" t="inlineStr">
        <is>
          <t>Compensation</t>
        </is>
      </c>
      <c r="K120" t="inlineStr">
        <is>
          <t>N</t>
        </is>
      </c>
      <c r="L120" t="inlineStr">
        <is>
          <t>Y</t>
        </is>
      </c>
      <c r="M120" t="inlineStr">
        <is>
          <t>N</t>
        </is>
      </c>
      <c r="N120" t="inlineStr">
        <is>
          <t>Action type: Steps to Enable. Use the Opt In UI to enable this feature. For instructions, refer to the Optional Uptake of New Features section of this document. Offering: *Compensation Management* W</t>
        </is>
      </c>
      <c r="O120" t="inlineStr">
        <is>
          <t>High</t>
        </is>
      </c>
      <c r="P120" t="inlineStr">
        <is>
          <t>2025-06-20</t>
        </is>
      </c>
      <c r="Q120" t="inlineStr">
        <is>
          <t>Oracle Fusion 26C Readiness — Compensation</t>
        </is>
      </c>
      <c r="R120" t="inlineStr"/>
    </row>
    <row r="121">
      <c r="A121" t="inlineStr">
        <is>
          <t>CHG_IMP_0096</t>
        </is>
      </c>
      <c r="B121" t="inlineStr">
        <is>
          <t>REL_26C</t>
        </is>
      </c>
      <c r="C121" t="inlineStr">
        <is>
          <t>Reporting on Workforce Compensation Custom Segment Date Columns</t>
        </is>
      </c>
      <c r="D121" t="inlineStr">
        <is>
          <t>Reporting on Workforce Compensation Custom Segment Date Columns. Module: Compensation. Release: 26C. Now you can broaden the coverage of rows displayed in the Workforce Compensation Real Time subject areas. We have included 6 new date columns in the existing folders 'Custom Columns' and 'Custom Columns for Worksheet Manager'. The following columns have been added in both the subject areas:
• Comp</t>
        </is>
      </c>
      <c r="E121" t="inlineStr">
        <is>
          <t>Compensation</t>
        </is>
      </c>
      <c r="F121" t="inlineStr">
        <is>
          <t>Functional</t>
        </is>
      </c>
      <c r="G121" t="inlineStr">
        <is>
          <t>Functional</t>
        </is>
      </c>
      <c r="H121" t="inlineStr"/>
      <c r="I121" t="inlineStr"/>
      <c r="J121" t="inlineStr">
        <is>
          <t>Compensation</t>
        </is>
      </c>
      <c r="K121" t="inlineStr">
        <is>
          <t>N</t>
        </is>
      </c>
      <c r="L121" t="inlineStr">
        <is>
          <t>N</t>
        </is>
      </c>
      <c r="M121" t="inlineStr">
        <is>
          <t>N</t>
        </is>
      </c>
      <c r="N121" t="inlineStr">
        <is>
          <t>Auto-enabled — no action required</t>
        </is>
      </c>
      <c r="O121" t="inlineStr">
        <is>
          <t>Low</t>
        </is>
      </c>
      <c r="P121" t="inlineStr">
        <is>
          <t>2025-06-20</t>
        </is>
      </c>
      <c r="Q121" t="inlineStr">
        <is>
          <t>Oracle Fusion 26C Readiness — Compensation</t>
        </is>
      </c>
      <c r="R121" t="inlineStr"/>
    </row>
    <row r="122">
      <c r="A122" t="inlineStr">
        <is>
          <t>CHG_IMP_0097</t>
        </is>
      </c>
      <c r="B122" t="inlineStr">
        <is>
          <t>REL_26C</t>
        </is>
      </c>
      <c r="C122" t="inlineStr">
        <is>
          <t>Setup and Maintenance Links Launch Redwood Pages</t>
        </is>
      </c>
      <c r="D122" t="inlineStr">
        <is>
          <t>Setup and Maintenance Links Launch Redwood Pages. Module: Compensation. Release: 26C. When accessing tasks in Setup and Maintenance, they will launch Redwood pages instead of ADF Classic pages whenever their Redwood profile options are enabled. When Redwood is not enabled, the current behavior remains unchanged.
• Salary Basis
• Differential Profile
• Individual Compensation Plan
•</t>
        </is>
      </c>
      <c r="E122" t="inlineStr">
        <is>
          <t>Compensation</t>
        </is>
      </c>
      <c r="F122" t="inlineStr">
        <is>
          <t>Functional</t>
        </is>
      </c>
      <c r="G122" t="inlineStr">
        <is>
          <t>Functional</t>
        </is>
      </c>
      <c r="H122" t="inlineStr"/>
      <c r="I122" t="inlineStr"/>
      <c r="J122" t="inlineStr">
        <is>
          <t>Compensation</t>
        </is>
      </c>
      <c r="K122" t="inlineStr">
        <is>
          <t>N</t>
        </is>
      </c>
      <c r="L122" t="inlineStr">
        <is>
          <t>N</t>
        </is>
      </c>
      <c r="M122" t="inlineStr">
        <is>
          <t>N</t>
        </is>
      </c>
      <c r="N122" t="inlineStr">
        <is>
          <t>Auto-enabled — no action required</t>
        </is>
      </c>
      <c r="O122" t="inlineStr">
        <is>
          <t>Low</t>
        </is>
      </c>
      <c r="P122" t="inlineStr">
        <is>
          <t>2025-06-20</t>
        </is>
      </c>
      <c r="Q122" t="inlineStr">
        <is>
          <t>Oracle Fusion 26C Readiness — Compensation</t>
        </is>
      </c>
      <c r="R122" t="inlineStr"/>
    </row>
    <row r="123">
      <c r="A123" t="inlineStr">
        <is>
          <t>CHG_IMP_0098</t>
        </is>
      </c>
      <c r="B123" t="inlineStr">
        <is>
          <t>REL_26C</t>
        </is>
      </c>
      <c r="C123" t="inlineStr">
        <is>
          <t>Total Compensation Statement: Redwood Experience for Generate Printable Statements</t>
        </is>
      </c>
      <c r="D123" t="inlineStr">
        <is>
          <t>Total Compensation Statement: Redwood Experience for Generate Printable Statements. Module: Compensation. Release: 26C. Check out the new Generate Printable Statements page re-created with the Redwood tool set Visual Builder Studio (VBS). You can enable the page along with the Redwood experience.
Generate Printable Statements
With this re-created Redwood page, you continue your journey into Orac</t>
        </is>
      </c>
      <c r="E123" t="inlineStr">
        <is>
          <t>Compensation</t>
        </is>
      </c>
      <c r="F123" t="inlineStr">
        <is>
          <t>Functional</t>
        </is>
      </c>
      <c r="G123" t="inlineStr">
        <is>
          <t>Functional</t>
        </is>
      </c>
      <c r="H123" t="inlineStr"/>
      <c r="I123" t="inlineStr"/>
      <c r="J123" t="inlineStr">
        <is>
          <t>Compensation</t>
        </is>
      </c>
      <c r="K123" t="inlineStr">
        <is>
          <t>N</t>
        </is>
      </c>
      <c r="L123" t="inlineStr">
        <is>
          <t>Y</t>
        </is>
      </c>
      <c r="M123" t="inlineStr">
        <is>
          <t>N</t>
        </is>
      </c>
      <c r="N123" t="inlineStr">
        <is>
          <t xml:space="preserve">Action type: Steps to Enable. Use the Opt In UI to enable this feature. For instructions, refer to the Optional Uptake of New Features section of this document. Offering: </t>
        </is>
      </c>
      <c r="O123" t="inlineStr">
        <is>
          <t>High</t>
        </is>
      </c>
      <c r="P123" t="inlineStr">
        <is>
          <t>2025-06-20</t>
        </is>
      </c>
      <c r="Q123" t="inlineStr">
        <is>
          <t>Oracle Fusion 26C Readiness — Compensation</t>
        </is>
      </c>
      <c r="R123" t="inlineStr"/>
    </row>
    <row r="124">
      <c r="A124" t="inlineStr">
        <is>
          <t>CHG_IMP_0099</t>
        </is>
      </c>
      <c r="B124" t="inlineStr">
        <is>
          <t>REL_26C</t>
        </is>
      </c>
      <c r="C124" t="inlineStr">
        <is>
          <t>Total Compensation Statement: Redwood Experience for Monitor Processes</t>
        </is>
      </c>
      <c r="D124" t="inlineStr">
        <is>
          <t>Total Compensation Statement: Redwood Experience for Monitor Processes. Module: Compensation. Release: 26C. Check out the new Monitor Processes page re-created with the Redwood tool set Visual Builder Studio (VBS). You can enable the page along with the Redwood experience.
Monitor Processes
With this re-created Redwood page, you continue your journey into Oracle Redwood solutions. Opt-in require</t>
        </is>
      </c>
      <c r="E124" t="inlineStr">
        <is>
          <t>Compensation</t>
        </is>
      </c>
      <c r="F124" t="inlineStr">
        <is>
          <t>Functional</t>
        </is>
      </c>
      <c r="G124" t="inlineStr">
        <is>
          <t>Functional</t>
        </is>
      </c>
      <c r="H124" t="inlineStr"/>
      <c r="I124" t="inlineStr"/>
      <c r="J124" t="inlineStr">
        <is>
          <t>Compensation</t>
        </is>
      </c>
      <c r="K124" t="inlineStr">
        <is>
          <t>N</t>
        </is>
      </c>
      <c r="L124" t="inlineStr">
        <is>
          <t>Y</t>
        </is>
      </c>
      <c r="M124" t="inlineStr">
        <is>
          <t>N</t>
        </is>
      </c>
      <c r="N124" t="inlineStr">
        <is>
          <t>Action type: Steps to Enable. Use the Opt In UI to enable this feature. For instructions, refer to the Optional Uptake of New Features section of this document. Offering: *Compensatio</t>
        </is>
      </c>
      <c r="O124" t="inlineStr">
        <is>
          <t>High</t>
        </is>
      </c>
      <c r="P124" t="inlineStr">
        <is>
          <t>2025-06-20</t>
        </is>
      </c>
      <c r="Q124" t="inlineStr">
        <is>
          <t>Oracle Fusion 26C Readiness — Compensation</t>
        </is>
      </c>
      <c r="R124" t="inlineStr"/>
    </row>
    <row r="125">
      <c r="A125" t="inlineStr">
        <is>
          <t>CHG_IMP_0100</t>
        </is>
      </c>
      <c r="B125" t="inlineStr">
        <is>
          <t>REL_26C</t>
        </is>
      </c>
      <c r="C125" t="inlineStr">
        <is>
          <t>Total Compensation Statement: Redwood Experience for Printable Statement Template</t>
        </is>
      </c>
      <c r="D125" t="inlineStr">
        <is>
          <t xml:space="preserve">Total Compensation Statement: Redwood Experience for Printable Statement Template. Module: Compensation. Release: 26C. Check out the new Printable Statement Template page re-created with the Redwood tool set Visual Builder Studio (VBS). You can enable the page along with the Redwood experience.
Printable Statement Template
With this re-created Redwood page, you continue your journey into Oracle </t>
        </is>
      </c>
      <c r="E125" t="inlineStr">
        <is>
          <t>Compensation</t>
        </is>
      </c>
      <c r="F125" t="inlineStr">
        <is>
          <t>Functional</t>
        </is>
      </c>
      <c r="G125" t="inlineStr">
        <is>
          <t>Functional</t>
        </is>
      </c>
      <c r="H125" t="inlineStr"/>
      <c r="I125" t="inlineStr"/>
      <c r="J125" t="inlineStr">
        <is>
          <t>Compensation</t>
        </is>
      </c>
      <c r="K125" t="inlineStr">
        <is>
          <t>N</t>
        </is>
      </c>
      <c r="L125" t="inlineStr">
        <is>
          <t>Y</t>
        </is>
      </c>
      <c r="M125" t="inlineStr">
        <is>
          <t>N</t>
        </is>
      </c>
      <c r="N125" t="inlineStr">
        <is>
          <t>Action type: Steps to Enable. Use the Opt In UI to enable this feature. For instructions, refer to the Optional Uptake of New Features section of this document. Offering: *</t>
        </is>
      </c>
      <c r="O125" t="inlineStr">
        <is>
          <t>High</t>
        </is>
      </c>
      <c r="P125" t="inlineStr">
        <is>
          <t>2025-06-20</t>
        </is>
      </c>
      <c r="Q125" t="inlineStr">
        <is>
          <t>Oracle Fusion 26C Readiness — Compensation</t>
        </is>
      </c>
      <c r="R125" t="inlineStr"/>
    </row>
    <row r="126">
      <c r="A126" t="inlineStr">
        <is>
          <t>CHG_IMP_0101</t>
        </is>
      </c>
      <c r="B126" t="inlineStr">
        <is>
          <t>REL_26C</t>
        </is>
      </c>
      <c r="C126" t="inlineStr">
        <is>
          <t>Total Compensation Statement: Redwood Experience for Statement Definitions</t>
        </is>
      </c>
      <c r="D126" t="inlineStr">
        <is>
          <t>Total Compensation Statement: Redwood Experience for Statement Definitions. Module: Compensation. Release: 26C. Check out the new Statement Definitions page re-created with the Redwood tool set Visual Builder Studio (VBS). You can enable the page along with the Redwood experience.
Statement Definitions
Statement Definition
Periods
With this re-created Redwood page, you continue your journey in</t>
        </is>
      </c>
      <c r="E126" t="inlineStr">
        <is>
          <t>Compensation</t>
        </is>
      </c>
      <c r="F126" t="inlineStr">
        <is>
          <t>Functional</t>
        </is>
      </c>
      <c r="G126" t="inlineStr">
        <is>
          <t>Functional</t>
        </is>
      </c>
      <c r="H126" t="inlineStr"/>
      <c r="I126" t="inlineStr"/>
      <c r="J126" t="inlineStr">
        <is>
          <t>Compensation</t>
        </is>
      </c>
      <c r="K126" t="inlineStr">
        <is>
          <t>N</t>
        </is>
      </c>
      <c r="L126" t="inlineStr">
        <is>
          <t>Y</t>
        </is>
      </c>
      <c r="M126" t="inlineStr">
        <is>
          <t>N</t>
        </is>
      </c>
      <c r="N126" t="inlineStr">
        <is>
          <t>Action type: Steps to Enable. Use the Opt In UI to enable this feature. For instructions, refer to the Optional Uptake of New Features section of this document. Offering: *Compens</t>
        </is>
      </c>
      <c r="O126" t="inlineStr">
        <is>
          <t>High</t>
        </is>
      </c>
      <c r="P126" t="inlineStr">
        <is>
          <t>2025-06-20</t>
        </is>
      </c>
      <c r="Q126" t="inlineStr">
        <is>
          <t>Oracle Fusion 26C Readiness — Compensation</t>
        </is>
      </c>
      <c r="R126" t="inlineStr"/>
    </row>
    <row r="127">
      <c r="A127" t="inlineStr">
        <is>
          <t>CHG_IMP_0102</t>
        </is>
      </c>
      <c r="B127" t="inlineStr">
        <is>
          <t>REL_26C</t>
        </is>
      </c>
      <c r="C127" t="inlineStr">
        <is>
          <t>Workforce Compensation Analyst AI Agent</t>
        </is>
      </c>
      <c r="D127" t="inlineStr">
        <is>
          <t>Workforce Compensation Analyst AI Agent. Module: Compensation. Release: 26C. Allow your worksheet managers to review plan information using the new Workforce Compensation Manager Analyst agent.  Managers can ask questions about:
• Status of reporting manager worksheets
• Overall budget info
• Manager due date info
• Manager overages
The agent operates in the context of the Opt-in required: true.</t>
        </is>
      </c>
      <c r="E127" t="inlineStr">
        <is>
          <t>Compensation</t>
        </is>
      </c>
      <c r="F127" t="inlineStr">
        <is>
          <t>AI Feature</t>
        </is>
      </c>
      <c r="G127" t="inlineStr">
        <is>
          <t>AI Feature</t>
        </is>
      </c>
      <c r="H127" t="inlineStr"/>
      <c r="I127" t="inlineStr"/>
      <c r="J127" t="inlineStr">
        <is>
          <t>Compensation</t>
        </is>
      </c>
      <c r="K127" t="inlineStr">
        <is>
          <t>N</t>
        </is>
      </c>
      <c r="L127" t="inlineStr">
        <is>
          <t>Y</t>
        </is>
      </c>
      <c r="M127" t="inlineStr">
        <is>
          <t>N</t>
        </is>
      </c>
      <c r="N127" t="inlineStr">
        <is>
          <t>Action type: Steps to Enable. Use the Opt In UI to enable this feature. For instructions, refer to the Optional Uptake of New Features section of this document. Offering: *Compensation Management* See</t>
        </is>
      </c>
      <c r="O127" t="inlineStr">
        <is>
          <t>High</t>
        </is>
      </c>
      <c r="P127" t="inlineStr">
        <is>
          <t>2025-06-20</t>
        </is>
      </c>
      <c r="Q127" t="inlineStr">
        <is>
          <t>Oracle Fusion 26C Readiness — Compensation</t>
        </is>
      </c>
      <c r="R127" t="inlineStr"/>
    </row>
    <row r="128">
      <c r="A128" t="inlineStr">
        <is>
          <t>CHG_IMP_0103</t>
        </is>
      </c>
      <c r="B128" t="inlineStr">
        <is>
          <t>REL_26C</t>
        </is>
      </c>
      <c r="C128" t="inlineStr">
        <is>
          <t>Workforce Compensation Change in Alerts for Managers</t>
        </is>
      </c>
      <c r="D128" t="inlineStr">
        <is>
          <t>Workforce Compensation Change in Alerts for Managers. Module: Compensation. Release: 26C. Alert options shown to managers in a Workforce Compensation plan have been streamlined to Error, Warning or Information.
Panel Drawer With New Alerts
Here is how the alerts have been migrated to the new types.
Migration of Alerts to New Types
Old Alert | New Alert
Error preventing save | Error
E</t>
        </is>
      </c>
      <c r="E128" t="inlineStr">
        <is>
          <t>Compensation</t>
        </is>
      </c>
      <c r="F128" t="inlineStr">
        <is>
          <t>Functional</t>
        </is>
      </c>
      <c r="G128" t="inlineStr">
        <is>
          <t>Functional</t>
        </is>
      </c>
      <c r="H128" t="inlineStr"/>
      <c r="I128" t="inlineStr"/>
      <c r="J128" t="inlineStr">
        <is>
          <t>Compensation</t>
        </is>
      </c>
      <c r="K128" t="inlineStr">
        <is>
          <t>N</t>
        </is>
      </c>
      <c r="L128" t="inlineStr">
        <is>
          <t>Y</t>
        </is>
      </c>
      <c r="M128" t="inlineStr">
        <is>
          <t>N</t>
        </is>
      </c>
      <c r="N128" t="inlineStr">
        <is>
          <t>Action type: Steps to Enable. The Redwood Award Worksheet needs to be enabled for this change to be seen.</t>
        </is>
      </c>
      <c r="O128" t="inlineStr">
        <is>
          <t>High</t>
        </is>
      </c>
      <c r="P128" t="inlineStr">
        <is>
          <t>2025-06-20</t>
        </is>
      </c>
      <c r="Q128" t="inlineStr">
        <is>
          <t>Oracle Fusion 26C Readiness — Compensation</t>
        </is>
      </c>
      <c r="R128" t="inlineStr"/>
    </row>
    <row r="129">
      <c r="A129" t="inlineStr">
        <is>
          <t>CHG_IMP_0104</t>
        </is>
      </c>
      <c r="B129" t="inlineStr">
        <is>
          <t>REL_26C</t>
        </is>
      </c>
      <c r="C129" t="inlineStr">
        <is>
          <t>AI Agent: Intelligent Talent Profile Search for Team Skills Center</t>
        </is>
      </c>
      <c r="D129" t="inlineStr">
        <is>
          <t>AI Agent: Intelligent Talent Profile Search for Team Skills Center. Module: Dynamic Skills. Release: 26C. Delivers Intelligent Talent Profile Search , which is a chat-based talent-finding agent for managers. Users ask natural-language questions about people profiles, and the agent returns ranked employees, usually as an HTML table, with names linked to each person’s talent profile.</t>
        </is>
      </c>
      <c r="E129" t="inlineStr">
        <is>
          <t>Dynamic Skills</t>
        </is>
      </c>
      <c r="F129" t="inlineStr">
        <is>
          <t>AI Feature</t>
        </is>
      </c>
      <c r="G129" t="inlineStr">
        <is>
          <t>AI Feature</t>
        </is>
      </c>
      <c r="H129" t="inlineStr"/>
      <c r="I129" t="inlineStr"/>
      <c r="J129" t="inlineStr">
        <is>
          <t>Dynamic Skills</t>
        </is>
      </c>
      <c r="K129" t="inlineStr">
        <is>
          <t>N</t>
        </is>
      </c>
      <c r="L129" t="inlineStr">
        <is>
          <t>Y</t>
        </is>
      </c>
      <c r="M129" t="inlineStr">
        <is>
          <t>N</t>
        </is>
      </c>
      <c r="N129" t="inlineStr">
        <is>
          <t xml:space="preserve">Action type: Steps to Enable. Enable Intelligent Talent Profile Search for Team Skills Center. For details, see How can I enable Intelligent Talent Profile Search for Talent Profile or </t>
        </is>
      </c>
      <c r="O129" t="inlineStr">
        <is>
          <t>Low</t>
        </is>
      </c>
      <c r="P129" t="inlineStr">
        <is>
          <t>2025-06-20</t>
        </is>
      </c>
      <c r="Q129" t="inlineStr">
        <is>
          <t>Oracle Fusion 26C Readiness — Dynamic Skills</t>
        </is>
      </c>
      <c r="R129" t="inlineStr"/>
    </row>
    <row r="130">
      <c r="A130" t="inlineStr">
        <is>
          <t>CHG_IMP_0105</t>
        </is>
      </c>
      <c r="B130" t="inlineStr">
        <is>
          <t>REL_26C</t>
        </is>
      </c>
      <c r="C130" t="inlineStr">
        <is>
          <t>Redwood: Display Side Panel for Adding Skills</t>
        </is>
      </c>
      <c r="D130" t="inlineStr">
        <is>
          <t>Redwood: Display Side Panel for Adding Skills. Module: Dynamic Skills. Release: 26C. Provides a drawer in Skills Center where users can search for skills, browse suggested skills, and view a list of newly added skills. Skills suggested are shown as chips along with a "+" icon to quickly add them. The *Newly Added Skills* section displays each skill with its chip, target level, self-</t>
        </is>
      </c>
      <c r="E130" t="inlineStr">
        <is>
          <t>Dynamic Skills</t>
        </is>
      </c>
      <c r="F130" t="inlineStr">
        <is>
          <t>Functional</t>
        </is>
      </c>
      <c r="G130" t="inlineStr">
        <is>
          <t>Functional</t>
        </is>
      </c>
      <c r="H130" t="inlineStr"/>
      <c r="I130" t="inlineStr"/>
      <c r="J130" t="inlineStr">
        <is>
          <t>Dynamic Skills</t>
        </is>
      </c>
      <c r="K130" t="inlineStr">
        <is>
          <t>N</t>
        </is>
      </c>
      <c r="L130" t="inlineStr">
        <is>
          <t>Y</t>
        </is>
      </c>
      <c r="M130" t="inlineStr">
        <is>
          <t>N</t>
        </is>
      </c>
      <c r="N130" t="inlineStr">
        <is>
          <t xml:space="preserve">Action type: Steps to Enable. You have enabled: • Enhanced Dynamic Skills. For details, see Pathways to Enhanced Dynamic Skills. • Enhanced Skills Center. For details, see **How can i enable Enhanced </t>
        </is>
      </c>
      <c r="O130" t="inlineStr">
        <is>
          <t>Low</t>
        </is>
      </c>
      <c r="P130" t="inlineStr">
        <is>
          <t>2025-06-20</t>
        </is>
      </c>
      <c r="Q130" t="inlineStr">
        <is>
          <t>Oracle Fusion 26C Readiness — Dynamic Skills</t>
        </is>
      </c>
      <c r="R130" t="inlineStr"/>
    </row>
    <row r="131">
      <c r="A131" t="inlineStr">
        <is>
          <t>CHG_IMP_0106</t>
        </is>
      </c>
      <c r="B131" t="inlineStr">
        <is>
          <t>REL_26C</t>
        </is>
      </c>
      <c r="C131" t="inlineStr">
        <is>
          <t>Redwood: New Administrator Skills Center Experience</t>
        </is>
      </c>
      <c r="D131" t="inlineStr">
        <is>
          <t>Redwood: New Administrator Skills Center Experience. Module: Dynamic Skills. Release: 26C. Displays skills related to an employee for skills administrator, in new Skills Center (*Talent Profile Search &gt; Talent Profile Details &gt; Skill Center Section “Visit Skills Center”*), by grouping them in tabs as follows:
• Required – Skills assigned by a manager
• Self Developing – Skills voluntaril</t>
        </is>
      </c>
      <c r="E131" t="inlineStr">
        <is>
          <t>Dynamic Skills</t>
        </is>
      </c>
      <c r="F131" t="inlineStr">
        <is>
          <t>Functional</t>
        </is>
      </c>
      <c r="G131" t="inlineStr">
        <is>
          <t>Functional</t>
        </is>
      </c>
      <c r="H131" t="inlineStr"/>
      <c r="I131" t="inlineStr"/>
      <c r="J131" t="inlineStr">
        <is>
          <t>Dynamic Skills</t>
        </is>
      </c>
      <c r="K131" t="inlineStr">
        <is>
          <t>N</t>
        </is>
      </c>
      <c r="L131" t="inlineStr">
        <is>
          <t>Y</t>
        </is>
      </c>
      <c r="M131" t="inlineStr">
        <is>
          <t>N</t>
        </is>
      </c>
      <c r="N131" t="inlineStr">
        <is>
          <t xml:space="preserve">Action type: Steps to Enable. You have enabled: • Enhanced Dynamic Skills. For details, see Pathways to Enhanced Dynamic Skills. • Enhanced Skills Center. For details, see **How can i enable Enhanced </t>
        </is>
      </c>
      <c r="O131" t="inlineStr">
        <is>
          <t>Low</t>
        </is>
      </c>
      <c r="P131" t="inlineStr">
        <is>
          <t>2025-06-20</t>
        </is>
      </c>
      <c r="Q131" t="inlineStr">
        <is>
          <t>Oracle Fusion 26C Readiness — Dynamic Skills</t>
        </is>
      </c>
      <c r="R131" t="inlineStr"/>
    </row>
    <row r="132">
      <c r="A132" t="inlineStr">
        <is>
          <t>CHG_IMP_0107</t>
        </is>
      </c>
      <c r="B132" t="inlineStr">
        <is>
          <t>REL_26C</t>
        </is>
      </c>
      <c r="C132" t="inlineStr">
        <is>
          <t>Redwood: New Employee Skills Center Experience</t>
        </is>
      </c>
      <c r="D132" t="inlineStr">
        <is>
          <t>Redwood: New Employee Skills Center Experience. Module: Dynamic Skills. Release: 26C. Displays skills related to the employee, in new Skills Center, by grouping them in tabs as follows:
• Required – Skills assigned by a manager
• Self Developing – Skills voluntarily assigned by the employee
• All Skills
Skills in each of the tabs can be sorted based on Recently Updated and Unattain</t>
        </is>
      </c>
      <c r="E132" t="inlineStr">
        <is>
          <t>Dynamic Skills</t>
        </is>
      </c>
      <c r="F132" t="inlineStr">
        <is>
          <t>Functional</t>
        </is>
      </c>
      <c r="G132" t="inlineStr">
        <is>
          <t>Functional</t>
        </is>
      </c>
      <c r="H132" t="inlineStr"/>
      <c r="I132" t="inlineStr"/>
      <c r="J132" t="inlineStr">
        <is>
          <t>Dynamic Skills</t>
        </is>
      </c>
      <c r="K132" t="inlineStr">
        <is>
          <t>N</t>
        </is>
      </c>
      <c r="L132" t="inlineStr">
        <is>
          <t>Y</t>
        </is>
      </c>
      <c r="M132" t="inlineStr">
        <is>
          <t>N</t>
        </is>
      </c>
      <c r="N132" t="inlineStr">
        <is>
          <t xml:space="preserve">Action type: Steps to Enable. You have enabled: • Enhanced Dynamic Skills. For details, see Pathways to Enhanced Dynamic Skills. • Enhanced Skills Center. For details, see **How can i enable Enhanced </t>
        </is>
      </c>
      <c r="O132" t="inlineStr">
        <is>
          <t>Low</t>
        </is>
      </c>
      <c r="P132" t="inlineStr">
        <is>
          <t>2025-06-20</t>
        </is>
      </c>
      <c r="Q132" t="inlineStr">
        <is>
          <t>Oracle Fusion 26C Readiness — Dynamic Skills</t>
        </is>
      </c>
      <c r="R132" t="inlineStr"/>
    </row>
    <row r="133">
      <c r="A133" t="inlineStr">
        <is>
          <t>CHG_IMP_0108</t>
        </is>
      </c>
      <c r="B133" t="inlineStr">
        <is>
          <t>REL_26C</t>
        </is>
      </c>
      <c r="C133" t="inlineStr">
        <is>
          <t>Redwood: New Manager Skills Center Experience</t>
        </is>
      </c>
      <c r="D133" t="inlineStr">
        <is>
          <t>Redwood: New Manager Skills Center Experience. Module: Dynamic Skills. Release: 26C. Displays skills related to an employee for managers, in new Skills Center (*Team Skills Center &gt;Employee*), by grouping them in tabs as follows:
• Required – Skills assigned by a manager
• Self Developing – Skills voluntarily self-assigned by the employee
• All Skills
Managers at different levels</t>
        </is>
      </c>
      <c r="E133" t="inlineStr">
        <is>
          <t>Dynamic Skills</t>
        </is>
      </c>
      <c r="F133" t="inlineStr">
        <is>
          <t>Functional</t>
        </is>
      </c>
      <c r="G133" t="inlineStr">
        <is>
          <t>Functional</t>
        </is>
      </c>
      <c r="H133" t="inlineStr"/>
      <c r="I133" t="inlineStr"/>
      <c r="J133" t="inlineStr">
        <is>
          <t>Dynamic Skills</t>
        </is>
      </c>
      <c r="K133" t="inlineStr">
        <is>
          <t>N</t>
        </is>
      </c>
      <c r="L133" t="inlineStr">
        <is>
          <t>Y</t>
        </is>
      </c>
      <c r="M133" t="inlineStr">
        <is>
          <t>N</t>
        </is>
      </c>
      <c r="N133" t="inlineStr">
        <is>
          <t xml:space="preserve">Action type: Steps to Enable. You have enabled: • Enhanced Dynamic Skills. For details, see Pathways to Enhanced Dynamic Skills. • Enhanced Skills Center. For details, see **How can i enable Enhanced </t>
        </is>
      </c>
      <c r="O133" t="inlineStr">
        <is>
          <t>Low</t>
        </is>
      </c>
      <c r="P133" t="inlineStr">
        <is>
          <t>2025-06-20</t>
        </is>
      </c>
      <c r="Q133" t="inlineStr">
        <is>
          <t>Oracle Fusion 26C Readiness — Dynamic Skills</t>
        </is>
      </c>
      <c r="R133" t="inlineStr"/>
    </row>
    <row r="134">
      <c r="A134" t="inlineStr">
        <is>
          <t>CHG_IMP_0109</t>
        </is>
      </c>
      <c r="B134" t="inlineStr">
        <is>
          <t>REL_26C</t>
        </is>
      </c>
      <c r="C134" t="inlineStr">
        <is>
          <t>AI Agent: Spreadsheet Data Loader Advisor for HSDL</t>
        </is>
      </c>
      <c r="D134" t="inlineStr">
        <is>
          <t>AI Agent: Spreadsheet Data Loader Advisor for HSDL. Module: HCM Common. Release: 26C. Oracle Fusion Cloud HCM introduces a new AI-powered Spreadsheet Data Loader (HSDL) Advisor that simplifies spreadsheet-based data loading through a guided conversational experience.
The HSDL Advisor enables you to upload CSV files and use natural language instructions to initiate HSDL processing. T</t>
        </is>
      </c>
      <c r="E134" t="inlineStr">
        <is>
          <t>HCM Common</t>
        </is>
      </c>
      <c r="F134" t="inlineStr">
        <is>
          <t>AI Feature</t>
        </is>
      </c>
      <c r="G134" t="inlineStr">
        <is>
          <t>AI Feature</t>
        </is>
      </c>
      <c r="H134" t="inlineStr"/>
      <c r="I134" t="inlineStr"/>
      <c r="J134" t="inlineStr">
        <is>
          <t>HCM Common</t>
        </is>
      </c>
      <c r="K134" t="inlineStr">
        <is>
          <t>N</t>
        </is>
      </c>
      <c r="L134" t="inlineStr">
        <is>
          <t>Y</t>
        </is>
      </c>
      <c r="M134" t="inlineStr">
        <is>
          <t>N</t>
        </is>
      </c>
      <c r="N134" t="inlineStr">
        <is>
          <t>Action type: Steps to Enable. For the document tools included in the **Spreadsheet Data Loader Advisor**you need to run the **Process Agent Documents** process to ingest the documents. **Prepare the H</t>
        </is>
      </c>
      <c r="O134" t="inlineStr">
        <is>
          <t>Low</t>
        </is>
      </c>
      <c r="P134" t="inlineStr">
        <is>
          <t>2025-06-20</t>
        </is>
      </c>
      <c r="Q134" t="inlineStr">
        <is>
          <t>Oracle Fusion 26C Readiness — HCM Common</t>
        </is>
      </c>
      <c r="R134" t="inlineStr"/>
    </row>
    <row r="135">
      <c r="A135" t="inlineStr">
        <is>
          <t>CHG_IMP_0110</t>
        </is>
      </c>
      <c r="B135" t="inlineStr">
        <is>
          <t>REL_26C</t>
        </is>
      </c>
      <c r="C135" t="inlineStr">
        <is>
          <t>Business Object Enhancements</t>
        </is>
      </c>
      <c r="D135" t="inlineStr">
        <is>
          <t>Business Object Enhancements. Module: HCM Common. Release: 26C. **BUSINESS OBJECTS WITH NEW COMPONENTS**
The following business object has introduced a new component in the hierarchy.
*Payroll Localization - United States*
**Tax Withholding (TaxWithholding.dat)**
Component | Description
State Taxes IA 2026 (StateTaxesIA2026) | Fields that are effective from</t>
        </is>
      </c>
      <c r="E135" t="inlineStr">
        <is>
          <t>HCM Common</t>
        </is>
      </c>
      <c r="F135" t="inlineStr">
        <is>
          <t>Functional</t>
        </is>
      </c>
      <c r="G135" t="inlineStr">
        <is>
          <t>Functional</t>
        </is>
      </c>
      <c r="H135" t="inlineStr"/>
      <c r="I135" t="inlineStr"/>
      <c r="J135" t="inlineStr">
        <is>
          <t>HCM Common</t>
        </is>
      </c>
      <c r="K135" t="inlineStr">
        <is>
          <t>N</t>
        </is>
      </c>
      <c r="L135" t="inlineStr">
        <is>
          <t>N</t>
        </is>
      </c>
      <c r="M135" t="inlineStr">
        <is>
          <t>N</t>
        </is>
      </c>
      <c r="N135" t="inlineStr">
        <is>
          <t>Auto-enabled — no action required</t>
        </is>
      </c>
      <c r="O135" t="inlineStr">
        <is>
          <t>Low</t>
        </is>
      </c>
      <c r="P135" t="inlineStr">
        <is>
          <t>2025-06-20</t>
        </is>
      </c>
      <c r="Q135" t="inlineStr">
        <is>
          <t>Oracle Fusion 26C Readiness — HCM Common</t>
        </is>
      </c>
      <c r="R135" t="inlineStr"/>
    </row>
    <row r="136">
      <c r="A136" t="inlineStr">
        <is>
          <t>CHG_IMP_0111</t>
        </is>
      </c>
      <c r="B136" t="inlineStr">
        <is>
          <t>REL_26C</t>
        </is>
      </c>
      <c r="C136" t="inlineStr">
        <is>
          <t>Configure Roles and Delegations and Manage User Account Quick Action Pages</t>
        </is>
      </c>
      <c r="D136" t="inlineStr">
        <is>
          <t>Configure Roles and Delegations and Manage User Account Quick Action Pages. Module: HCM Common. Release: 26C. You can now use business rules to control the display of page elements on the **Roles and Delegations** and **Manage User Account** quick action pages.
This feature helps administrators simplify the user account management experience by controlling the visibility of page elements and disp</t>
        </is>
      </c>
      <c r="E136" t="inlineStr">
        <is>
          <t>HCM Common</t>
        </is>
      </c>
      <c r="F136" t="inlineStr">
        <is>
          <t>Functional</t>
        </is>
      </c>
      <c r="G136" t="inlineStr">
        <is>
          <t>Functional</t>
        </is>
      </c>
      <c r="H136" t="inlineStr"/>
      <c r="I136" t="inlineStr"/>
      <c r="J136" t="inlineStr">
        <is>
          <t>HCM Common</t>
        </is>
      </c>
      <c r="K136" t="inlineStr">
        <is>
          <t>N</t>
        </is>
      </c>
      <c r="L136" t="inlineStr">
        <is>
          <t>Y</t>
        </is>
      </c>
      <c r="M136" t="inlineStr">
        <is>
          <t>N</t>
        </is>
      </c>
      <c r="N136" t="inlineStr">
        <is>
          <t xml:space="preserve">Action type: Steps to Enable. Leverage the Visual Builder Studio to expose your applications. To learn more about extending your application using Visual Builder, visit Oracle Help </t>
        </is>
      </c>
      <c r="O136" t="inlineStr">
        <is>
          <t>Low</t>
        </is>
      </c>
      <c r="P136" t="inlineStr">
        <is>
          <t>2025-06-20</t>
        </is>
      </c>
      <c r="Q136" t="inlineStr">
        <is>
          <t>Oracle Fusion 26C Readiness — HCM Common</t>
        </is>
      </c>
      <c r="R136" t="inlineStr"/>
    </row>
    <row r="137">
      <c r="A137" t="inlineStr">
        <is>
          <t>CHG_IMP_0112</t>
        </is>
      </c>
      <c r="B137" t="inlineStr">
        <is>
          <t>REL_26C</t>
        </is>
      </c>
      <c r="C137" t="inlineStr">
        <is>
          <t>Display Optional Regions in Compact Guided Process Redwood Template Pages</t>
        </is>
      </c>
      <c r="D137" t="inlineStr">
        <is>
          <t>Display Optional Regions in Compact Guided Process Redwood Template Pages. Module: HCM Common. Release: 26C. The behavior of the Redwood Compact Guided Process (CGP) template pages is now aligned with that of responsive CGP template pages to improve the **handling of optional regions** **when Info to include is hidden**.
In processes such as Hire an Employee or Add Assignment, optional regions ca</t>
        </is>
      </c>
      <c r="E137" t="inlineStr">
        <is>
          <t>HCM Common</t>
        </is>
      </c>
      <c r="F137" t="inlineStr">
        <is>
          <t>Functional</t>
        </is>
      </c>
      <c r="G137" t="inlineStr">
        <is>
          <t>Functional</t>
        </is>
      </c>
      <c r="H137" t="inlineStr"/>
      <c r="I137" t="inlineStr"/>
      <c r="J137" t="inlineStr">
        <is>
          <t>HCM Common</t>
        </is>
      </c>
      <c r="K137" t="inlineStr">
        <is>
          <t>N</t>
        </is>
      </c>
      <c r="L137" t="inlineStr">
        <is>
          <t>Y</t>
        </is>
      </c>
      <c r="M137" t="inlineStr">
        <is>
          <t>N</t>
        </is>
      </c>
      <c r="N137" t="inlineStr">
        <is>
          <t>Action type: Steps to Enable. You must enable the following profile option: In **Manage Administrator Profile Values**, set the following profile option to **Yes**: • **Profile Displ</t>
        </is>
      </c>
      <c r="O137" t="inlineStr">
        <is>
          <t>Low</t>
        </is>
      </c>
      <c r="P137" t="inlineStr">
        <is>
          <t>2025-06-20</t>
        </is>
      </c>
      <c r="Q137" t="inlineStr">
        <is>
          <t>Oracle Fusion 26C Readiness — HCM Common</t>
        </is>
      </c>
      <c r="R137" t="inlineStr"/>
    </row>
    <row r="138">
      <c r="A138" t="inlineStr">
        <is>
          <t>CHG_IMP_0113</t>
        </is>
      </c>
      <c r="B138" t="inlineStr">
        <is>
          <t>REL_26C</t>
        </is>
      </c>
      <c r="C138" t="inlineStr">
        <is>
          <t>Redwood Experience for HCM Extracts</t>
        </is>
      </c>
      <c r="D138" t="inlineStr">
        <is>
          <t>Redwood Experience for HCM Extracts. Module: HCM Common. Release: 26C. Enrich the user experience with the new **Extract Configuration Group**page developed using the Redwood toolset. Built from the ground up with Visual Builder Studio (VBS), this page delivers a distinctive and modern Oracle applications experience.
The redesigned landing page enables you to quickly</t>
        </is>
      </c>
      <c r="E138" t="inlineStr">
        <is>
          <t>HCM Common</t>
        </is>
      </c>
      <c r="F138" t="inlineStr">
        <is>
          <t>Functional</t>
        </is>
      </c>
      <c r="G138" t="inlineStr">
        <is>
          <t>Functional</t>
        </is>
      </c>
      <c r="H138" t="inlineStr"/>
      <c r="I138" t="inlineStr"/>
      <c r="J138" t="inlineStr">
        <is>
          <t>HCM Common</t>
        </is>
      </c>
      <c r="K138" t="inlineStr">
        <is>
          <t>N</t>
        </is>
      </c>
      <c r="L138" t="inlineStr">
        <is>
          <t>Y</t>
        </is>
      </c>
      <c r="M138" t="inlineStr">
        <is>
          <t>N</t>
        </is>
      </c>
      <c r="N138" t="inlineStr">
        <is>
          <t xml:space="preserve">Action type: Steps to Enable. Here are the profile option details for Extract Configuration Group. By default, the extracts profile option is delivered as enabled (Yes). Profile Option Code | Profile </t>
        </is>
      </c>
      <c r="O138" t="inlineStr">
        <is>
          <t>Low</t>
        </is>
      </c>
      <c r="P138" t="inlineStr">
        <is>
          <t>2025-06-20</t>
        </is>
      </c>
      <c r="Q138" t="inlineStr">
        <is>
          <t>Oracle Fusion 26C Readiness — HCM Common</t>
        </is>
      </c>
      <c r="R138" t="inlineStr"/>
    </row>
    <row r="139">
      <c r="A139" t="inlineStr">
        <is>
          <t>CHG_IMP_0114</t>
        </is>
      </c>
      <c r="B139" t="inlineStr">
        <is>
          <t>REL_26C</t>
        </is>
      </c>
      <c r="C139" t="inlineStr">
        <is>
          <t>Redwood Experience for Remove Person Information</t>
        </is>
      </c>
      <c r="D139" t="inlineStr">
        <is>
          <t>Redwood Experience for Remove Person Information. Module: HCM Common. Release: 26C. Enrich the user experience with the new **Remove Person Information** and **Configure Remove Person Information Policies**pages, developed using the Redwood design system and built from the ground up in Visual Builder Studio (VBS) to deliver a modern, intuitive Oracle application experience.
**REMO Enablement: Des</t>
        </is>
      </c>
      <c r="E139" t="inlineStr">
        <is>
          <t>HCM Common</t>
        </is>
      </c>
      <c r="F139" t="inlineStr">
        <is>
          <t>Functional</t>
        </is>
      </c>
      <c r="G139" t="inlineStr">
        <is>
          <t>Functional</t>
        </is>
      </c>
      <c r="H139" t="inlineStr"/>
      <c r="I139" t="inlineStr"/>
      <c r="J139" t="inlineStr">
        <is>
          <t>HCM Common</t>
        </is>
      </c>
      <c r="K139" t="inlineStr">
        <is>
          <t>N</t>
        </is>
      </c>
      <c r="L139" t="inlineStr">
        <is>
          <t>Y</t>
        </is>
      </c>
      <c r="M139" t="inlineStr">
        <is>
          <t>N</t>
        </is>
      </c>
      <c r="N139" t="inlineStr">
        <is>
          <t>Action type: Steps to Enable. In order to work with the new **Remove Person Information** pages, you must first enable the profile option. By default, the profile option is delivered as disabled. If y</t>
        </is>
      </c>
      <c r="O139" t="inlineStr">
        <is>
          <t>Low</t>
        </is>
      </c>
      <c r="P139" t="inlineStr">
        <is>
          <t>2025-06-20</t>
        </is>
      </c>
      <c r="Q139" t="inlineStr">
        <is>
          <t>Oracle Fusion 26C Readiness — HCM Common</t>
        </is>
      </c>
      <c r="R139" t="inlineStr"/>
    </row>
    <row r="140">
      <c r="A140" t="inlineStr">
        <is>
          <t>CHG_IMP_0115</t>
        </is>
      </c>
      <c r="B140" t="inlineStr">
        <is>
          <t>REL_26C</t>
        </is>
      </c>
      <c r="C140" t="inlineStr">
        <is>
          <t>Redwood Experience: Alerts Composer</t>
        </is>
      </c>
      <c r="D140" t="inlineStr">
        <is>
          <t>Redwood Experience: Alerts Composer. Module: HCM Common. Release: 26C. Take advantage of the new Redwood-designed Alerts Composer tool, built to deliver a more intuitive, modern, and efficient workflow.
With its enhanced design and improved overall performance, you can create and manage alerts more seamlessly. The updated experience simplifies navigation and usability</t>
        </is>
      </c>
      <c r="E140" t="inlineStr">
        <is>
          <t>HCM Common</t>
        </is>
      </c>
      <c r="F140" t="inlineStr">
        <is>
          <t>Functional</t>
        </is>
      </c>
      <c r="G140" t="inlineStr">
        <is>
          <t>Functional</t>
        </is>
      </c>
      <c r="H140" t="inlineStr"/>
      <c r="I140" t="inlineStr"/>
      <c r="J140" t="inlineStr">
        <is>
          <t>HCM Common</t>
        </is>
      </c>
      <c r="K140" t="inlineStr">
        <is>
          <t>N</t>
        </is>
      </c>
      <c r="L140" t="inlineStr">
        <is>
          <t>Y</t>
        </is>
      </c>
      <c r="M140" t="inlineStr">
        <is>
          <t>N</t>
        </is>
      </c>
      <c r="N140" t="inlineStr">
        <is>
          <t>Action type: Steps to Enable. You need to enable these profile options to access the new Alerts Composer workflow. Profile Code | Display Name | Description ORA_HCM_VBCS_PWA_ENABLED | Enable VBCS Prog</t>
        </is>
      </c>
      <c r="O140" t="inlineStr">
        <is>
          <t>Low</t>
        </is>
      </c>
      <c r="P140" t="inlineStr">
        <is>
          <t>2025-06-20</t>
        </is>
      </c>
      <c r="Q140" t="inlineStr">
        <is>
          <t>Oracle Fusion 26C Readiness — HCM Common</t>
        </is>
      </c>
      <c r="R140" t="inlineStr"/>
    </row>
    <row r="141">
      <c r="A141" t="inlineStr">
        <is>
          <t>CHG_IMP_0116</t>
        </is>
      </c>
      <c r="B141" t="inlineStr">
        <is>
          <t>REL_26C</t>
        </is>
      </c>
      <c r="C141" t="inlineStr">
        <is>
          <t>Resolve HCM Data Security Access using AI Assistance</t>
        </is>
      </c>
      <c r="D141" t="inlineStr">
        <is>
          <t>Resolve HCM Data Security Access using AI Assistance. Module: HCM Common. Release: 26C. The **HCM Data Security Assistant** is your AI-powered assistant designed to provide a summary of your HCM Data Security setup and resolve a user’s data security access issues quickly and accurately. It’s designed to help IT security managers troubleshoot user data access issues. This AI assistant u</t>
        </is>
      </c>
      <c r="E141" t="inlineStr">
        <is>
          <t>HCM Common</t>
        </is>
      </c>
      <c r="F141" t="inlineStr">
        <is>
          <t>AI Feature</t>
        </is>
      </c>
      <c r="G141" t="inlineStr">
        <is>
          <t>AI Feature</t>
        </is>
      </c>
      <c r="H141" t="inlineStr"/>
      <c r="I141" t="inlineStr"/>
      <c r="J141" t="inlineStr">
        <is>
          <t>HCM Common</t>
        </is>
      </c>
      <c r="K141" t="inlineStr">
        <is>
          <t>N</t>
        </is>
      </c>
      <c r="L141" t="inlineStr">
        <is>
          <t>Y</t>
        </is>
      </c>
      <c r="M141" t="inlineStr">
        <is>
          <t>N</t>
        </is>
      </c>
      <c r="N141" t="inlineStr">
        <is>
          <t>Action type: Steps to Enable. • Your environment must have certain necessary configurations. Ask your help desk to contact Oracle Support, who can verify what your environment has and address any gaps</t>
        </is>
      </c>
      <c r="O141" t="inlineStr">
        <is>
          <t>Low</t>
        </is>
      </c>
      <c r="P141" t="inlineStr">
        <is>
          <t>2025-06-20</t>
        </is>
      </c>
      <c r="Q141" t="inlineStr">
        <is>
          <t>Oracle Fusion 26C Readiness — HCM Common</t>
        </is>
      </c>
      <c r="R141" t="inlineStr"/>
    </row>
    <row r="142">
      <c r="A142" t="inlineStr">
        <is>
          <t>CHG_IMP_0117</t>
        </is>
      </c>
      <c r="B142" t="inlineStr">
        <is>
          <t>REL_26C</t>
        </is>
      </c>
      <c r="C142" t="inlineStr">
        <is>
          <t>AI Agent Enhancements for Promotion Processes</t>
        </is>
      </c>
      <c r="D142" t="inlineStr">
        <is>
          <t>AI Agent Enhancements for Promotion Processes. Module: Human Resources. Release: 26C. Promote workers with the help of the AI-powered digital **Promotion Assistant**. The agent supports managers and HR teams in identifying and recommending eligible employees for promotion by automating the assessment process based on set parameters such as performance ratings, years of service, organ</t>
        </is>
      </c>
      <c r="E142" t="inlineStr">
        <is>
          <t>Human Resources</t>
        </is>
      </c>
      <c r="F142" t="inlineStr">
        <is>
          <t>AI Feature</t>
        </is>
      </c>
      <c r="G142" t="inlineStr">
        <is>
          <t>AI Feature</t>
        </is>
      </c>
      <c r="H142" t="inlineStr"/>
      <c r="I142" t="inlineStr"/>
      <c r="J142" t="inlineStr">
        <is>
          <t>Human Resources</t>
        </is>
      </c>
      <c r="K142" t="inlineStr">
        <is>
          <t>N</t>
        </is>
      </c>
      <c r="L142" t="inlineStr">
        <is>
          <t>Y</t>
        </is>
      </c>
      <c r="M142" t="inlineStr">
        <is>
          <t>N</t>
        </is>
      </c>
      <c r="N142" t="inlineStr">
        <is>
          <t>Action type: Steps to Enable. • Your environment must have the appropriate services for Oracle Applications Platform deployed. For more information, see FAQ2521 on My Oracle Cloud Support • Set the **</t>
        </is>
      </c>
      <c r="O142" t="inlineStr">
        <is>
          <t>Critical</t>
        </is>
      </c>
      <c r="P142" t="inlineStr">
        <is>
          <t>2025-06-20</t>
        </is>
      </c>
      <c r="Q142" t="inlineStr">
        <is>
          <t>Oracle Fusion 26C Readiness — Human Resources</t>
        </is>
      </c>
      <c r="R142" t="inlineStr"/>
    </row>
    <row r="143">
      <c r="A143" t="inlineStr">
        <is>
          <t>CHG_IMP_0118</t>
        </is>
      </c>
      <c r="B143" t="inlineStr">
        <is>
          <t>REL_26C</t>
        </is>
      </c>
      <c r="C143" t="inlineStr">
        <is>
          <t>AI Agent Support for Change Assignment Processes</t>
        </is>
      </c>
      <c r="D143" t="inlineStr">
        <is>
          <t>AI Agent Support for Change Assignment Processes. Module: Human Resources. Release: 26C. The AI Agent **Assignment Change Assistant** helps managers and HR specialists complete employment updates for a single worker and assignment through a guided conversational experience.Managers and HR specialists can ask the assistant to make common employment updates, provide the required details i</t>
        </is>
      </c>
      <c r="E143" t="inlineStr">
        <is>
          <t>Human Resources</t>
        </is>
      </c>
      <c r="F143" t="inlineStr">
        <is>
          <t>AI Feature</t>
        </is>
      </c>
      <c r="G143" t="inlineStr">
        <is>
          <t>AI Feature</t>
        </is>
      </c>
      <c r="H143" t="inlineStr"/>
      <c r="I143" t="inlineStr"/>
      <c r="J143" t="inlineStr">
        <is>
          <t>Human Resources</t>
        </is>
      </c>
      <c r="K143" t="inlineStr">
        <is>
          <t>N</t>
        </is>
      </c>
      <c r="L143" t="inlineStr">
        <is>
          <t>Y</t>
        </is>
      </c>
      <c r="M143" t="inlineStr">
        <is>
          <t>N</t>
        </is>
      </c>
      <c r="N143" t="inlineStr">
        <is>
          <t>Action type: Steps to Enable. • Your environment must have certain necessary configurations. Ask your help desk to contact Oracle Support, who can verify what your environment has and address any gaps</t>
        </is>
      </c>
      <c r="O143" t="inlineStr">
        <is>
          <t>Critical</t>
        </is>
      </c>
      <c r="P143" t="inlineStr">
        <is>
          <t>2025-06-20</t>
        </is>
      </c>
      <c r="Q143" t="inlineStr">
        <is>
          <t>Oracle Fusion 26C Readiness — Human Resources</t>
        </is>
      </c>
      <c r="R143" t="inlineStr"/>
    </row>
    <row r="144">
      <c r="A144" t="inlineStr">
        <is>
          <t>CHG_IMP_0119</t>
        </is>
      </c>
      <c r="B144" t="inlineStr">
        <is>
          <t>REL_26C</t>
        </is>
      </c>
      <c r="C144" t="inlineStr">
        <is>
          <t>Ability to Delete Synchronization From Position Assignment Record from Redwood Employment Details Page and HCM Data Loader</t>
        </is>
      </c>
      <c r="D144" t="inlineStr">
        <is>
          <t>Ability to Delete Synchronization From Position Assignment Record from Redwood Employment Details Page and HCM Data Loader. Module: Human Resources. Release: 26C. You can now delete assignment records that were created with the Position Synchronization action, from the Redwood Employment Details page. This capability is controlled by a new profile option that enables organizations to determine whe</t>
        </is>
      </c>
      <c r="E144" t="inlineStr">
        <is>
          <t>Human Resources</t>
        </is>
      </c>
      <c r="F144" t="inlineStr">
        <is>
          <t>Functional</t>
        </is>
      </c>
      <c r="G144" t="inlineStr">
        <is>
          <t>Functional</t>
        </is>
      </c>
      <c r="H144" t="inlineStr"/>
      <c r="I144" t="inlineStr"/>
      <c r="J144" t="inlineStr">
        <is>
          <t>Human Resources</t>
        </is>
      </c>
      <c r="K144" t="inlineStr">
        <is>
          <t>N</t>
        </is>
      </c>
      <c r="L144" t="inlineStr">
        <is>
          <t>Y</t>
        </is>
      </c>
      <c r="M144" t="inlineStr">
        <is>
          <t>N</t>
        </is>
      </c>
      <c r="N144" t="inlineStr">
        <is>
          <t>Action type: Steps to Enable. You need to enable the **ORA_PER_EMPL_ALLOW_DELETE_POS_SYNC_ROW**profile option to delete assignme</t>
        </is>
      </c>
      <c r="O144" t="inlineStr">
        <is>
          <t>Critical</t>
        </is>
      </c>
      <c r="P144" t="inlineStr">
        <is>
          <t>2025-06-20</t>
        </is>
      </c>
      <c r="Q144" t="inlineStr">
        <is>
          <t>Oracle Fusion 26C Readiness — Human Resources</t>
        </is>
      </c>
      <c r="R144" t="inlineStr"/>
    </row>
    <row r="145">
      <c r="A145" t="inlineStr">
        <is>
          <t>CHG_IMP_0120</t>
        </is>
      </c>
      <c r="B145" t="inlineStr">
        <is>
          <t>REL_26C</t>
        </is>
      </c>
      <c r="C145" t="inlineStr">
        <is>
          <t>Accessibility Improvements for Redwood Document Records Pages</t>
        </is>
      </c>
      <c r="D145" t="inlineStr">
        <is>
          <t>Accessibility Improvements for Redwood Document Records Pages. Module: Human Resources. Release: 26C. Redwood Document Records pages now provide improved accessibility support and clearer user feedback during create, submit, and update actions. Organizations use document records to create, submit, and maintain employee-related documents that may require approval, validation, or downstream processi</t>
        </is>
      </c>
      <c r="E145" t="inlineStr">
        <is>
          <t>Human Resources</t>
        </is>
      </c>
      <c r="F145" t="inlineStr">
        <is>
          <t>Functional</t>
        </is>
      </c>
      <c r="G145" t="inlineStr">
        <is>
          <t>Functional</t>
        </is>
      </c>
      <c r="H145" t="inlineStr"/>
      <c r="I145" t="inlineStr"/>
      <c r="J145" t="inlineStr">
        <is>
          <t>Human Resources</t>
        </is>
      </c>
      <c r="K145" t="inlineStr">
        <is>
          <t>N</t>
        </is>
      </c>
      <c r="L145" t="inlineStr">
        <is>
          <t>N</t>
        </is>
      </c>
      <c r="M145" t="inlineStr">
        <is>
          <t>N</t>
        </is>
      </c>
      <c r="N145" t="inlineStr">
        <is>
          <t>Auto-enabled — no action required</t>
        </is>
      </c>
      <c r="O145" t="inlineStr">
        <is>
          <t>Low</t>
        </is>
      </c>
      <c r="P145" t="inlineStr">
        <is>
          <t>2025-06-20</t>
        </is>
      </c>
      <c r="Q145" t="inlineStr">
        <is>
          <t>Oracle Fusion 26C Readiness — Human Resources</t>
        </is>
      </c>
      <c r="R145" t="inlineStr"/>
    </row>
    <row r="146">
      <c r="A146" t="inlineStr">
        <is>
          <t>CHG_IMP_0121</t>
        </is>
      </c>
      <c r="B146" t="inlineStr">
        <is>
          <t>REL_26C</t>
        </is>
      </c>
      <c r="C146" t="inlineStr">
        <is>
          <t>Activate Journey Tasks Based on Specified Days Before Transaction Effective Date</t>
        </is>
      </c>
      <c r="D146" t="inlineStr">
        <is>
          <t>Activate Journey Tasks Based on Specified Days Before Transaction Effective Date. Module: Human Resources. Release: 26C. You can now configure journey tasks so that the task assignment date is calculated from the transaction effective date or action date, instead of only from the journey assignment date.
This enhancement helps you schedule tasks before or after important worker lifecycle dates, s</t>
        </is>
      </c>
      <c r="E146" t="inlineStr">
        <is>
          <t>Human Resources</t>
        </is>
      </c>
      <c r="F146" t="inlineStr">
        <is>
          <t>Functional</t>
        </is>
      </c>
      <c r="G146" t="inlineStr">
        <is>
          <t>Functional</t>
        </is>
      </c>
      <c r="H146" t="inlineStr"/>
      <c r="I146" t="inlineStr"/>
      <c r="J146" t="inlineStr">
        <is>
          <t>Human Resources</t>
        </is>
      </c>
      <c r="K146" t="inlineStr">
        <is>
          <t>N</t>
        </is>
      </c>
      <c r="L146" t="inlineStr">
        <is>
          <t>Y</t>
        </is>
      </c>
      <c r="M146" t="inlineStr">
        <is>
          <t>N</t>
        </is>
      </c>
      <c r="N146" t="inlineStr">
        <is>
          <t>Action type: Steps to Enable. For more information, see this topic: Configure Journey Task Based on Duration Before or After Transaction Effective Date</t>
        </is>
      </c>
      <c r="O146" t="inlineStr">
        <is>
          <t>Critical</t>
        </is>
      </c>
      <c r="P146" t="inlineStr">
        <is>
          <t>2025-06-20</t>
        </is>
      </c>
      <c r="Q146" t="inlineStr">
        <is>
          <t>Oracle Fusion 26C Readiness — Human Resources</t>
        </is>
      </c>
      <c r="R146" t="inlineStr"/>
    </row>
    <row r="147">
      <c r="A147" t="inlineStr">
        <is>
          <t>CHG_IMP_0122</t>
        </is>
      </c>
      <c r="B147" t="inlineStr">
        <is>
          <t>REL_26C</t>
        </is>
      </c>
      <c r="C147" t="inlineStr">
        <is>
          <t>Additional Assignment Attributes for Page Properties in Redwood Employment Processes</t>
        </is>
      </c>
      <c r="D147" t="inlineStr">
        <is>
          <t>Additional Assignment Attributes for Page Properties in Redwood Employment Processes. Module: Human Resources. Release: 26C. Page Properties rules for Redwood Employment pages can now use four additional assignment attributes: User Person Type, Union, Collective Agreement, and Bargaining Unit. These attributes help customers configure guided journeys, header values, buttons, and other page propert</t>
        </is>
      </c>
      <c r="E147" t="inlineStr">
        <is>
          <t>Human Resources</t>
        </is>
      </c>
      <c r="F147" t="inlineStr">
        <is>
          <t>Functional</t>
        </is>
      </c>
      <c r="G147" t="inlineStr">
        <is>
          <t>Functional</t>
        </is>
      </c>
      <c r="H147" t="inlineStr"/>
      <c r="I147" t="inlineStr"/>
      <c r="J147" t="inlineStr">
        <is>
          <t>Human Resources</t>
        </is>
      </c>
      <c r="K147" t="inlineStr">
        <is>
          <t>N</t>
        </is>
      </c>
      <c r="L147" t="inlineStr">
        <is>
          <t>Y</t>
        </is>
      </c>
      <c r="M147" t="inlineStr">
        <is>
          <t>N</t>
        </is>
      </c>
      <c r="N147" t="inlineStr">
        <is>
          <t>Action type: Steps to Enable. To learn more about the prerequisites, see What are the prerequisites for advanced search to be available in the position LOVs on Redwoo</t>
        </is>
      </c>
      <c r="O147" t="inlineStr">
        <is>
          <t>Critical</t>
        </is>
      </c>
      <c r="P147" t="inlineStr">
        <is>
          <t>2025-06-20</t>
        </is>
      </c>
      <c r="Q147" t="inlineStr">
        <is>
          <t>Oracle Fusion 26C Readiness — Human Resources</t>
        </is>
      </c>
      <c r="R147" t="inlineStr"/>
    </row>
    <row r="148">
      <c r="A148" t="inlineStr">
        <is>
          <t>CHG_IMP_0123</t>
        </is>
      </c>
      <c r="B148" t="inlineStr">
        <is>
          <t>REL_26C</t>
        </is>
      </c>
      <c r="C148" t="inlineStr">
        <is>
          <t>Additional Attributes Deliver-to-Site and Receivable Materials Now Available On Redwood Locations Pages</t>
        </is>
      </c>
      <c r="D148" t="inlineStr">
        <is>
          <t>Additional Attributes Deliver-to-Site and Receivable Materials Now Available On Redwood Locations Pages. Module: Human Resources. Release: 26C. We have added these new attributes on the Redwood Locations page:
• Deliver-to Site
• Receivable Materials
The addition of the two location attributes **Deliver-to Site** and **Receivable Materials** addresses critical operational and compliance needs, p</t>
        </is>
      </c>
      <c r="E148" t="inlineStr">
        <is>
          <t>Human Resources</t>
        </is>
      </c>
      <c r="F148" t="inlineStr">
        <is>
          <t>Functional</t>
        </is>
      </c>
      <c r="G148" t="inlineStr">
        <is>
          <t>Functional</t>
        </is>
      </c>
      <c r="H148" t="inlineStr"/>
      <c r="I148" t="inlineStr"/>
      <c r="J148" t="inlineStr">
        <is>
          <t>Human Resources</t>
        </is>
      </c>
      <c r="K148" t="inlineStr">
        <is>
          <t>N</t>
        </is>
      </c>
      <c r="L148" t="inlineStr">
        <is>
          <t>Y</t>
        </is>
      </c>
      <c r="M148" t="inlineStr">
        <is>
          <t>N</t>
        </is>
      </c>
      <c r="N148" t="inlineStr">
        <is>
          <t>Action type: Steps to Enable. For more information, see Deliver-to Site and Receivable Materials Attributes on Redwood Locations Pages. Also see Ho</t>
        </is>
      </c>
      <c r="O148" t="inlineStr">
        <is>
          <t>Critical</t>
        </is>
      </c>
      <c r="P148" t="inlineStr">
        <is>
          <t>2025-06-20</t>
        </is>
      </c>
      <c r="Q148" t="inlineStr">
        <is>
          <t>Oracle Fusion 26C Readiness — Human Resources</t>
        </is>
      </c>
      <c r="R148" t="inlineStr"/>
    </row>
    <row r="149">
      <c r="A149" t="inlineStr">
        <is>
          <t>CHG_IMP_0124</t>
        </is>
      </c>
      <c r="B149" t="inlineStr">
        <is>
          <t>REL_26C</t>
        </is>
      </c>
      <c r="C149" t="inlineStr">
        <is>
          <t>Additional Filter of Job Subfamily on Redwood Job Families Search Page</t>
        </is>
      </c>
      <c r="D149" t="inlineStr">
        <is>
          <t>Additional Filter of Job Subfamily on Redwood Job Families Search Page. Module: Human Resources. Release: 26C. We have added a new filter called **Job Subfamily** on the Redwood Job Families search page. This filter helps you to additionally filter the search results for a job family, based on the selected job subfamily.
Navigation path: **My Client Groups &gt; Show More &gt; Workforce Structures &gt; Job</t>
        </is>
      </c>
      <c r="E149" t="inlineStr">
        <is>
          <t>Human Resources</t>
        </is>
      </c>
      <c r="F149" t="inlineStr">
        <is>
          <t>Functional</t>
        </is>
      </c>
      <c r="G149" t="inlineStr">
        <is>
          <t>Functional</t>
        </is>
      </c>
      <c r="H149" t="inlineStr"/>
      <c r="I149" t="inlineStr"/>
      <c r="J149" t="inlineStr">
        <is>
          <t>Human Resources</t>
        </is>
      </c>
      <c r="K149" t="inlineStr">
        <is>
          <t>N</t>
        </is>
      </c>
      <c r="L149" t="inlineStr">
        <is>
          <t>N</t>
        </is>
      </c>
      <c r="M149" t="inlineStr">
        <is>
          <t>N</t>
        </is>
      </c>
      <c r="N149" t="inlineStr">
        <is>
          <t>Auto-enabled — no action required</t>
        </is>
      </c>
      <c r="O149" t="inlineStr">
        <is>
          <t>Low</t>
        </is>
      </c>
      <c r="P149" t="inlineStr">
        <is>
          <t>2025-06-20</t>
        </is>
      </c>
      <c r="Q149" t="inlineStr">
        <is>
          <t>Oracle Fusion 26C Readiness — Human Resources</t>
        </is>
      </c>
      <c r="R149" t="inlineStr"/>
    </row>
    <row r="150">
      <c r="A150" t="inlineStr">
        <is>
          <t>CHG_IMP_0125</t>
        </is>
      </c>
      <c r="B150" t="inlineStr">
        <is>
          <t>REL_26C</t>
        </is>
      </c>
      <c r="C150" t="inlineStr">
        <is>
          <t>Additional Filter of Job Subfamily on Redwood Jobs Search Page</t>
        </is>
      </c>
      <c r="D150" t="inlineStr">
        <is>
          <t>Additional Filter of Job Subfamily on Redwood Jobs Search Page. Module: Human Resources. Release: 26C. We have added a new filter called **Job Subfamily** on the Redwood Jobs search page. This filter helps you to additionally filter the search results for a job, based on the selected job subfamily.
Navigation path: **My Client Groups &gt; Show More &gt; Workforce Structures &gt; Jobs**. On the Jobs Redwoo</t>
        </is>
      </c>
      <c r="E150" t="inlineStr">
        <is>
          <t>Human Resources</t>
        </is>
      </c>
      <c r="F150" t="inlineStr">
        <is>
          <t>Functional</t>
        </is>
      </c>
      <c r="G150" t="inlineStr">
        <is>
          <t>Functional</t>
        </is>
      </c>
      <c r="H150" t="inlineStr"/>
      <c r="I150" t="inlineStr"/>
      <c r="J150" t="inlineStr">
        <is>
          <t>Human Resources</t>
        </is>
      </c>
      <c r="K150" t="inlineStr">
        <is>
          <t>N</t>
        </is>
      </c>
      <c r="L150" t="inlineStr">
        <is>
          <t>N</t>
        </is>
      </c>
      <c r="M150" t="inlineStr">
        <is>
          <t>N</t>
        </is>
      </c>
      <c r="N150" t="inlineStr">
        <is>
          <t>Auto-enabled — no action required</t>
        </is>
      </c>
      <c r="O150" t="inlineStr">
        <is>
          <t>Low</t>
        </is>
      </c>
      <c r="P150" t="inlineStr">
        <is>
          <t>2025-06-20</t>
        </is>
      </c>
      <c r="Q150" t="inlineStr">
        <is>
          <t>Oracle Fusion 26C Readiness — Human Resources</t>
        </is>
      </c>
      <c r="R150" t="inlineStr"/>
    </row>
    <row r="151">
      <c r="A151" t="inlineStr">
        <is>
          <t>CHG_IMP_0126</t>
        </is>
      </c>
      <c r="B151" t="inlineStr">
        <is>
          <t>REL_26C</t>
        </is>
      </c>
      <c r="C151" t="inlineStr">
        <is>
          <t>Additional Filter of Valid Grades on Redwood Jobs Search Page</t>
        </is>
      </c>
      <c r="D151" t="inlineStr">
        <is>
          <t>Additional Filter of Valid Grades on Redwood Jobs Search Page. Module: Human Resources. Release: 26C. We have added these new filters on the Redwood Jobs search page.
 •    Has Valid Grade
 •    Grade Name
 •    Grade Code
These filters help you to additionally refine the search results for a job based on the selected filter.
Navigation path: **My Client Groups &gt; Show More &gt; Workforce Struct</t>
        </is>
      </c>
      <c r="E151" t="inlineStr">
        <is>
          <t>Human Resources</t>
        </is>
      </c>
      <c r="F151" t="inlineStr">
        <is>
          <t>Functional</t>
        </is>
      </c>
      <c r="G151" t="inlineStr">
        <is>
          <t>Functional</t>
        </is>
      </c>
      <c r="H151" t="inlineStr"/>
      <c r="I151" t="inlineStr"/>
      <c r="J151" t="inlineStr">
        <is>
          <t>Human Resources</t>
        </is>
      </c>
      <c r="K151" t="inlineStr">
        <is>
          <t>N</t>
        </is>
      </c>
      <c r="L151" t="inlineStr">
        <is>
          <t>N</t>
        </is>
      </c>
      <c r="M151" t="inlineStr">
        <is>
          <t>N</t>
        </is>
      </c>
      <c r="N151" t="inlineStr">
        <is>
          <t>Auto-enabled — no action required</t>
        </is>
      </c>
      <c r="O151" t="inlineStr">
        <is>
          <t>Low</t>
        </is>
      </c>
      <c r="P151" t="inlineStr">
        <is>
          <t>2025-06-20</t>
        </is>
      </c>
      <c r="Q151" t="inlineStr">
        <is>
          <t>Oracle Fusion 26C Readiness — Human Resources</t>
        </is>
      </c>
      <c r="R151" t="inlineStr"/>
    </row>
    <row r="152">
      <c r="A152" t="inlineStr">
        <is>
          <t>CHG_IMP_0127</t>
        </is>
      </c>
      <c r="B152" t="inlineStr">
        <is>
          <t>REL_26C</t>
        </is>
      </c>
      <c r="C152" t="inlineStr">
        <is>
          <t>Advanced Search Available for Position LOVs on Redwood Positions Pages</t>
        </is>
      </c>
      <c r="D152" t="inlineStr">
        <is>
          <t>Advanced Search Available for Position LOVs on Redwood Positions Pages. Module: Human Resources. Release: 26C. You can now use advanced search in these Position LOVs on Redwood pages for create, duplicate, correct, and edit positions.
• Parent Position LOV
• Funding Position LOV
• Delegate Position LOV
For more information, see the **Steps to Enable and Configure** section of this What’s New.
M</t>
        </is>
      </c>
      <c r="E152" t="inlineStr">
        <is>
          <t>Human Resources</t>
        </is>
      </c>
      <c r="F152" t="inlineStr">
        <is>
          <t>Functional</t>
        </is>
      </c>
      <c r="G152" t="inlineStr">
        <is>
          <t>Functional</t>
        </is>
      </c>
      <c r="H152" t="inlineStr"/>
      <c r="I152" t="inlineStr"/>
      <c r="J152" t="inlineStr">
        <is>
          <t>Human Resources</t>
        </is>
      </c>
      <c r="K152" t="inlineStr">
        <is>
          <t>N</t>
        </is>
      </c>
      <c r="L152" t="inlineStr">
        <is>
          <t>Y</t>
        </is>
      </c>
      <c r="M152" t="inlineStr">
        <is>
          <t>N</t>
        </is>
      </c>
      <c r="N152" t="inlineStr">
        <is>
          <t>Action type: Steps to Enable. To learn more about the prerequisites, see What are the prerequisites for advanced search to be available in the position LOVs on Redwood position pag</t>
        </is>
      </c>
      <c r="O152" t="inlineStr">
        <is>
          <t>Critical</t>
        </is>
      </c>
      <c r="P152" t="inlineStr">
        <is>
          <t>2025-06-20</t>
        </is>
      </c>
      <c r="Q152" t="inlineStr">
        <is>
          <t>Oracle Fusion 26C Readiness — Human Resources</t>
        </is>
      </c>
      <c r="R152" t="inlineStr"/>
    </row>
    <row r="153">
      <c r="A153" t="inlineStr">
        <is>
          <t>CHG_IMP_0128</t>
        </is>
      </c>
      <c r="B153" t="inlineStr">
        <is>
          <t>REL_26C</t>
        </is>
      </c>
      <c r="C153" t="inlineStr">
        <is>
          <t>Advanced Search for Positions in Redwood Employment Flows</t>
        </is>
      </c>
      <c r="D153" t="inlineStr">
        <is>
          <t>Advanced Search for Positions in Redwood Employment Flows. Module: Human Resources. Release: 26C. You can now search for positions using advanced search in Redwood employment processes.
Position attributes displayed in the Position list
Search for positions using the position attributes
Improves efficiency and usability in Redwood employment processes.</t>
        </is>
      </c>
      <c r="E153" t="inlineStr">
        <is>
          <t>Human Resources</t>
        </is>
      </c>
      <c r="F153" t="inlineStr">
        <is>
          <t>Functional</t>
        </is>
      </c>
      <c r="G153" t="inlineStr">
        <is>
          <t>Functional</t>
        </is>
      </c>
      <c r="H153" t="inlineStr"/>
      <c r="I153" t="inlineStr"/>
      <c r="J153" t="inlineStr">
        <is>
          <t>Human Resources</t>
        </is>
      </c>
      <c r="K153" t="inlineStr">
        <is>
          <t>N</t>
        </is>
      </c>
      <c r="L153" t="inlineStr">
        <is>
          <t>N</t>
        </is>
      </c>
      <c r="M153" t="inlineStr">
        <is>
          <t>N</t>
        </is>
      </c>
      <c r="N153" t="inlineStr">
        <is>
          <t>Auto-enabled — no action required</t>
        </is>
      </c>
      <c r="O153" t="inlineStr">
        <is>
          <t>Low</t>
        </is>
      </c>
      <c r="P153" t="inlineStr">
        <is>
          <t>2025-06-20</t>
        </is>
      </c>
      <c r="Q153" t="inlineStr">
        <is>
          <t>Oracle Fusion 26C Readiness — Human Resources</t>
        </is>
      </c>
      <c r="R153" t="inlineStr"/>
    </row>
    <row r="154">
      <c r="A154" t="inlineStr">
        <is>
          <t>CHG_IMP_0129</t>
        </is>
      </c>
      <c r="B154" t="inlineStr">
        <is>
          <t>REL_26C</t>
        </is>
      </c>
      <c r="C154" t="inlineStr">
        <is>
          <t>Agent as Task Performer in Journeys</t>
        </is>
      </c>
      <c r="D154" t="inlineStr">
        <is>
          <t>Agent as Task Performer in Journeys. Module: Human Resources. Release: 26C. You can now configure an AI agent in journey tasks as a task performer or task type. This enhancement lets journey tasks trigger or start HCM agents as part of a journey flow.
Here’s how the configuration works:
• Agent as the task performer: The agent performs the task automatically when the task</t>
        </is>
      </c>
      <c r="E154" t="inlineStr">
        <is>
          <t>Human Resources</t>
        </is>
      </c>
      <c r="F154" t="inlineStr">
        <is>
          <t>AI Feature</t>
        </is>
      </c>
      <c r="G154" t="inlineStr">
        <is>
          <t>AI Feature</t>
        </is>
      </c>
      <c r="H154" t="inlineStr"/>
      <c r="I154" t="inlineStr"/>
      <c r="J154" t="inlineStr">
        <is>
          <t>Human Resources</t>
        </is>
      </c>
      <c r="K154" t="inlineStr">
        <is>
          <t>N</t>
        </is>
      </c>
      <c r="L154" t="inlineStr">
        <is>
          <t>Y</t>
        </is>
      </c>
      <c r="M154" t="inlineStr">
        <is>
          <t>N</t>
        </is>
      </c>
      <c r="N154" t="inlineStr">
        <is>
          <t>Action type: Steps to Enable. For more information, see this topic: Configure AI Agent as Task Performer or Task Type</t>
        </is>
      </c>
      <c r="O154" t="inlineStr">
        <is>
          <t>Critical</t>
        </is>
      </c>
      <c r="P154" t="inlineStr">
        <is>
          <t>2025-06-20</t>
        </is>
      </c>
      <c r="Q154" t="inlineStr">
        <is>
          <t>Oracle Fusion 26C Readiness — Human Resources</t>
        </is>
      </c>
      <c r="R154" t="inlineStr"/>
    </row>
    <row r="155">
      <c r="A155" t="inlineStr">
        <is>
          <t>CHG_IMP_0130</t>
        </is>
      </c>
      <c r="B155" t="inlineStr">
        <is>
          <t>REL_26C</t>
        </is>
      </c>
      <c r="C155" t="inlineStr">
        <is>
          <t>Align Task Group Task Sequence with Journey Template Tasks</t>
        </is>
      </c>
      <c r="D155" t="inlineStr">
        <is>
          <t>Align Task Group Task Sequence with Journey Template Tasks. Module: Human Resources. Release: 26C. You can now sequence tasks from a task group so that they align correctly with the overall task sequence defined in a journey template.
Previously, when a task group was added to a journey template, the task sequence defined inside the task group could override or disrupt the sequence specified in</t>
        </is>
      </c>
      <c r="E155" t="inlineStr">
        <is>
          <t>Human Resources</t>
        </is>
      </c>
      <c r="F155" t="inlineStr">
        <is>
          <t>Functional</t>
        </is>
      </c>
      <c r="G155" t="inlineStr">
        <is>
          <t>Functional</t>
        </is>
      </c>
      <c r="H155" t="inlineStr"/>
      <c r="I155" t="inlineStr"/>
      <c r="J155" t="inlineStr">
        <is>
          <t>Human Resources</t>
        </is>
      </c>
      <c r="K155" t="inlineStr">
        <is>
          <t>N</t>
        </is>
      </c>
      <c r="L155" t="inlineStr">
        <is>
          <t>N</t>
        </is>
      </c>
      <c r="M155" t="inlineStr">
        <is>
          <t>N</t>
        </is>
      </c>
      <c r="N155" t="inlineStr">
        <is>
          <t>Auto-enabled — no action required</t>
        </is>
      </c>
      <c r="O155" t="inlineStr">
        <is>
          <t>Low</t>
        </is>
      </c>
      <c r="P155" t="inlineStr">
        <is>
          <t>2025-06-20</t>
        </is>
      </c>
      <c r="Q155" t="inlineStr">
        <is>
          <t>Oracle Fusion 26C Readiness — Human Resources</t>
        </is>
      </c>
      <c r="R155" t="inlineStr"/>
    </row>
    <row r="156">
      <c r="A156" t="inlineStr">
        <is>
          <t>CHG_IMP_0131</t>
        </is>
      </c>
      <c r="B156" t="inlineStr">
        <is>
          <t>REL_26C</t>
        </is>
      </c>
      <c r="C156" t="inlineStr">
        <is>
          <t>Allow Performers to Reopen Journey Tasks and Add Comments</t>
        </is>
      </c>
      <c r="D156" t="inlineStr">
        <is>
          <t>Allow Performers to Reopen Journey Tasks and Add Comments. Module: Human Resources. Release: 26C. You can now configure journey tasks to support multiple comments. When enabled, task performers, owners, line managers, and HR specialist can add and review multiple comments on a journey task, giving them a clearer interaction history for the task.
Configure Task to Allow Multiple Comments
You ca</t>
        </is>
      </c>
      <c r="E156" t="inlineStr">
        <is>
          <t>Human Resources</t>
        </is>
      </c>
      <c r="F156" t="inlineStr">
        <is>
          <t>Functional</t>
        </is>
      </c>
      <c r="G156" t="inlineStr">
        <is>
          <t>Functional</t>
        </is>
      </c>
      <c r="H156" t="inlineStr"/>
      <c r="I156" t="inlineStr"/>
      <c r="J156" t="inlineStr">
        <is>
          <t>Human Resources</t>
        </is>
      </c>
      <c r="K156" t="inlineStr">
        <is>
          <t>N</t>
        </is>
      </c>
      <c r="L156" t="inlineStr">
        <is>
          <t>Y</t>
        </is>
      </c>
      <c r="M156" t="inlineStr">
        <is>
          <t>N</t>
        </is>
      </c>
      <c r="N156" t="inlineStr">
        <is>
          <t>Action type: Steps to Enable. For more information, see this topic: Add Comments for Reopened Journey Tasks</t>
        </is>
      </c>
      <c r="O156" t="inlineStr">
        <is>
          <t>Critical</t>
        </is>
      </c>
      <c r="P156" t="inlineStr">
        <is>
          <t>2025-06-20</t>
        </is>
      </c>
      <c r="Q156" t="inlineStr">
        <is>
          <t>Oracle Fusion 26C Readiness — Human Resources</t>
        </is>
      </c>
      <c r="R156" t="inlineStr"/>
    </row>
    <row r="157">
      <c r="A157" t="inlineStr">
        <is>
          <t>CHG_IMP_0132</t>
        </is>
      </c>
      <c r="B157" t="inlineStr">
        <is>
          <t>REL_26C</t>
        </is>
      </c>
      <c r="C157" t="inlineStr">
        <is>
          <t>Apply Task Display Settings of Delegating Line Manager to Proxies</t>
        </is>
      </c>
      <c r="D157" t="inlineStr">
        <is>
          <t>Apply Task Display Settings of Delegating Line Manager to Proxies. Module: Human Resources. Release: 26C. When a line manager delegates journeys or journey tasks to a proxy, the proxy sees task display behavior that is aligned with the delegating line manager’s task display settings.
With this enhancement, journey task display settings are applied more consistently during line manager delegation.</t>
        </is>
      </c>
      <c r="E157" t="inlineStr">
        <is>
          <t>Human Resources</t>
        </is>
      </c>
      <c r="F157" t="inlineStr">
        <is>
          <t>Functional</t>
        </is>
      </c>
      <c r="G157" t="inlineStr">
        <is>
          <t>Functional</t>
        </is>
      </c>
      <c r="H157" t="inlineStr"/>
      <c r="I157" t="inlineStr"/>
      <c r="J157" t="inlineStr">
        <is>
          <t>Human Resources</t>
        </is>
      </c>
      <c r="K157" t="inlineStr">
        <is>
          <t>N</t>
        </is>
      </c>
      <c r="L157" t="inlineStr">
        <is>
          <t>Y</t>
        </is>
      </c>
      <c r="M157" t="inlineStr">
        <is>
          <t>N</t>
        </is>
      </c>
      <c r="N157" t="inlineStr">
        <is>
          <t>Action type: Steps to Enable. You can set the ORA_PER_JRNY_ENABLE_MANAGER_DELEGATION profile option (set the profile value to Y at the user profile level) to enable journey task delegat</t>
        </is>
      </c>
      <c r="O157" t="inlineStr">
        <is>
          <t>Critical</t>
        </is>
      </c>
      <c r="P157" t="inlineStr">
        <is>
          <t>2025-06-20</t>
        </is>
      </c>
      <c r="Q157" t="inlineStr">
        <is>
          <t>Oracle Fusion 26C Readiness — Human Resources</t>
        </is>
      </c>
      <c r="R157" t="inlineStr"/>
    </row>
    <row r="158">
      <c r="A158" t="inlineStr">
        <is>
          <t>CHG_IMP_0133</t>
        </is>
      </c>
      <c r="B158" t="inlineStr">
        <is>
          <t>REL_26C</t>
        </is>
      </c>
      <c r="C158" t="inlineStr">
        <is>
          <t>Assignment Attributes Supported as Conditions on Redwood Document Records Pages</t>
        </is>
      </c>
      <c r="D158" t="inlineStr">
        <is>
          <t xml:space="preserve">Assignment Attributes Supported as Conditions on Redwood Document Records Pages. Module: Human Resources. Release: 26C. You can now use assignment-related attributes as conditions in page properties to control when content is displayed on Redwood Document Records pages. This enhancement gives organizations more flexibility in tailoring the experience so that the right content appears only for the </t>
        </is>
      </c>
      <c r="E158" t="inlineStr">
        <is>
          <t>Human Resources</t>
        </is>
      </c>
      <c r="F158" t="inlineStr">
        <is>
          <t>Functional</t>
        </is>
      </c>
      <c r="G158" t="inlineStr">
        <is>
          <t>Functional</t>
        </is>
      </c>
      <c r="H158" t="inlineStr"/>
      <c r="I158" t="inlineStr"/>
      <c r="J158" t="inlineStr">
        <is>
          <t>Human Resources</t>
        </is>
      </c>
      <c r="K158" t="inlineStr">
        <is>
          <t>N</t>
        </is>
      </c>
      <c r="L158" t="inlineStr">
        <is>
          <t>Y</t>
        </is>
      </c>
      <c r="M158" t="inlineStr">
        <is>
          <t>N</t>
        </is>
      </c>
      <c r="N158" t="inlineStr">
        <is>
          <t>Action type: Steps to Enable. For more information about how you configure page properties, see Set Property Values Using Rules.</t>
        </is>
      </c>
      <c r="O158" t="inlineStr">
        <is>
          <t>Critical</t>
        </is>
      </c>
      <c r="P158" t="inlineStr">
        <is>
          <t>2025-06-20</t>
        </is>
      </c>
      <c r="Q158" t="inlineStr">
        <is>
          <t>Oracle Fusion 26C Readiness — Human Resources</t>
        </is>
      </c>
      <c r="R158" t="inlineStr"/>
    </row>
    <row r="159">
      <c r="A159" t="inlineStr">
        <is>
          <t>CHG_IMP_0134</t>
        </is>
      </c>
      <c r="B159" t="inlineStr">
        <is>
          <t>REL_26C</t>
        </is>
      </c>
      <c r="C159" t="inlineStr">
        <is>
          <t>Associate Upto 25 Job Subfamilies with a Redwood Job Family</t>
        </is>
      </c>
      <c r="D159" t="inlineStr">
        <is>
          <t>Associate Upto 25 Job Subfamilies with a Redwood Job Family. Module: Human Resources. Release: 26C. You can now associate up to 25 job subfamilies with a job family in Redwood. After 25 job subfamilies are associated, the **+Add** button is disabled in the **Job subfamily associations** section of the job family page.
Associate up to 25 job subfamilies with a job family in Redwood
The maximum li</t>
        </is>
      </c>
      <c r="E159" t="inlineStr">
        <is>
          <t>Human Resources</t>
        </is>
      </c>
      <c r="F159" t="inlineStr">
        <is>
          <t>Functional</t>
        </is>
      </c>
      <c r="G159" t="inlineStr">
        <is>
          <t>Functional</t>
        </is>
      </c>
      <c r="H159" t="inlineStr"/>
      <c r="I159" t="inlineStr"/>
      <c r="J159" t="inlineStr">
        <is>
          <t>Human Resources</t>
        </is>
      </c>
      <c r="K159" t="inlineStr">
        <is>
          <t>N</t>
        </is>
      </c>
      <c r="L159" t="inlineStr">
        <is>
          <t>N</t>
        </is>
      </c>
      <c r="M159" t="inlineStr">
        <is>
          <t>N</t>
        </is>
      </c>
      <c r="N159" t="inlineStr">
        <is>
          <t>Auto-enabled — no action required</t>
        </is>
      </c>
      <c r="O159" t="inlineStr">
        <is>
          <t>Low</t>
        </is>
      </c>
      <c r="P159" t="inlineStr">
        <is>
          <t>2025-06-20</t>
        </is>
      </c>
      <c r="Q159" t="inlineStr">
        <is>
          <t>Oracle Fusion 26C Readiness — Human Resources</t>
        </is>
      </c>
      <c r="R159" t="inlineStr"/>
    </row>
    <row r="160">
      <c r="A160" t="inlineStr">
        <is>
          <t>CHG_IMP_0135</t>
        </is>
      </c>
      <c r="B160" t="inlineStr">
        <is>
          <t>REL_26C</t>
        </is>
      </c>
      <c r="C160" t="inlineStr">
        <is>
          <t>Change to Security for Photo Region of Redwood Personal Details Page</t>
        </is>
      </c>
      <c r="D160" t="inlineStr">
        <is>
          <t>Change to Security for Photo Region of Redwood Personal Details Page. Module: Human Resources. Release: 26C. We updated the security model that controls access to the **Photo** region on the **Redwood Personal Details** page.
Previously, access to this region was split across two privileges:
• **Manage Person Image** provided **functional security** access.
• **Access Person Gallery** provided *</t>
        </is>
      </c>
      <c r="E160" t="inlineStr">
        <is>
          <t>Human Resources</t>
        </is>
      </c>
      <c r="F160" t="inlineStr">
        <is>
          <t>Functional</t>
        </is>
      </c>
      <c r="G160" t="inlineStr">
        <is>
          <t>Functional</t>
        </is>
      </c>
      <c r="H160" t="inlineStr"/>
      <c r="I160" t="inlineStr"/>
      <c r="J160" t="inlineStr">
        <is>
          <t>Human Resources</t>
        </is>
      </c>
      <c r="K160" t="inlineStr">
        <is>
          <t>N</t>
        </is>
      </c>
      <c r="L160" t="inlineStr">
        <is>
          <t>Y</t>
        </is>
      </c>
      <c r="M160" t="inlineStr">
        <is>
          <t>N</t>
        </is>
      </c>
      <c r="N160" t="inlineStr">
        <is>
          <t>Action type: Steps to Enable. For more information, see Review Role Assignments.</t>
        </is>
      </c>
      <c r="O160" t="inlineStr">
        <is>
          <t>Critical</t>
        </is>
      </c>
      <c r="P160" t="inlineStr">
        <is>
          <t>2025-06-20</t>
        </is>
      </c>
      <c r="Q160" t="inlineStr">
        <is>
          <t>Oracle Fusion 26C Readiness — Human Resources</t>
        </is>
      </c>
      <c r="R160" t="inlineStr"/>
    </row>
    <row r="161">
      <c r="A161" t="inlineStr">
        <is>
          <t>CHG_IMP_0136</t>
        </is>
      </c>
      <c r="B161" t="inlineStr">
        <is>
          <t>REL_26C</t>
        </is>
      </c>
      <c r="C161" t="inlineStr">
        <is>
          <t>Column Selection Stays Persistent on Redwood Journey Setup Pages</t>
        </is>
      </c>
      <c r="D161" t="inlineStr">
        <is>
          <t>Column Selection Stays Persistent on Redwood Journey Setup Pages. Module: Human Resources. Release: 26C. We’ve enhanced the usability of the Redwood Journey setup pages by introducing persistence for user preferences. Now, any personalization's that you make by customizing columns to show, hide, or reorder in the pages will be retained.
You no longer need to reapply your column customizations eac</t>
        </is>
      </c>
      <c r="E161" t="inlineStr">
        <is>
          <t>Human Resources</t>
        </is>
      </c>
      <c r="F161" t="inlineStr">
        <is>
          <t>Functional</t>
        </is>
      </c>
      <c r="G161" t="inlineStr">
        <is>
          <t>Functional</t>
        </is>
      </c>
      <c r="H161" t="inlineStr"/>
      <c r="I161" t="inlineStr"/>
      <c r="J161" t="inlineStr">
        <is>
          <t>Human Resources</t>
        </is>
      </c>
      <c r="K161" t="inlineStr">
        <is>
          <t>N</t>
        </is>
      </c>
      <c r="L161" t="inlineStr">
        <is>
          <t>N</t>
        </is>
      </c>
      <c r="M161" t="inlineStr">
        <is>
          <t>N</t>
        </is>
      </c>
      <c r="N161" t="inlineStr">
        <is>
          <t>Auto-enabled — no action required</t>
        </is>
      </c>
      <c r="O161" t="inlineStr">
        <is>
          <t>Low</t>
        </is>
      </c>
      <c r="P161" t="inlineStr">
        <is>
          <t>2025-06-20</t>
        </is>
      </c>
      <c r="Q161" t="inlineStr">
        <is>
          <t>Oracle Fusion 26C Readiness — Human Resources</t>
        </is>
      </c>
      <c r="R161" t="inlineStr"/>
    </row>
    <row r="162">
      <c r="A162" t="inlineStr">
        <is>
          <t>CHG_IMP_0137</t>
        </is>
      </c>
      <c r="B162" t="inlineStr">
        <is>
          <t>REL_26C</t>
        </is>
      </c>
      <c r="C162" t="inlineStr">
        <is>
          <t>Configure HCM Search Views for the Redwood Jobs Search Page</t>
        </is>
      </c>
      <c r="D162" t="inlineStr">
        <is>
          <t>Configure HCM Search Views for the Redwood Jobs Search Page. Module: Human Resources. Release: 26C. You can now customize and streamline the Redwood Jobs search experience by configuring HCM Search Views for the Redwood Jobs search page.
For more information, see the **Steps to Enable and Configure** section of this What’s New.
Search Object filter showing the HCM Jobs option on the Redwood Sear</t>
        </is>
      </c>
      <c r="E162" t="inlineStr">
        <is>
          <t>Human Resources</t>
        </is>
      </c>
      <c r="F162" t="inlineStr">
        <is>
          <t>Functional</t>
        </is>
      </c>
      <c r="G162" t="inlineStr">
        <is>
          <t>Functional</t>
        </is>
      </c>
      <c r="H162" t="inlineStr"/>
      <c r="I162" t="inlineStr"/>
      <c r="J162" t="inlineStr">
        <is>
          <t>Human Resources</t>
        </is>
      </c>
      <c r="K162" t="inlineStr">
        <is>
          <t>N</t>
        </is>
      </c>
      <c r="L162" t="inlineStr">
        <is>
          <t>Y</t>
        </is>
      </c>
      <c r="M162" t="inlineStr">
        <is>
          <t>N</t>
        </is>
      </c>
      <c r="N162" t="inlineStr">
        <is>
          <t>Action type: Steps to Enable. For more information, see Configure HCM Search Views for the Redwood Jobs Search Page.</t>
        </is>
      </c>
      <c r="O162" t="inlineStr">
        <is>
          <t>Critical</t>
        </is>
      </c>
      <c r="P162" t="inlineStr">
        <is>
          <t>2025-06-20</t>
        </is>
      </c>
      <c r="Q162" t="inlineStr">
        <is>
          <t>Oracle Fusion 26C Readiness — Human Resources</t>
        </is>
      </c>
      <c r="R162" t="inlineStr"/>
    </row>
    <row r="163">
      <c r="A163" t="inlineStr">
        <is>
          <t>CHG_IMP_0138</t>
        </is>
      </c>
      <c r="B163" t="inlineStr">
        <is>
          <t>REL_26C</t>
        </is>
      </c>
      <c r="C163" t="inlineStr">
        <is>
          <t>Control Edit and Delete Buttons on Redwood Document Record Pages</t>
        </is>
      </c>
      <c r="D163" t="inlineStr">
        <is>
          <t>Control Edit and Delete Buttons on Redwood Document Record Pages. Module: Human Resources. Release: 26C. This enhancement allows you to control the display of Save and Delete buttons using page properties depending on the user role, document type, and other supported conditions.
Organizations often need certain document records to remain read only once submitted, even if the employee has elevated</t>
        </is>
      </c>
      <c r="E163" t="inlineStr">
        <is>
          <t>Human Resources</t>
        </is>
      </c>
      <c r="F163" t="inlineStr">
        <is>
          <t>Functional</t>
        </is>
      </c>
      <c r="G163" t="inlineStr">
        <is>
          <t>Functional</t>
        </is>
      </c>
      <c r="H163" t="inlineStr"/>
      <c r="I163" t="inlineStr"/>
      <c r="J163" t="inlineStr">
        <is>
          <t>Human Resources</t>
        </is>
      </c>
      <c r="K163" t="inlineStr">
        <is>
          <t>N</t>
        </is>
      </c>
      <c r="L163" t="inlineStr">
        <is>
          <t>Y</t>
        </is>
      </c>
      <c r="M163" t="inlineStr">
        <is>
          <t>N</t>
        </is>
      </c>
      <c r="N163" t="inlineStr">
        <is>
          <t>Action type: Steps to Enable. For more information about how you configure page properties, see Set Property Values Using Rules.</t>
        </is>
      </c>
      <c r="O163" t="inlineStr">
        <is>
          <t>Critical</t>
        </is>
      </c>
      <c r="P163" t="inlineStr">
        <is>
          <t>2025-06-20</t>
        </is>
      </c>
      <c r="Q163" t="inlineStr">
        <is>
          <t>Oracle Fusion 26C Readiness — Human Resources</t>
        </is>
      </c>
      <c r="R163" t="inlineStr"/>
    </row>
    <row r="164">
      <c r="A164" t="inlineStr">
        <is>
          <t>CHG_IMP_0139</t>
        </is>
      </c>
      <c r="B164" t="inlineStr">
        <is>
          <t>REL_26C</t>
        </is>
      </c>
      <c r="C164" t="inlineStr">
        <is>
          <t>Control the Display of the Edit Icon in the Name Section of the Personal Details Page</t>
        </is>
      </c>
      <c r="D164" t="inlineStr">
        <is>
          <t>Control the Display of the Edit Icon in the Name Section of the Personal Details Page. Module: Human Resources. Release: 26C. On the Redwood **Personal Details** page, the **Edit** icon in the **Name**section is visible by default. You can use the new **Show Edit Icon in the Name Section**page property in VB Studio to control whether the **Edit** icon is hidden or visible.
The following image sho</t>
        </is>
      </c>
      <c r="E164" t="inlineStr">
        <is>
          <t>Human Resources</t>
        </is>
      </c>
      <c r="F164" t="inlineStr">
        <is>
          <t>Functional</t>
        </is>
      </c>
      <c r="G164" t="inlineStr">
        <is>
          <t>Functional</t>
        </is>
      </c>
      <c r="H164" t="inlineStr"/>
      <c r="I164" t="inlineStr"/>
      <c r="J164" t="inlineStr">
        <is>
          <t>Human Resources</t>
        </is>
      </c>
      <c r="K164" t="inlineStr">
        <is>
          <t>N</t>
        </is>
      </c>
      <c r="L164" t="inlineStr">
        <is>
          <t>Y</t>
        </is>
      </c>
      <c r="M164" t="inlineStr">
        <is>
          <t>N</t>
        </is>
      </c>
      <c r="N164" t="inlineStr">
        <is>
          <t xml:space="preserve">Action type: Steps to Enable. For more information about how to control the display of the **Edit** icon, see How do I control the display of a UI element in Visual </t>
        </is>
      </c>
      <c r="O164" t="inlineStr">
        <is>
          <t>Critical</t>
        </is>
      </c>
      <c r="P164" t="inlineStr">
        <is>
          <t>2025-06-20</t>
        </is>
      </c>
      <c r="Q164" t="inlineStr">
        <is>
          <t>Oracle Fusion 26C Readiness — Human Resources</t>
        </is>
      </c>
      <c r="R164" t="inlineStr"/>
    </row>
    <row r="165">
      <c r="A165" t="inlineStr">
        <is>
          <t>CHG_IMP_0140</t>
        </is>
      </c>
      <c r="B165" t="inlineStr">
        <is>
          <t>REL_26C</t>
        </is>
      </c>
      <c r="C165" t="inlineStr">
        <is>
          <t>Display Optional Regions in Compact Guided Process Redwood Template Pages</t>
        </is>
      </c>
      <c r="D165" t="inlineStr">
        <is>
          <t>Display Optional Regions in Compact Guided Process Redwood Template Pages. Module: Human Resources. Release: 26C. The behavior of the Redwood Compact Guided Process (CGP) template pages is now aligned with that of responsive CGP template pages to improve the **handling of optional regions** **when Info to include is hidden**.
In processes such as Hire an Employee or Add Assignment, optional regio</t>
        </is>
      </c>
      <c r="E165" t="inlineStr">
        <is>
          <t>Human Resources</t>
        </is>
      </c>
      <c r="F165" t="inlineStr">
        <is>
          <t>Functional</t>
        </is>
      </c>
      <c r="G165" t="inlineStr">
        <is>
          <t>Functional</t>
        </is>
      </c>
      <c r="H165" t="inlineStr"/>
      <c r="I165" t="inlineStr"/>
      <c r="J165" t="inlineStr">
        <is>
          <t>Human Resources</t>
        </is>
      </c>
      <c r="K165" t="inlineStr">
        <is>
          <t>N</t>
        </is>
      </c>
      <c r="L165" t="inlineStr">
        <is>
          <t>Y</t>
        </is>
      </c>
      <c r="M165" t="inlineStr">
        <is>
          <t>N</t>
        </is>
      </c>
      <c r="N165" t="inlineStr">
        <is>
          <t>Action type: Steps to Enable. You must enable the following profile option: In **Manage Administrator Profile Values**, set the following profile option to **Yes**: • **Profile Displ</t>
        </is>
      </c>
      <c r="O165" t="inlineStr">
        <is>
          <t>Critical</t>
        </is>
      </c>
      <c r="P165" t="inlineStr">
        <is>
          <t>2025-06-20</t>
        </is>
      </c>
      <c r="Q165" t="inlineStr">
        <is>
          <t>Oracle Fusion 26C Readiness — Human Resources</t>
        </is>
      </c>
      <c r="R165" t="inlineStr"/>
    </row>
    <row r="166">
      <c r="A166" t="inlineStr">
        <is>
          <t>CHG_IMP_0141</t>
        </is>
      </c>
      <c r="B166" t="inlineStr">
        <is>
          <t>REL_26C</t>
        </is>
      </c>
      <c r="C166" t="inlineStr">
        <is>
          <t>Display Page Properties Conditionally in Connections</t>
        </is>
      </c>
      <c r="D166" t="inlineStr">
        <is>
          <t>Display Page Properties Conditionally in Connections. Module: Human Resources. Release: 26C. You can control the Connections experience with the **Configure Page Properties** feature.
You can now apply these settings with conditional rules based on:
• Logged-in user info 
 • Role
• When is the rule applied? (viewing own info or viewing others' info)
• Info about the profile being viewed</t>
        </is>
      </c>
      <c r="E166" t="inlineStr">
        <is>
          <t>Human Resources</t>
        </is>
      </c>
      <c r="F166" t="inlineStr">
        <is>
          <t>Functional</t>
        </is>
      </c>
      <c r="G166" t="inlineStr">
        <is>
          <t>Functional</t>
        </is>
      </c>
      <c r="H166" t="inlineStr"/>
      <c r="I166" t="inlineStr"/>
      <c r="J166" t="inlineStr">
        <is>
          <t>Human Resources</t>
        </is>
      </c>
      <c r="K166" t="inlineStr">
        <is>
          <t>N</t>
        </is>
      </c>
      <c r="L166" t="inlineStr">
        <is>
          <t>N</t>
        </is>
      </c>
      <c r="M166" t="inlineStr">
        <is>
          <t>N</t>
        </is>
      </c>
      <c r="N166" t="inlineStr">
        <is>
          <t>Auto-enabled — no action required</t>
        </is>
      </c>
      <c r="O166" t="inlineStr">
        <is>
          <t>Low</t>
        </is>
      </c>
      <c r="P166" t="inlineStr">
        <is>
          <t>2025-06-20</t>
        </is>
      </c>
      <c r="Q166" t="inlineStr">
        <is>
          <t>Oracle Fusion 26C Readiness — Human Resources</t>
        </is>
      </c>
      <c r="R166" t="inlineStr"/>
    </row>
    <row r="167">
      <c r="A167" t="inlineStr">
        <is>
          <t>CHG_IMP_0142</t>
        </is>
      </c>
      <c r="B167" t="inlineStr">
        <is>
          <t>REL_26C</t>
        </is>
      </c>
      <c r="C167" t="inlineStr">
        <is>
          <t>Display Person Number for Family and Emergency Contacts</t>
        </is>
      </c>
      <c r="D167" t="inlineStr">
        <is>
          <t>Display Person Number for Family and Emergency Contacts. Module: Human Resources. Release: 26C. You can now display the person number for a family or emergency contact on the **My Contacts** page.
The following image shows the Visual Builder Studio rule for Regions and Fields. In the **My contacts** region, the **Hidden**property is set to **Visible**for the **Person Number** attribute.
Visu</t>
        </is>
      </c>
      <c r="E167" t="inlineStr">
        <is>
          <t>Human Resources</t>
        </is>
      </c>
      <c r="F167" t="inlineStr">
        <is>
          <t>Functional</t>
        </is>
      </c>
      <c r="G167" t="inlineStr">
        <is>
          <t>Functional</t>
        </is>
      </c>
      <c r="H167" t="inlineStr"/>
      <c r="I167" t="inlineStr"/>
      <c r="J167" t="inlineStr">
        <is>
          <t>Human Resources</t>
        </is>
      </c>
      <c r="K167" t="inlineStr">
        <is>
          <t>N</t>
        </is>
      </c>
      <c r="L167" t="inlineStr">
        <is>
          <t>Y</t>
        </is>
      </c>
      <c r="M167" t="inlineStr">
        <is>
          <t>N</t>
        </is>
      </c>
      <c r="N167" t="inlineStr">
        <is>
          <t>Action type: Steps to Enable. For more information about how to show a field, see How do I hide or show a field in Visual Builder Studio?.</t>
        </is>
      </c>
      <c r="O167" t="inlineStr">
        <is>
          <t>Critical</t>
        </is>
      </c>
      <c r="P167" t="inlineStr">
        <is>
          <t>2025-06-20</t>
        </is>
      </c>
      <c r="Q167" t="inlineStr">
        <is>
          <t>Oracle Fusion 26C Readiness — Human Resources</t>
        </is>
      </c>
      <c r="R167" t="inlineStr"/>
    </row>
    <row r="168">
      <c r="A168" t="inlineStr">
        <is>
          <t>CHG_IMP_0143</t>
        </is>
      </c>
      <c r="B168" t="inlineStr">
        <is>
          <t>REL_26C</t>
        </is>
      </c>
      <c r="C168" t="inlineStr">
        <is>
          <t>Document Records Administration with AI Assistance</t>
        </is>
      </c>
      <c r="D168" t="inlineStr">
        <is>
          <t>Document Records Administration with AI Assistance. Module: Human Resources. Release: 26C. The **Document Records Administration Assistant** is your AI-powered assistant that helps users submit mass download requests for document records quickly and accurately. Leveraging advanced large-language-model (LLM) technologies, the assistant interprets natural-language prompts, identifies the us</t>
        </is>
      </c>
      <c r="E168" t="inlineStr">
        <is>
          <t>Human Resources</t>
        </is>
      </c>
      <c r="F168" t="inlineStr">
        <is>
          <t>AI Feature</t>
        </is>
      </c>
      <c r="G168" t="inlineStr">
        <is>
          <t>AI Feature</t>
        </is>
      </c>
      <c r="H168" t="inlineStr"/>
      <c r="I168" t="inlineStr"/>
      <c r="J168" t="inlineStr">
        <is>
          <t>Human Resources</t>
        </is>
      </c>
      <c r="K168" t="inlineStr">
        <is>
          <t>N</t>
        </is>
      </c>
      <c r="L168" t="inlineStr">
        <is>
          <t>Y</t>
        </is>
      </c>
      <c r="M168" t="inlineStr">
        <is>
          <t>N</t>
        </is>
      </c>
      <c r="N168" t="inlineStr">
        <is>
          <t>Action type: Steps to Enable. • Your environment must have certain necessary configurations. Ask your help desk to contact Oracle Support, who can verify what your environment has and address any gaps</t>
        </is>
      </c>
      <c r="O168" t="inlineStr">
        <is>
          <t>Critical</t>
        </is>
      </c>
      <c r="P168" t="inlineStr">
        <is>
          <t>2025-06-20</t>
        </is>
      </c>
      <c r="Q168" t="inlineStr">
        <is>
          <t>Oracle Fusion 26C Readiness — Human Resources</t>
        </is>
      </c>
      <c r="R168" t="inlineStr"/>
    </row>
    <row r="169">
      <c r="A169" t="inlineStr">
        <is>
          <t>CHG_IMP_0144</t>
        </is>
      </c>
      <c r="B169" t="inlineStr">
        <is>
          <t>REL_26C</t>
        </is>
      </c>
      <c r="C169" t="inlineStr">
        <is>
          <t>Document Records Integration for Redwood Family and Emergency Contacts Page</t>
        </is>
      </c>
      <c r="D169" t="inlineStr">
        <is>
          <t>Document Records Integration for Redwood Family and Emergency Contacts Page. Module: Human Resources. Release: 26C. The Redwood **Family and Emergency Contacts** page has been integrated with the Document Records attachment functionality. By default, the Document Records region isn't displayed. But you can display it by associating a document type using the **Set Document Type for a Family or Emer</t>
        </is>
      </c>
      <c r="E169" t="inlineStr">
        <is>
          <t>Human Resources</t>
        </is>
      </c>
      <c r="F169" t="inlineStr">
        <is>
          <t>Functional</t>
        </is>
      </c>
      <c r="G169" t="inlineStr">
        <is>
          <t>Functional</t>
        </is>
      </c>
      <c r="H169" t="inlineStr"/>
      <c r="I169" t="inlineStr"/>
      <c r="J169" t="inlineStr">
        <is>
          <t>Human Resources</t>
        </is>
      </c>
      <c r="K169" t="inlineStr">
        <is>
          <t>N</t>
        </is>
      </c>
      <c r="L169" t="inlineStr">
        <is>
          <t>Y</t>
        </is>
      </c>
      <c r="M169" t="inlineStr">
        <is>
          <t>N</t>
        </is>
      </c>
      <c r="N169" t="inlineStr">
        <is>
          <t>Action type: Steps to Enable. For more information about how you display the Document Records region, see How do I display the Document Records region on Redwood Person pages?</t>
        </is>
      </c>
      <c r="O169" t="inlineStr">
        <is>
          <t>Critical</t>
        </is>
      </c>
      <c r="P169" t="inlineStr">
        <is>
          <t>2025-06-20</t>
        </is>
      </c>
      <c r="Q169" t="inlineStr">
        <is>
          <t>Oracle Fusion 26C Readiness — Human Resources</t>
        </is>
      </c>
      <c r="R169" t="inlineStr"/>
    </row>
    <row r="170">
      <c r="A170" t="inlineStr">
        <is>
          <t>CHG_IMP_0145</t>
        </is>
      </c>
      <c r="B170" t="inlineStr">
        <is>
          <t>REL_26C</t>
        </is>
      </c>
      <c r="C170" t="inlineStr">
        <is>
          <t>Earnings and Deductions Links in Redwood Change Legal Employer Dashboard</t>
        </is>
      </c>
      <c r="D170" t="inlineStr">
        <is>
          <t>Earnings and Deductions Links in Redwood Change Legal Employer Dashboard. Module: Human Resources. Release: 26C. The Redwood Change Legal Employer Dashboard now includes a direct Earnings and Deductions link for applicable calculation card and element entry messages in the process results panel. The link opens the Redwood Earnings and Deductions page, where payroll-related entries are presented to</t>
        </is>
      </c>
      <c r="E170" t="inlineStr">
        <is>
          <t>Human Resources</t>
        </is>
      </c>
      <c r="F170" t="inlineStr">
        <is>
          <t>Functional</t>
        </is>
      </c>
      <c r="G170" t="inlineStr">
        <is>
          <t>Functional</t>
        </is>
      </c>
      <c r="H170" t="inlineStr"/>
      <c r="I170" t="inlineStr"/>
      <c r="J170" t="inlineStr">
        <is>
          <t>Human Resources</t>
        </is>
      </c>
      <c r="K170" t="inlineStr">
        <is>
          <t>N</t>
        </is>
      </c>
      <c r="L170" t="inlineStr">
        <is>
          <t>N</t>
        </is>
      </c>
      <c r="M170" t="inlineStr">
        <is>
          <t>N</t>
        </is>
      </c>
      <c r="N170" t="inlineStr">
        <is>
          <t>Auto-enabled — no action required</t>
        </is>
      </c>
      <c r="O170" t="inlineStr">
        <is>
          <t>Low</t>
        </is>
      </c>
      <c r="P170" t="inlineStr">
        <is>
          <t>2025-06-20</t>
        </is>
      </c>
      <c r="Q170" t="inlineStr">
        <is>
          <t>Oracle Fusion 26C Readiness — Human Resources</t>
        </is>
      </c>
      <c r="R170" t="inlineStr"/>
    </row>
    <row r="171">
      <c r="A171" t="inlineStr">
        <is>
          <t>CHG_IMP_0146</t>
        </is>
      </c>
      <c r="B171" t="inlineStr">
        <is>
          <t>REL_26C</t>
        </is>
      </c>
      <c r="C171" t="inlineStr">
        <is>
          <t>Enable SMS for Nudges Related to Journey Reminders</t>
        </is>
      </c>
      <c r="D171" t="inlineStr">
        <is>
          <t>Enable SMS for Nudges Related to Journey Reminders. Module: Human Resources. Release: 26C. You can enable SMS notifications for nudges related to Journey reminders. This enhancement extends Journey reminder nudges so that workers can receive reminder communications by SMS.
Configure SMS Channel for Journey Nudge
Nudge Notification Received via SMS
SMS delivery for Journey reminder nudg</t>
        </is>
      </c>
      <c r="E171" t="inlineStr">
        <is>
          <t>Human Resources</t>
        </is>
      </c>
      <c r="F171" t="inlineStr">
        <is>
          <t>Functional</t>
        </is>
      </c>
      <c r="G171" t="inlineStr">
        <is>
          <t>Functional</t>
        </is>
      </c>
      <c r="H171" t="inlineStr"/>
      <c r="I171" t="inlineStr"/>
      <c r="J171" t="inlineStr">
        <is>
          <t>Human Resources</t>
        </is>
      </c>
      <c r="K171" t="inlineStr">
        <is>
          <t>N</t>
        </is>
      </c>
      <c r="L171" t="inlineStr">
        <is>
          <t>N</t>
        </is>
      </c>
      <c r="M171" t="inlineStr">
        <is>
          <t>N</t>
        </is>
      </c>
      <c r="N171" t="inlineStr">
        <is>
          <t>Auto-enabled — no action required</t>
        </is>
      </c>
      <c r="O171" t="inlineStr">
        <is>
          <t>Low</t>
        </is>
      </c>
      <c r="P171" t="inlineStr">
        <is>
          <t>2025-06-20</t>
        </is>
      </c>
      <c r="Q171" t="inlineStr">
        <is>
          <t>Oracle Fusion 26C Readiness — Human Resources</t>
        </is>
      </c>
      <c r="R171" t="inlineStr"/>
    </row>
    <row r="172">
      <c r="A172" t="inlineStr">
        <is>
          <t>CHG_IMP_0147</t>
        </is>
      </c>
      <c r="B172" t="inlineStr">
        <is>
          <t>REL_26C</t>
        </is>
      </c>
      <c r="C172" t="inlineStr">
        <is>
          <t>End Assignment and Terminate Work Relationship Automatically Based on Projected Dates</t>
        </is>
      </c>
      <c r="D172" t="inlineStr">
        <is>
          <t>End Assignment and Terminate Work Relationship Automatically Based on Projected Dates. Module: Human Resources. Release: 26C. You can now automate employment lifecycle events by scheduling the **Update Employment Data** Enterprise Scheduler Service (ESS) process to end assignments or terminate work relationships based on projected dates.
Use the new scheduled process to automatically:
• End an a</t>
        </is>
      </c>
      <c r="E172" t="inlineStr">
        <is>
          <t>Human Resources</t>
        </is>
      </c>
      <c r="F172" t="inlineStr">
        <is>
          <t>Functional</t>
        </is>
      </c>
      <c r="G172" t="inlineStr">
        <is>
          <t>Functional</t>
        </is>
      </c>
      <c r="H172" t="inlineStr"/>
      <c r="I172" t="inlineStr"/>
      <c r="J172" t="inlineStr">
        <is>
          <t>Human Resources</t>
        </is>
      </c>
      <c r="K172" t="inlineStr">
        <is>
          <t>N</t>
        </is>
      </c>
      <c r="L172" t="inlineStr">
        <is>
          <t>N</t>
        </is>
      </c>
      <c r="M172" t="inlineStr">
        <is>
          <t>N</t>
        </is>
      </c>
      <c r="N172" t="inlineStr">
        <is>
          <t>Auto-enabled — no action required</t>
        </is>
      </c>
      <c r="O172" t="inlineStr">
        <is>
          <t>Low</t>
        </is>
      </c>
      <c r="P172" t="inlineStr">
        <is>
          <t>2025-06-20</t>
        </is>
      </c>
      <c r="Q172" t="inlineStr">
        <is>
          <t>Oracle Fusion 26C Readiness — Human Resources</t>
        </is>
      </c>
      <c r="R172" t="inlineStr"/>
    </row>
    <row r="173">
      <c r="A173" t="inlineStr">
        <is>
          <t>CHG_IMP_0148</t>
        </is>
      </c>
      <c r="B173" t="inlineStr">
        <is>
          <t>REL_26C</t>
        </is>
      </c>
      <c r="C173" t="inlineStr">
        <is>
          <t>Enhance Employment Information and Team Insights AI Agents with Document Tool and Expanded Deep Link Support</t>
        </is>
      </c>
      <c r="D173" t="inlineStr">
        <is>
          <t>Enhance Employment Information and Team Insights AI Agents with Document Tool and Expanded Deep Link Support. Module: Human Resources. Release: 26C. Enhance **Employment Information** and **Team Insights** AI Agents with a document tool and deep-link business object support. Improves guided access to employment information
**Document Tool for Employment Information and Team Insights Agents**
The</t>
        </is>
      </c>
      <c r="E173" t="inlineStr">
        <is>
          <t>Human Resources</t>
        </is>
      </c>
      <c r="F173" t="inlineStr">
        <is>
          <t>AI Feature</t>
        </is>
      </c>
      <c r="G173" t="inlineStr">
        <is>
          <t>AI Feature</t>
        </is>
      </c>
      <c r="H173" t="inlineStr"/>
      <c r="I173" t="inlineStr"/>
      <c r="J173" t="inlineStr">
        <is>
          <t>Human Resources</t>
        </is>
      </c>
      <c r="K173" t="inlineStr">
        <is>
          <t>N</t>
        </is>
      </c>
      <c r="L173" t="inlineStr">
        <is>
          <t>Y</t>
        </is>
      </c>
      <c r="M173" t="inlineStr">
        <is>
          <t>N</t>
        </is>
      </c>
      <c r="N173" t="inlineStr">
        <is>
          <t>Action type: Steps to Enable. • Your environment must have certain necessary configurations. Ask your help desk to contact Oracle Support, who</t>
        </is>
      </c>
      <c r="O173" t="inlineStr">
        <is>
          <t>Critical</t>
        </is>
      </c>
      <c r="P173" t="inlineStr">
        <is>
          <t>2025-06-20</t>
        </is>
      </c>
      <c r="Q173" t="inlineStr">
        <is>
          <t>Oracle Fusion 26C Readiness — Human Resources</t>
        </is>
      </c>
      <c r="R173" t="inlineStr"/>
    </row>
    <row r="174">
      <c r="A174" t="inlineStr">
        <is>
          <t>CHG_IMP_0149</t>
        </is>
      </c>
      <c r="B174" t="inlineStr">
        <is>
          <t>REL_26C</t>
        </is>
      </c>
      <c r="C174" t="inlineStr">
        <is>
          <t>Enhanced Context Display for Redwood Additional Person Info</t>
        </is>
      </c>
      <c r="D174" t="inlineStr">
        <is>
          <t>Enhanced Context Display for Redwood Additional Person Info. Module: Human Resources. Release: 26C. The Redwood**Additional Person Info** component now supports the option to display only one context at a time for Info Groups with multiple contexts. Previously, all contexts in an Info Group were shown sequentially. With this enhancement, when enabled, a new **Additional Info Context** list of valu</t>
        </is>
      </c>
      <c r="E174" t="inlineStr">
        <is>
          <t>Human Resources</t>
        </is>
      </c>
      <c r="F174" t="inlineStr">
        <is>
          <t>Functional</t>
        </is>
      </c>
      <c r="G174" t="inlineStr">
        <is>
          <t>Functional</t>
        </is>
      </c>
      <c r="H174" t="inlineStr"/>
      <c r="I174" t="inlineStr"/>
      <c r="J174" t="inlineStr">
        <is>
          <t>Human Resources</t>
        </is>
      </c>
      <c r="K174" t="inlineStr">
        <is>
          <t>N</t>
        </is>
      </c>
      <c r="L174" t="inlineStr">
        <is>
          <t>Y</t>
        </is>
      </c>
      <c r="M174" t="inlineStr">
        <is>
          <t>N</t>
        </is>
      </c>
      <c r="N174" t="inlineStr">
        <is>
          <t>Action type: Steps to Enable. The new profile option **ORA_PER_ENABLE_PERSON_EFF_INFO_GROUP_CONTEXT_LOV** controls the display of the contexts for an Info Group. For more information about th</t>
        </is>
      </c>
      <c r="O174" t="inlineStr">
        <is>
          <t>Critical</t>
        </is>
      </c>
      <c r="P174" t="inlineStr">
        <is>
          <t>2025-06-20</t>
        </is>
      </c>
      <c r="Q174" t="inlineStr">
        <is>
          <t>Oracle Fusion 26C Readiness — Human Resources</t>
        </is>
      </c>
      <c r="R174" t="inlineStr"/>
    </row>
    <row r="175">
      <c r="A175" t="inlineStr">
        <is>
          <t>CHG_IMP_0150</t>
        </is>
      </c>
      <c r="B175" t="inlineStr">
        <is>
          <t>REL_26C</t>
        </is>
      </c>
      <c r="C175" t="inlineStr">
        <is>
          <t>Enhanced Journey Template Security with Data Roles</t>
        </is>
      </c>
      <c r="D175" t="inlineStr">
        <is>
          <t>Enhanced Journey Template Security with Data Roles. Module: Human Resources. Release: 26C. The enhanced journey template security now uses the `rolesLOV` REST resource to display existing roles when you configure journey template security. The Role list returns assignable roles only, and the available role types include job, abstract, and data roles. This makes role selection more focused</t>
        </is>
      </c>
      <c r="E175" t="inlineStr">
        <is>
          <t>Human Resources</t>
        </is>
      </c>
      <c r="F175" t="inlineStr">
        <is>
          <t>Functional</t>
        </is>
      </c>
      <c r="G175" t="inlineStr">
        <is>
          <t>Functional</t>
        </is>
      </c>
      <c r="H175" t="inlineStr"/>
      <c r="I175" t="inlineStr"/>
      <c r="J175" t="inlineStr">
        <is>
          <t>Human Resources</t>
        </is>
      </c>
      <c r="K175" t="inlineStr">
        <is>
          <t>N</t>
        </is>
      </c>
      <c r="L175" t="inlineStr">
        <is>
          <t>N</t>
        </is>
      </c>
      <c r="M175" t="inlineStr">
        <is>
          <t>N</t>
        </is>
      </c>
      <c r="N175" t="inlineStr">
        <is>
          <t>Auto-enabled — no action required</t>
        </is>
      </c>
      <c r="O175" t="inlineStr">
        <is>
          <t>Low</t>
        </is>
      </c>
      <c r="P175" t="inlineStr">
        <is>
          <t>2025-06-20</t>
        </is>
      </c>
      <c r="Q175" t="inlineStr">
        <is>
          <t>Oracle Fusion 26C Readiness — Human Resources</t>
        </is>
      </c>
      <c r="R175" t="inlineStr"/>
    </row>
    <row r="176">
      <c r="A176" t="inlineStr">
        <is>
          <t>CHG_IMP_0151</t>
        </is>
      </c>
      <c r="B176" t="inlineStr">
        <is>
          <t>REL_26C</t>
        </is>
      </c>
      <c r="C176" t="inlineStr">
        <is>
          <t>Enhanced Key Flexfield Display in Employment Processes</t>
        </is>
      </c>
      <c r="D176" t="inlineStr">
        <is>
          <t>Enhanced Key Flexfield Display in Employment Processes. Module: Human Resources. Release: 26C. The Employment Info and Employment Details pages now use the standard key flexfield component for People Group and Default Expense Account information. This provides a more consistent Redwood experience for key flexfield values and enables users to view combination details for these attributes.
Peo</t>
        </is>
      </c>
      <c r="E176" t="inlineStr">
        <is>
          <t>Human Resources</t>
        </is>
      </c>
      <c r="F176" t="inlineStr">
        <is>
          <t>Functional</t>
        </is>
      </c>
      <c r="G176" t="inlineStr">
        <is>
          <t>Functional</t>
        </is>
      </c>
      <c r="H176" t="inlineStr"/>
      <c r="I176" t="inlineStr"/>
      <c r="J176" t="inlineStr">
        <is>
          <t>Human Resources</t>
        </is>
      </c>
      <c r="K176" t="inlineStr">
        <is>
          <t>N</t>
        </is>
      </c>
      <c r="L176" t="inlineStr">
        <is>
          <t>N</t>
        </is>
      </c>
      <c r="M176" t="inlineStr">
        <is>
          <t>N</t>
        </is>
      </c>
      <c r="N176" t="inlineStr">
        <is>
          <t>Auto-enabled — no action required</t>
        </is>
      </c>
      <c r="O176" t="inlineStr">
        <is>
          <t>Low</t>
        </is>
      </c>
      <c r="P176" t="inlineStr">
        <is>
          <t>2025-06-20</t>
        </is>
      </c>
      <c r="Q176" t="inlineStr">
        <is>
          <t>Oracle Fusion 26C Readiness — Human Resources</t>
        </is>
      </c>
      <c r="R176" t="inlineStr"/>
    </row>
    <row r="177">
      <c r="A177" t="inlineStr">
        <is>
          <t>CHG_IMP_0152</t>
        </is>
      </c>
      <c r="B177" t="inlineStr">
        <is>
          <t>REL_26C</t>
        </is>
      </c>
      <c r="C177" t="inlineStr">
        <is>
          <t>Enhanced View of Document Record Attachments</t>
        </is>
      </c>
      <c r="D177" t="inlineStr">
        <is>
          <t>Enhanced View of Document Record Attachments. Module: Human Resources. Release: 26C. You can now view attachments associated with a document record directly by selecting the attachment count hyperlink. Clicking the attachment count opens the associated attachments in a side panel, allowing you to review document record attachments without navigating away from the document record pag</t>
        </is>
      </c>
      <c r="E177" t="inlineStr">
        <is>
          <t>Human Resources</t>
        </is>
      </c>
      <c r="F177" t="inlineStr">
        <is>
          <t>Functional</t>
        </is>
      </c>
      <c r="G177" t="inlineStr">
        <is>
          <t>Functional</t>
        </is>
      </c>
      <c r="H177" t="inlineStr"/>
      <c r="I177" t="inlineStr"/>
      <c r="J177" t="inlineStr">
        <is>
          <t>Human Resources</t>
        </is>
      </c>
      <c r="K177" t="inlineStr">
        <is>
          <t>N</t>
        </is>
      </c>
      <c r="L177" t="inlineStr">
        <is>
          <t>N</t>
        </is>
      </c>
      <c r="M177" t="inlineStr">
        <is>
          <t>N</t>
        </is>
      </c>
      <c r="N177" t="inlineStr">
        <is>
          <t>Auto-enabled — no action required</t>
        </is>
      </c>
      <c r="O177" t="inlineStr">
        <is>
          <t>Low</t>
        </is>
      </c>
      <c r="P177" t="inlineStr">
        <is>
          <t>2025-06-20</t>
        </is>
      </c>
      <c r="Q177" t="inlineStr">
        <is>
          <t>Oracle Fusion 26C Readiness — Human Resources</t>
        </is>
      </c>
      <c r="R177" t="inlineStr"/>
    </row>
    <row r="178">
      <c r="A178" t="inlineStr">
        <is>
          <t>CHG_IMP_0153</t>
        </is>
      </c>
      <c r="B178" t="inlineStr">
        <is>
          <t>REL_26C</t>
        </is>
      </c>
      <c r="C178" t="inlineStr">
        <is>
          <t>Extract Data from Attachments to Prefill Document Record Attributes with AI Assistance</t>
        </is>
      </c>
      <c r="D178" t="inlineStr">
        <is>
          <t>Extract Data from Attachments to Prefill Document Record Attributes with AI Assistance. Module: Human Resources. Release: 26C. This enhancement allows you to upload a file as an attachment on the Redwood Document Records page and automatically extract values for standard document record attributes. This removes the need for most of the manual data entry when creating new document records.
The fol</t>
        </is>
      </c>
      <c r="E178" t="inlineStr">
        <is>
          <t>Human Resources</t>
        </is>
      </c>
      <c r="F178" t="inlineStr">
        <is>
          <t>Functional</t>
        </is>
      </c>
      <c r="G178" t="inlineStr">
        <is>
          <t>Functional</t>
        </is>
      </c>
      <c r="H178" t="inlineStr"/>
      <c r="I178" t="inlineStr"/>
      <c r="J178" t="inlineStr">
        <is>
          <t>Human Resources</t>
        </is>
      </c>
      <c r="K178" t="inlineStr">
        <is>
          <t>N</t>
        </is>
      </c>
      <c r="L178" t="inlineStr">
        <is>
          <t>Y</t>
        </is>
      </c>
      <c r="M178" t="inlineStr">
        <is>
          <t>N</t>
        </is>
      </c>
      <c r="N178" t="inlineStr">
        <is>
          <t>Action type: Steps to Enable. • For more information, see this topic: How do I control the display of a UI element in Visual Builder Studio? • For information about</t>
        </is>
      </c>
      <c r="O178" t="inlineStr">
        <is>
          <t>Critical</t>
        </is>
      </c>
      <c r="P178" t="inlineStr">
        <is>
          <t>2025-06-20</t>
        </is>
      </c>
      <c r="Q178" t="inlineStr">
        <is>
          <t>Oracle Fusion 26C Readiness — Human Resources</t>
        </is>
      </c>
      <c r="R178" t="inlineStr"/>
    </row>
    <row r="179">
      <c r="A179" t="inlineStr">
        <is>
          <t>CHG_IMP_0154</t>
        </is>
      </c>
      <c r="B179" t="inlineStr">
        <is>
          <t>REL_26C</t>
        </is>
      </c>
      <c r="C179" t="inlineStr">
        <is>
          <t>Filter Collective Agreement Grades by Selected Collective Agreement</t>
        </is>
      </c>
      <c r="D179" t="inlineStr">
        <is>
          <t>Filter Collective Agreement Grades by Selected Collective Agreement. Module: Human Resources. Release: 26C. The Collective Agreements page now includes a France Collective Agreement Information section where you can associate grades with a collective agreement. In hire and assignment flows, the Collective Agreement Grade field now shows only the grades linked to the collective agreement you select</t>
        </is>
      </c>
      <c r="E179" t="inlineStr">
        <is>
          <t>Human Resources</t>
        </is>
      </c>
      <c r="F179" t="inlineStr">
        <is>
          <t>Functional</t>
        </is>
      </c>
      <c r="G179" t="inlineStr">
        <is>
          <t>Functional</t>
        </is>
      </c>
      <c r="H179" t="inlineStr"/>
      <c r="I179" t="inlineStr"/>
      <c r="J179" t="inlineStr">
        <is>
          <t>Human Resources</t>
        </is>
      </c>
      <c r="K179" t="inlineStr">
        <is>
          <t>N</t>
        </is>
      </c>
      <c r="L179" t="inlineStr">
        <is>
          <t>Y</t>
        </is>
      </c>
      <c r="M179" t="inlineStr">
        <is>
          <t>N</t>
        </is>
      </c>
      <c r="N179" t="inlineStr">
        <is>
          <t xml:space="preserve">Action type: Steps to Enable. • 1. Navigate to task Manage Common Lookups 2. Select lookup ORA_HRX_FR_CAGR_GRADE 3. Add all the values of collective agreement grade applicable to the </t>
        </is>
      </c>
      <c r="O179" t="inlineStr">
        <is>
          <t>Critical</t>
        </is>
      </c>
      <c r="P179" t="inlineStr">
        <is>
          <t>2025-06-20</t>
        </is>
      </c>
      <c r="Q179" t="inlineStr">
        <is>
          <t>Oracle Fusion 26C Readiness — Human Resources</t>
        </is>
      </c>
      <c r="R179" t="inlineStr"/>
    </row>
    <row r="180">
      <c r="A180" t="inlineStr">
        <is>
          <t>CHG_IMP_0155</t>
        </is>
      </c>
      <c r="B180" t="inlineStr">
        <is>
          <t>REL_26C</t>
        </is>
      </c>
      <c r="C180" t="inlineStr">
        <is>
          <t>Introducing HCM Professional Activity Center</t>
        </is>
      </c>
      <c r="D180" t="inlineStr">
        <is>
          <t>Introducing HCM Professional Activity Center. Module: Human Resources. Release: 26C. The HCM Professional Activity Center provides a Redwood experience that helps HR users quickly review information about the people they support and perform HR actions for them.
**Access**
• You can navigate to HCM Professional Activity Center using the quick action under **My Client Groups &gt; Show</t>
        </is>
      </c>
      <c r="E180" t="inlineStr">
        <is>
          <t>Human Resources</t>
        </is>
      </c>
      <c r="F180" t="inlineStr">
        <is>
          <t>Functional</t>
        </is>
      </c>
      <c r="G180" t="inlineStr">
        <is>
          <t>Functional</t>
        </is>
      </c>
      <c r="H180" t="inlineStr"/>
      <c r="I180" t="inlineStr"/>
      <c r="J180" t="inlineStr">
        <is>
          <t>Human Resources</t>
        </is>
      </c>
      <c r="K180" t="inlineStr">
        <is>
          <t>N</t>
        </is>
      </c>
      <c r="L180" t="inlineStr">
        <is>
          <t>Y</t>
        </is>
      </c>
      <c r="M180" t="inlineStr">
        <is>
          <t>N</t>
        </is>
      </c>
      <c r="N180" t="inlineStr">
        <is>
          <t xml:space="preserve">Action type: Steps to Enable. Ensure that the search indexes are built and refreshed. For details, see the topic, Oracle Search for Workers List of Values, in Oracle Help Center. Apart from this, the </t>
        </is>
      </c>
      <c r="O180" t="inlineStr">
        <is>
          <t>Critical</t>
        </is>
      </c>
      <c r="P180" t="inlineStr">
        <is>
          <t>2025-06-20</t>
        </is>
      </c>
      <c r="Q180" t="inlineStr">
        <is>
          <t>Oracle Fusion 26C Readiness — Human Resources</t>
        </is>
      </c>
      <c r="R180" t="inlineStr"/>
    </row>
    <row r="181">
      <c r="A181" t="inlineStr">
        <is>
          <t>CHG_IMP_0156</t>
        </is>
      </c>
      <c r="B181" t="inlineStr">
        <is>
          <t>REL_26C</t>
        </is>
      </c>
      <c r="C181" t="inlineStr">
        <is>
          <t>Manage Jobs with AI Assistance</t>
        </is>
      </c>
      <c r="D181" t="inlineStr">
        <is>
          <t>Manage Jobs with AI Assistance. Module: Human Resources. Release: 26C. In continuation of the Jobs Assistant (Supervisor Agent) introduced in Release 26B (Manage Jobs with AI Assistance), we have now delivered an enhanced workflow agent **Jobs Management Assistant**.
**Jobs Management Assistant** is a new, separate workflow agent that extends the job management capabi</t>
        </is>
      </c>
      <c r="E181" t="inlineStr">
        <is>
          <t>Human Resources</t>
        </is>
      </c>
      <c r="F181" t="inlineStr">
        <is>
          <t>Functional</t>
        </is>
      </c>
      <c r="G181" t="inlineStr">
        <is>
          <t>Functional</t>
        </is>
      </c>
      <c r="H181" t="inlineStr"/>
      <c r="I181" t="inlineStr"/>
      <c r="J181" t="inlineStr">
        <is>
          <t>Human Resources</t>
        </is>
      </c>
      <c r="K181" t="inlineStr">
        <is>
          <t>N</t>
        </is>
      </c>
      <c r="L181" t="inlineStr">
        <is>
          <t>Y</t>
        </is>
      </c>
      <c r="M181" t="inlineStr">
        <is>
          <t>N</t>
        </is>
      </c>
      <c r="N181" t="inlineStr">
        <is>
          <t>Action type: Steps to Enable. • Your environment must have certain necessary configurations. Ask your help desk to contact Oracle Support, who can verify what your environment has and address any gaps</t>
        </is>
      </c>
      <c r="O181" t="inlineStr">
        <is>
          <t>Critical</t>
        </is>
      </c>
      <c r="P181" t="inlineStr">
        <is>
          <t>2025-06-20</t>
        </is>
      </c>
      <c r="Q181" t="inlineStr">
        <is>
          <t>Oracle Fusion 26C Readiness — Human Resources</t>
        </is>
      </c>
      <c r="R181" t="inlineStr"/>
    </row>
    <row r="182">
      <c r="A182" t="inlineStr">
        <is>
          <t>CHG_IMP_0157</t>
        </is>
      </c>
      <c r="B182" t="inlineStr">
        <is>
          <t>REL_26C</t>
        </is>
      </c>
      <c r="C182" t="inlineStr">
        <is>
          <t>Manage Positions with AI Assistance</t>
        </is>
      </c>
      <c r="D182" t="inlineStr">
        <is>
          <t>Manage Positions with AI Assistance. Module: Human Resources. Release: 26C. In continuation of the Positions Assistant (Supervisor Agent) introduced in Release 25D (Create New Positions or Reuse Existing Positions with AI Assistance), we have now delivered an enhanced workflow agent **Positions Management Assistant**.
**Positions Management Assistant** is a new, separate w</t>
        </is>
      </c>
      <c r="E182" t="inlineStr">
        <is>
          <t>Human Resources</t>
        </is>
      </c>
      <c r="F182" t="inlineStr">
        <is>
          <t>Functional</t>
        </is>
      </c>
      <c r="G182" t="inlineStr">
        <is>
          <t>Functional</t>
        </is>
      </c>
      <c r="H182" t="inlineStr"/>
      <c r="I182" t="inlineStr"/>
      <c r="J182" t="inlineStr">
        <is>
          <t>Human Resources</t>
        </is>
      </c>
      <c r="K182" t="inlineStr">
        <is>
          <t>N</t>
        </is>
      </c>
      <c r="L182" t="inlineStr">
        <is>
          <t>Y</t>
        </is>
      </c>
      <c r="M182" t="inlineStr">
        <is>
          <t>N</t>
        </is>
      </c>
      <c r="N182" t="inlineStr">
        <is>
          <t>Action type: Steps to Enable. • Your environment must have certain necessary configurations. Ask your help desk to contact Oracle Support, who can verify what your environment has and address any gaps</t>
        </is>
      </c>
      <c r="O182" t="inlineStr">
        <is>
          <t>Critical</t>
        </is>
      </c>
      <c r="P182" t="inlineStr">
        <is>
          <t>2025-06-20</t>
        </is>
      </c>
      <c r="Q182" t="inlineStr">
        <is>
          <t>Oracle Fusion 26C Readiness — Human Resources</t>
        </is>
      </c>
      <c r="R182" t="inlineStr"/>
    </row>
    <row r="183">
      <c r="A183" t="inlineStr">
        <is>
          <t>CHG_IMP_0158</t>
        </is>
      </c>
      <c r="B183" t="inlineStr">
        <is>
          <t>REL_26C</t>
        </is>
      </c>
      <c r="C183" t="inlineStr">
        <is>
          <t>New Redwood Work Relationship Info Page</t>
        </is>
      </c>
      <c r="D183" t="inlineStr">
        <is>
          <t>New Redwood Work Relationship Info Page. Module: Human Resources. Release: 26C. A new Redwood page, Work Relationship Info, is now available for reviewing key work relationship information for a selected worker. The page includes a worker header, start date and primary information, work relationship information and related work relationship attributes.
Users can review the inf</t>
        </is>
      </c>
      <c r="E183" t="inlineStr">
        <is>
          <t>Human Resources</t>
        </is>
      </c>
      <c r="F183" t="inlineStr">
        <is>
          <t>Functional</t>
        </is>
      </c>
      <c r="G183" t="inlineStr">
        <is>
          <t>Functional</t>
        </is>
      </c>
      <c r="H183" t="inlineStr"/>
      <c r="I183" t="inlineStr"/>
      <c r="J183" t="inlineStr">
        <is>
          <t>Human Resources</t>
        </is>
      </c>
      <c r="K183" t="inlineStr">
        <is>
          <t>N</t>
        </is>
      </c>
      <c r="L183" t="inlineStr">
        <is>
          <t>N</t>
        </is>
      </c>
      <c r="M183" t="inlineStr">
        <is>
          <t>N</t>
        </is>
      </c>
      <c r="N183" t="inlineStr">
        <is>
          <t>Auto-enabled — no action required</t>
        </is>
      </c>
      <c r="O183" t="inlineStr">
        <is>
          <t>Low</t>
        </is>
      </c>
      <c r="P183" t="inlineStr">
        <is>
          <t>2025-06-20</t>
        </is>
      </c>
      <c r="Q183" t="inlineStr">
        <is>
          <t>Oracle Fusion 26C Readiness — Human Resources</t>
        </is>
      </c>
      <c r="R183" t="inlineStr"/>
    </row>
    <row r="184">
      <c r="A184" t="inlineStr">
        <is>
          <t>CHG_IMP_0159</t>
        </is>
      </c>
      <c r="B184" t="inlineStr">
        <is>
          <t>REL_26C</t>
        </is>
      </c>
      <c r="C184" t="inlineStr">
        <is>
          <t>Nudge Notifications Available in Worklist Bell Notifications</t>
        </is>
      </c>
      <c r="D184" t="inlineStr">
        <is>
          <t xml:space="preserve">Nudge Notifications Available in Worklist Bell Notifications. Module: Human Resources. Release: 26C. You can now configure Worklist as a channel to receive nudge notifications in the Worklist under the bell icon, allowing users to view nudges alongside other application notifications. When a nudge is triggered, it appears in the bell notifications panel, ensuring users can easily access important </t>
        </is>
      </c>
      <c r="E184" t="inlineStr">
        <is>
          <t>Human Resources</t>
        </is>
      </c>
      <c r="F184" t="inlineStr">
        <is>
          <t>Functional</t>
        </is>
      </c>
      <c r="G184" t="inlineStr">
        <is>
          <t>Functional</t>
        </is>
      </c>
      <c r="H184" t="inlineStr"/>
      <c r="I184" t="inlineStr"/>
      <c r="J184" t="inlineStr">
        <is>
          <t>Human Resources</t>
        </is>
      </c>
      <c r="K184" t="inlineStr">
        <is>
          <t>N</t>
        </is>
      </c>
      <c r="L184" t="inlineStr">
        <is>
          <t>N</t>
        </is>
      </c>
      <c r="M184" t="inlineStr">
        <is>
          <t>N</t>
        </is>
      </c>
      <c r="N184" t="inlineStr">
        <is>
          <t>Auto-enabled — no action required</t>
        </is>
      </c>
      <c r="O184" t="inlineStr">
        <is>
          <t>Low</t>
        </is>
      </c>
      <c r="P184" t="inlineStr">
        <is>
          <t>2025-06-20</t>
        </is>
      </c>
      <c r="Q184" t="inlineStr">
        <is>
          <t>Oracle Fusion 26C Readiness — Human Resources</t>
        </is>
      </c>
      <c r="R184" t="inlineStr"/>
    </row>
    <row r="185">
      <c r="A185" t="inlineStr">
        <is>
          <t>CHG_IMP_0160</t>
        </is>
      </c>
      <c r="B185" t="inlineStr">
        <is>
          <t>REL_26C</t>
        </is>
      </c>
      <c r="C185" t="inlineStr">
        <is>
          <t>Onboard New Hires with AI Assistance</t>
        </is>
      </c>
      <c r="D185" t="inlineStr">
        <is>
          <t>Onboard New Hires with AI Assistance. Module: Human Resources. Release: 26C. In continuation of the Onboard New Hires with AI Assistance (Supervisor Agent) introduced in Release 25D, we have now delivered an enhanced **workflow**agent **Onboard Assistant**. This workflow agent includes all the capabilities of the existing Release 25D Onboarding Assistant supervisor agent and</t>
        </is>
      </c>
      <c r="E185" t="inlineStr">
        <is>
          <t>Human Resources</t>
        </is>
      </c>
      <c r="F185" t="inlineStr">
        <is>
          <t>Functional</t>
        </is>
      </c>
      <c r="G185" t="inlineStr">
        <is>
          <t>Functional</t>
        </is>
      </c>
      <c r="H185" t="inlineStr"/>
      <c r="I185" t="inlineStr"/>
      <c r="J185" t="inlineStr">
        <is>
          <t>Human Resources</t>
        </is>
      </c>
      <c r="K185" t="inlineStr">
        <is>
          <t>N</t>
        </is>
      </c>
      <c r="L185" t="inlineStr">
        <is>
          <t>Y</t>
        </is>
      </c>
      <c r="M185" t="inlineStr">
        <is>
          <t>N</t>
        </is>
      </c>
      <c r="N185" t="inlineStr">
        <is>
          <t>Action type: Steps to Enable. • Your environment must have certain necessary configurations. Ask your help desk to contact Oracle Support, who can verify what your environment has and address any gaps</t>
        </is>
      </c>
      <c r="O185" t="inlineStr">
        <is>
          <t>Critical</t>
        </is>
      </c>
      <c r="P185" t="inlineStr">
        <is>
          <t>2025-06-20</t>
        </is>
      </c>
      <c r="Q185" t="inlineStr">
        <is>
          <t>Oracle Fusion 26C Readiness — Human Resources</t>
        </is>
      </c>
      <c r="R185" t="inlineStr"/>
    </row>
    <row r="186">
      <c r="A186" t="inlineStr">
        <is>
          <t>CHG_IMP_0161</t>
        </is>
      </c>
      <c r="B186" t="inlineStr">
        <is>
          <t>REL_26C</t>
        </is>
      </c>
      <c r="C186" t="inlineStr">
        <is>
          <t>Option to Show Error when Inactivating Positions with Children</t>
        </is>
      </c>
      <c r="D186" t="inlineStr">
        <is>
          <t>Option to Show Error when Inactivating Positions with Children. Module: Human Resources. Release: 26C. We have introduced a new profile option that enables you to show an error message when a user tries to inactivate a position having one or more active child positions currently or in the future.
Earlier, a warning was shown in this scenario. The user had the option to ignore the warning and inac</t>
        </is>
      </c>
      <c r="E186" t="inlineStr">
        <is>
          <t>Human Resources</t>
        </is>
      </c>
      <c r="F186" t="inlineStr">
        <is>
          <t>Functional</t>
        </is>
      </c>
      <c r="G186" t="inlineStr">
        <is>
          <t>Functional</t>
        </is>
      </c>
      <c r="H186" t="inlineStr"/>
      <c r="I186" t="inlineStr"/>
      <c r="J186" t="inlineStr">
        <is>
          <t>Human Resources</t>
        </is>
      </c>
      <c r="K186" t="inlineStr">
        <is>
          <t>N</t>
        </is>
      </c>
      <c r="L186" t="inlineStr">
        <is>
          <t>Y</t>
        </is>
      </c>
      <c r="M186" t="inlineStr">
        <is>
          <t>N</t>
        </is>
      </c>
      <c r="N186" t="inlineStr">
        <is>
          <t>Action type: Steps to Enable. To show an error instead of a warning, you need to set the value of the ORA_PER_INACTIVATE_POS_W_CHILD profile option to **Error**. The default value is **War</t>
        </is>
      </c>
      <c r="O186" t="inlineStr">
        <is>
          <t>Critical</t>
        </is>
      </c>
      <c r="P186" t="inlineStr">
        <is>
          <t>2025-06-20</t>
        </is>
      </c>
      <c r="Q186" t="inlineStr">
        <is>
          <t>Oracle Fusion 26C Readiness — Human Resources</t>
        </is>
      </c>
      <c r="R186" t="inlineStr"/>
    </row>
    <row r="187">
      <c r="A187" t="inlineStr">
        <is>
          <t>CHG_IMP_0162</t>
        </is>
      </c>
      <c r="B187" t="inlineStr">
        <is>
          <t>REL_26C</t>
        </is>
      </c>
      <c r="C187" t="inlineStr">
        <is>
          <t>Override Display Properties for Programmatically Shown Redwood Employment Process Sections</t>
        </is>
      </c>
      <c r="D187" t="inlineStr">
        <is>
          <t xml:space="preserve">Override Display Properties for Programmatically Shown Redwood Employment Process Sections. Module: Human Resources. Release: 26C. Display properties for Redwood Employment Processes can now be overridden for sections that are shown programmatically, such as Contracts. The following table lists the page properties that can be configured, along with their classifications, labels, descriptions, and </t>
        </is>
      </c>
      <c r="E187" t="inlineStr">
        <is>
          <t>Human Resources</t>
        </is>
      </c>
      <c r="F187" t="inlineStr">
        <is>
          <t>Functional</t>
        </is>
      </c>
      <c r="G187" t="inlineStr">
        <is>
          <t>Functional</t>
        </is>
      </c>
      <c r="H187" t="inlineStr"/>
      <c r="I187" t="inlineStr"/>
      <c r="J187" t="inlineStr">
        <is>
          <t>Human Resources</t>
        </is>
      </c>
      <c r="K187" t="inlineStr">
        <is>
          <t>N</t>
        </is>
      </c>
      <c r="L187" t="inlineStr">
        <is>
          <t>Y</t>
        </is>
      </c>
      <c r="M187" t="inlineStr">
        <is>
          <t>N</t>
        </is>
      </c>
      <c r="N187" t="inlineStr">
        <is>
          <t>Action type: Steps to Enable. You need to set the *above*page properties to an appropriate value to change the default behavior.</t>
        </is>
      </c>
      <c r="O187" t="inlineStr">
        <is>
          <t>Critical</t>
        </is>
      </c>
      <c r="P187" t="inlineStr">
        <is>
          <t>2025-06-20</t>
        </is>
      </c>
      <c r="Q187" t="inlineStr">
        <is>
          <t>Oracle Fusion 26C Readiness — Human Resources</t>
        </is>
      </c>
      <c r="R187" t="inlineStr"/>
    </row>
    <row r="188">
      <c r="A188" t="inlineStr">
        <is>
          <t>CHG_IMP_0163</t>
        </is>
      </c>
      <c r="B188" t="inlineStr">
        <is>
          <t>REL_26C</t>
        </is>
      </c>
      <c r="C188" t="inlineStr">
        <is>
          <t>Perform a Baseline Extraction of Global Payroll Interface V2</t>
        </is>
      </c>
      <c r="D188" t="inlineStr">
        <is>
          <t>Perform a Baseline Extraction of Global Payroll Interface V2. Module: Human Resources. Release: 26C. Perform a baseline extraction for Global Payroll Interface V2 to ensure that a full file doesn't get extracted after uptaking this update.
Route changes have been delivered to relax time periods join at the 3rd level (to avoid employees getting picked up even if no time periods are present). Furth</t>
        </is>
      </c>
      <c r="E188" t="inlineStr">
        <is>
          <t>Human Resources</t>
        </is>
      </c>
      <c r="F188" t="inlineStr">
        <is>
          <t>Functional</t>
        </is>
      </c>
      <c r="G188" t="inlineStr">
        <is>
          <t>Functional</t>
        </is>
      </c>
      <c r="H188" t="inlineStr"/>
      <c r="I188" t="inlineStr"/>
      <c r="J188" t="inlineStr">
        <is>
          <t>Human Resources</t>
        </is>
      </c>
      <c r="K188" t="inlineStr">
        <is>
          <t>N</t>
        </is>
      </c>
      <c r="L188" t="inlineStr">
        <is>
          <t>N</t>
        </is>
      </c>
      <c r="M188" t="inlineStr">
        <is>
          <t>N</t>
        </is>
      </c>
      <c r="N188" t="inlineStr">
        <is>
          <t>Auto-enabled — no action required</t>
        </is>
      </c>
      <c r="O188" t="inlineStr">
        <is>
          <t>Low</t>
        </is>
      </c>
      <c r="P188" t="inlineStr">
        <is>
          <t>2025-06-20</t>
        </is>
      </c>
      <c r="Q188" t="inlineStr">
        <is>
          <t>Oracle Fusion 26C Readiness — Human Resources</t>
        </is>
      </c>
      <c r="R188" t="inlineStr"/>
    </row>
    <row r="189">
      <c r="A189" t="inlineStr">
        <is>
          <t>CHG_IMP_0164</t>
        </is>
      </c>
      <c r="B189" t="inlineStr">
        <is>
          <t>REL_26C</t>
        </is>
      </c>
      <c r="C189" t="inlineStr">
        <is>
          <t>Perform a Baseline Extraction of Payroll Interface for ADP Global Payroll</t>
        </is>
      </c>
      <c r="D189" t="inlineStr">
        <is>
          <t>Perform a Baseline Extraction of Payroll Interface for ADP Global Payroll. Module: Human Resources. Release: 26C. Perform a baseline extraction for Payroll Interface for ADP Global Payroll to ensure that a full file doesn't get extracted after uptaking this update.
Route changes have been delivered to relax time periods join at the 3rd level (to avoid employees getting picked up even if no time p</t>
        </is>
      </c>
      <c r="E189" t="inlineStr">
        <is>
          <t>Human Resources</t>
        </is>
      </c>
      <c r="F189" t="inlineStr">
        <is>
          <t>Functional</t>
        </is>
      </c>
      <c r="G189" t="inlineStr">
        <is>
          <t>Functional</t>
        </is>
      </c>
      <c r="H189" t="inlineStr"/>
      <c r="I189" t="inlineStr"/>
      <c r="J189" t="inlineStr">
        <is>
          <t>Human Resources</t>
        </is>
      </c>
      <c r="K189" t="inlineStr">
        <is>
          <t>N</t>
        </is>
      </c>
      <c r="L189" t="inlineStr">
        <is>
          <t>N</t>
        </is>
      </c>
      <c r="M189" t="inlineStr">
        <is>
          <t>N</t>
        </is>
      </c>
      <c r="N189" t="inlineStr">
        <is>
          <t>Auto-enabled — no action required</t>
        </is>
      </c>
      <c r="O189" t="inlineStr">
        <is>
          <t>Low</t>
        </is>
      </c>
      <c r="P189" t="inlineStr">
        <is>
          <t>2025-06-20</t>
        </is>
      </c>
      <c r="Q189" t="inlineStr">
        <is>
          <t>Oracle Fusion 26C Readiness — Human Resources</t>
        </is>
      </c>
      <c r="R189" t="inlineStr"/>
    </row>
    <row r="190">
      <c r="A190" t="inlineStr">
        <is>
          <t>CHG_IMP_0165</t>
        </is>
      </c>
      <c r="B190" t="inlineStr">
        <is>
          <t>REL_26C</t>
        </is>
      </c>
      <c r="C190" t="inlineStr">
        <is>
          <t>Perform a Baseline Extraction of Payroll Interface for ADP Workforce Now</t>
        </is>
      </c>
      <c r="D190" t="inlineStr">
        <is>
          <t>Perform a Baseline Extraction of Payroll Interface for ADP Workforce Now. Module: Human Resources. Release: 26C. Perform a baseline extraction for Payroll Interface for ADP Workforce Now to ensure that a full file doesn't get extracted after uptaking this update.
Route changes have been delivered to relax time periods join at the 3rd level (to avoid employees getting picked up even if no time per</t>
        </is>
      </c>
      <c r="E190" t="inlineStr">
        <is>
          <t>Human Resources</t>
        </is>
      </c>
      <c r="F190" t="inlineStr">
        <is>
          <t>Functional</t>
        </is>
      </c>
      <c r="G190" t="inlineStr">
        <is>
          <t>Functional</t>
        </is>
      </c>
      <c r="H190" t="inlineStr"/>
      <c r="I190" t="inlineStr"/>
      <c r="J190" t="inlineStr">
        <is>
          <t>Human Resources</t>
        </is>
      </c>
      <c r="K190" t="inlineStr">
        <is>
          <t>N</t>
        </is>
      </c>
      <c r="L190" t="inlineStr">
        <is>
          <t>N</t>
        </is>
      </c>
      <c r="M190" t="inlineStr">
        <is>
          <t>N</t>
        </is>
      </c>
      <c r="N190" t="inlineStr">
        <is>
          <t>Auto-enabled — no action required</t>
        </is>
      </c>
      <c r="O190" t="inlineStr">
        <is>
          <t>Low</t>
        </is>
      </c>
      <c r="P190" t="inlineStr">
        <is>
          <t>2025-06-20</t>
        </is>
      </c>
      <c r="Q190" t="inlineStr">
        <is>
          <t>Oracle Fusion 26C Readiness — Human Resources</t>
        </is>
      </c>
      <c r="R190" t="inlineStr"/>
    </row>
    <row r="191">
      <c r="A191" t="inlineStr">
        <is>
          <t>CHG_IMP_0166</t>
        </is>
      </c>
      <c r="B191" t="inlineStr">
        <is>
          <t>REL_26C</t>
        </is>
      </c>
      <c r="C191" t="inlineStr">
        <is>
          <t>Perform a Baseline Extraction of Payroll Interface for ADP Workforce Now V2</t>
        </is>
      </c>
      <c r="D191" t="inlineStr">
        <is>
          <t>Perform a Baseline Extraction of Payroll Interface for ADP Workforce Now V2. Module: Human Resources. Release: 26C. Perform a baseline extraction for Payroll Interface for ADP Workforce Now V2 to ensure that a full file doesn't get extracted after uptaking this update.
Route changes have been delivered to to report the state tax code together with the SOC code. That is, whenever an SOC code is re</t>
        </is>
      </c>
      <c r="E191" t="inlineStr">
        <is>
          <t>Human Resources</t>
        </is>
      </c>
      <c r="F191" t="inlineStr">
        <is>
          <t>Functional</t>
        </is>
      </c>
      <c r="G191" t="inlineStr">
        <is>
          <t>Functional</t>
        </is>
      </c>
      <c r="H191" t="inlineStr"/>
      <c r="I191" t="inlineStr"/>
      <c r="J191" t="inlineStr">
        <is>
          <t>Human Resources</t>
        </is>
      </c>
      <c r="K191" t="inlineStr">
        <is>
          <t>N</t>
        </is>
      </c>
      <c r="L191" t="inlineStr">
        <is>
          <t>N</t>
        </is>
      </c>
      <c r="M191" t="inlineStr">
        <is>
          <t>N</t>
        </is>
      </c>
      <c r="N191" t="inlineStr">
        <is>
          <t>Auto-enabled — no action required</t>
        </is>
      </c>
      <c r="O191" t="inlineStr">
        <is>
          <t>Low</t>
        </is>
      </c>
      <c r="P191" t="inlineStr">
        <is>
          <t>2025-06-20</t>
        </is>
      </c>
      <c r="Q191" t="inlineStr">
        <is>
          <t>Oracle Fusion 26C Readiness — Human Resources</t>
        </is>
      </c>
      <c r="R191" t="inlineStr"/>
    </row>
    <row r="192">
      <c r="A192" t="inlineStr">
        <is>
          <t>CHG_IMP_0167</t>
        </is>
      </c>
      <c r="B192" t="inlineStr">
        <is>
          <t>REL_26C</t>
        </is>
      </c>
      <c r="C192" t="inlineStr">
        <is>
          <t>Person Data Assistant Workflow Agent Replacing Personal Information Assistant with Expanded Data Support</t>
        </is>
      </c>
      <c r="D192" t="inlineStr">
        <is>
          <t>Person Data Assistant Workflow Agent Replacing Personal Information Assistant with Expanded Data Support. Module: Human Resources. Release: 26C. The **Person Data Assistant** AI Agent introduces a new workflow-based design, replacing the previous **Personal Information Assistant**as the recommended template for new development. This update improves how person-related information is managed by orga</t>
        </is>
      </c>
      <c r="E192" t="inlineStr">
        <is>
          <t>Human Resources</t>
        </is>
      </c>
      <c r="F192" t="inlineStr">
        <is>
          <t>AI Feature</t>
        </is>
      </c>
      <c r="G192" t="inlineStr">
        <is>
          <t>AI Feature</t>
        </is>
      </c>
      <c r="H192" t="inlineStr"/>
      <c r="I192" t="inlineStr"/>
      <c r="J192" t="inlineStr">
        <is>
          <t>Human Resources</t>
        </is>
      </c>
      <c r="K192" t="inlineStr">
        <is>
          <t>N</t>
        </is>
      </c>
      <c r="L192" t="inlineStr">
        <is>
          <t>Y</t>
        </is>
      </c>
      <c r="M192" t="inlineStr">
        <is>
          <t>N</t>
        </is>
      </c>
      <c r="N192" t="inlineStr">
        <is>
          <t>Action type: Steps to Enable. • Your environment must have certain necessary configurations. Ask your help desk to contact Oracle Support, who can</t>
        </is>
      </c>
      <c r="O192" t="inlineStr">
        <is>
          <t>Critical</t>
        </is>
      </c>
      <c r="P192" t="inlineStr">
        <is>
          <t>2025-06-20</t>
        </is>
      </c>
      <c r="Q192" t="inlineStr">
        <is>
          <t>Oracle Fusion 26C Readiness — Human Resources</t>
        </is>
      </c>
      <c r="R192" t="inlineStr"/>
    </row>
    <row r="193">
      <c r="A193" t="inlineStr">
        <is>
          <t>CHG_IMP_0168</t>
        </is>
      </c>
      <c r="B193" t="inlineStr">
        <is>
          <t>REL_26C</t>
        </is>
      </c>
      <c r="C193" t="inlineStr">
        <is>
          <t>Prepare for Discontinuation of Support for OPA Integration in Journeys from Update 26D</t>
        </is>
      </c>
      <c r="D193" t="inlineStr">
        <is>
          <t>Prepare for Discontinuation of Support for OPA Integration in Journeys from Update 26D. Module: Human Resources. Release: 26C. Oracle announced the end-of-life of Process Automation for Fusion Applications on October 31, 2025. New instance provisioning was disabled with this announcement. The service will reach end-of-life on October 31, 2026. After this date, support for Oracle Process Automation</t>
        </is>
      </c>
      <c r="E193" t="inlineStr">
        <is>
          <t>Human Resources</t>
        </is>
      </c>
      <c r="F193" t="inlineStr">
        <is>
          <t>Functional</t>
        </is>
      </c>
      <c r="G193" t="inlineStr">
        <is>
          <t>Functional</t>
        </is>
      </c>
      <c r="H193" t="inlineStr"/>
      <c r="I193" t="inlineStr"/>
      <c r="J193" t="inlineStr">
        <is>
          <t>Human Resources</t>
        </is>
      </c>
      <c r="K193" t="inlineStr">
        <is>
          <t>N</t>
        </is>
      </c>
      <c r="L193" t="inlineStr">
        <is>
          <t>N</t>
        </is>
      </c>
      <c r="M193" t="inlineStr">
        <is>
          <t>N</t>
        </is>
      </c>
      <c r="N193" t="inlineStr">
        <is>
          <t>Auto-enabled — no action required</t>
        </is>
      </c>
      <c r="O193" t="inlineStr">
        <is>
          <t>Low</t>
        </is>
      </c>
      <c r="P193" t="inlineStr">
        <is>
          <t>2025-06-20</t>
        </is>
      </c>
      <c r="Q193" t="inlineStr">
        <is>
          <t>Oracle Fusion 26C Readiness — Human Resources</t>
        </is>
      </c>
      <c r="R193" t="inlineStr"/>
    </row>
    <row r="194">
      <c r="A194" t="inlineStr">
        <is>
          <t>CHG_IMP_0169</t>
        </is>
      </c>
      <c r="B194" t="inlineStr">
        <is>
          <t>REL_26C</t>
        </is>
      </c>
      <c r="C194" t="inlineStr">
        <is>
          <t>Prevent Redwood Employment Flows During Pending Additional Assignment Info Approvals</t>
        </is>
      </c>
      <c r="D194" t="inlineStr">
        <is>
          <t xml:space="preserve">Prevent Redwood Employment Flows During Pending Additional Assignment Info Approvals. Module: Human Resources. Release: 26C. When an Additional Assignment Info transaction is pending approval then the Redwood flows now follow the same approval-based blocking behavior as the existing Responsive flows. This provides consistent transaction conflict handling across both experiences.
This enhancement </t>
        </is>
      </c>
      <c r="E194" t="inlineStr">
        <is>
          <t>Human Resources</t>
        </is>
      </c>
      <c r="F194" t="inlineStr">
        <is>
          <t>Functional</t>
        </is>
      </c>
      <c r="G194" t="inlineStr">
        <is>
          <t>Functional</t>
        </is>
      </c>
      <c r="H194" t="inlineStr"/>
      <c r="I194" t="inlineStr"/>
      <c r="J194" t="inlineStr">
        <is>
          <t>Human Resources</t>
        </is>
      </c>
      <c r="K194" t="inlineStr">
        <is>
          <t>N</t>
        </is>
      </c>
      <c r="L194" t="inlineStr">
        <is>
          <t>N</t>
        </is>
      </c>
      <c r="M194" t="inlineStr">
        <is>
          <t>N</t>
        </is>
      </c>
      <c r="N194" t="inlineStr">
        <is>
          <t>Auto-enabled — no action required</t>
        </is>
      </c>
      <c r="O194" t="inlineStr">
        <is>
          <t>Low</t>
        </is>
      </c>
      <c r="P194" t="inlineStr">
        <is>
          <t>2025-06-20</t>
        </is>
      </c>
      <c r="Q194" t="inlineStr">
        <is>
          <t>Oracle Fusion 26C Readiness — Human Resources</t>
        </is>
      </c>
      <c r="R194" t="inlineStr"/>
    </row>
    <row r="195">
      <c r="A195" t="inlineStr">
        <is>
          <t>CHG_IMP_0170</t>
        </is>
      </c>
      <c r="B195" t="inlineStr">
        <is>
          <t>REL_26C</t>
        </is>
      </c>
      <c r="C195" t="inlineStr">
        <is>
          <t>Redwood Enabled by Default for Employment Pages in Update 26D</t>
        </is>
      </c>
      <c r="D195" t="inlineStr">
        <is>
          <t>Redwood Enabled by Default for Employment Pages in Update 26D. Module: Human Resources. Release: 26C. Enhance the user experience by letting users directly access the following Redwood-enabled HCM pages where the Redwood profile option is turned on by default in 26D.
This table shows the Redwood pages where the profile options will be enabled by default from updates **26D**onward:
Redwood Page |</t>
        </is>
      </c>
      <c r="E195" t="inlineStr">
        <is>
          <t>Human Resources</t>
        </is>
      </c>
      <c r="F195" t="inlineStr">
        <is>
          <t>Functional</t>
        </is>
      </c>
      <c r="G195" t="inlineStr">
        <is>
          <t>Functional</t>
        </is>
      </c>
      <c r="H195" t="inlineStr"/>
      <c r="I195" t="inlineStr"/>
      <c r="J195" t="inlineStr">
        <is>
          <t>Human Resources</t>
        </is>
      </c>
      <c r="K195" t="inlineStr">
        <is>
          <t>N</t>
        </is>
      </c>
      <c r="L195" t="inlineStr">
        <is>
          <t>N</t>
        </is>
      </c>
      <c r="M195" t="inlineStr">
        <is>
          <t>N</t>
        </is>
      </c>
      <c r="N195" t="inlineStr">
        <is>
          <t>Auto-enabled — no action required</t>
        </is>
      </c>
      <c r="O195" t="inlineStr">
        <is>
          <t>Low</t>
        </is>
      </c>
      <c r="P195" t="inlineStr">
        <is>
          <t>2025-06-20</t>
        </is>
      </c>
      <c r="Q195" t="inlineStr">
        <is>
          <t>Oracle Fusion 26C Readiness — Human Resources</t>
        </is>
      </c>
      <c r="R195" t="inlineStr"/>
    </row>
    <row r="196">
      <c r="A196" t="inlineStr">
        <is>
          <t>CHG_IMP_0171</t>
        </is>
      </c>
      <c r="B196" t="inlineStr">
        <is>
          <t>REL_26C</t>
        </is>
      </c>
      <c r="C196" t="inlineStr">
        <is>
          <t>Redwood Enabled by Default for Employment Pages in Update 27A</t>
        </is>
      </c>
      <c r="D196" t="inlineStr">
        <is>
          <t xml:space="preserve">Redwood Enabled by Default for Employment Pages in Update 27A. Module: Human Resources. Release: 26C. Enhance the user experience by letting users directly access the following Redwood-enabled Employment pages where the Redwood profile option is turned on by default in 27A.
This table shows the Redwood pages where the profile options will be enabled by default from update **27A**onward:
Redwood </t>
        </is>
      </c>
      <c r="E196" t="inlineStr">
        <is>
          <t>Human Resources</t>
        </is>
      </c>
      <c r="F196" t="inlineStr">
        <is>
          <t>Functional</t>
        </is>
      </c>
      <c r="G196" t="inlineStr">
        <is>
          <t>Functional</t>
        </is>
      </c>
      <c r="H196" t="inlineStr"/>
      <c r="I196" t="inlineStr"/>
      <c r="J196" t="inlineStr">
        <is>
          <t>Human Resources</t>
        </is>
      </c>
      <c r="K196" t="inlineStr">
        <is>
          <t>N</t>
        </is>
      </c>
      <c r="L196" t="inlineStr">
        <is>
          <t>N</t>
        </is>
      </c>
      <c r="M196" t="inlineStr">
        <is>
          <t>N</t>
        </is>
      </c>
      <c r="N196" t="inlineStr">
        <is>
          <t>Auto-enabled — no action required</t>
        </is>
      </c>
      <c r="O196" t="inlineStr">
        <is>
          <t>Low</t>
        </is>
      </c>
      <c r="P196" t="inlineStr">
        <is>
          <t>2025-06-20</t>
        </is>
      </c>
      <c r="Q196" t="inlineStr">
        <is>
          <t>Oracle Fusion 26C Readiness — Human Resources</t>
        </is>
      </c>
      <c r="R196" t="inlineStr"/>
    </row>
    <row r="197">
      <c r="A197" t="inlineStr">
        <is>
          <t>CHG_IMP_0172</t>
        </is>
      </c>
      <c r="B197" t="inlineStr">
        <is>
          <t>REL_26C</t>
        </is>
      </c>
      <c r="C197" t="inlineStr">
        <is>
          <t>Redwood Enabled by Default for Person Pages</t>
        </is>
      </c>
      <c r="D197" t="inlineStr">
        <is>
          <t>Redwood Enabled by Default for Person Pages. Module: Human Resources. Release: 26C. Effective from release 26C, the Redwoodperson pages will be enabled by default. These are the impacted pages:
• Personal Details
• Contact Info
• Identification Info
• Family and Emergency Contacts
• Additional Person Info
• Person Identifiers for External Applications
The corresponding responsive Is AI: true. AI</t>
        </is>
      </c>
      <c r="E197" t="inlineStr">
        <is>
          <t>Human Resources</t>
        </is>
      </c>
      <c r="F197" t="inlineStr">
        <is>
          <t>Functional</t>
        </is>
      </c>
      <c r="G197" t="inlineStr">
        <is>
          <t>Functional</t>
        </is>
      </c>
      <c r="H197" t="inlineStr"/>
      <c r="I197" t="inlineStr"/>
      <c r="J197" t="inlineStr">
        <is>
          <t>Human Resources</t>
        </is>
      </c>
      <c r="K197" t="inlineStr">
        <is>
          <t>N</t>
        </is>
      </c>
      <c r="L197" t="inlineStr">
        <is>
          <t>Y</t>
        </is>
      </c>
      <c r="M197" t="inlineStr">
        <is>
          <t>N</t>
        </is>
      </c>
      <c r="N197" t="inlineStr">
        <is>
          <t>Action type: Steps to Enable. If you want to, you can disable the profile options for the Redwood pages where they're enabled. You can do so by entering **No**in the **Profile Value** field. Follow th</t>
        </is>
      </c>
      <c r="O197" t="inlineStr">
        <is>
          <t>Critical</t>
        </is>
      </c>
      <c r="P197" t="inlineStr">
        <is>
          <t>2025-06-20</t>
        </is>
      </c>
      <c r="Q197" t="inlineStr">
        <is>
          <t>Oracle Fusion 26C Readiness — Human Resources</t>
        </is>
      </c>
      <c r="R197" t="inlineStr"/>
    </row>
    <row r="198">
      <c r="A198" t="inlineStr">
        <is>
          <t>CHG_IMP_0173</t>
        </is>
      </c>
      <c r="B198" t="inlineStr">
        <is>
          <t>REL_26C</t>
        </is>
      </c>
      <c r="C198" t="inlineStr">
        <is>
          <t>Redwood Enabled by Default for Workforce Structures Pages</t>
        </is>
      </c>
      <c r="D198" t="inlineStr">
        <is>
          <t>Redwood Enabled by Default for Workforce Structures Pages. Module: Human Resources. Release: 26C. Effective from release 26C, the following Redwood workforce structures pages will be enabled by default:
• Grade Rates
• Grades
• Legal Entity HCM Information
• Legal Reporting Unit HCM Information
• Reporting Establishments
The corresponding responsive or classic pages will no longer be available I</t>
        </is>
      </c>
      <c r="E198" t="inlineStr">
        <is>
          <t>Human Resources</t>
        </is>
      </c>
      <c r="F198" t="inlineStr">
        <is>
          <t>Functional</t>
        </is>
      </c>
      <c r="G198" t="inlineStr">
        <is>
          <t>Functional</t>
        </is>
      </c>
      <c r="H198" t="inlineStr"/>
      <c r="I198" t="inlineStr"/>
      <c r="J198" t="inlineStr">
        <is>
          <t>Human Resources</t>
        </is>
      </c>
      <c r="K198" t="inlineStr">
        <is>
          <t>N</t>
        </is>
      </c>
      <c r="L198" t="inlineStr">
        <is>
          <t>Y</t>
        </is>
      </c>
      <c r="M198" t="inlineStr">
        <is>
          <t>N</t>
        </is>
      </c>
      <c r="N198" t="inlineStr">
        <is>
          <t>Action type: Steps to Enable. If you want to, you can disable the profile options for the Redwood pages where they're enabled. You can do so by entering **No**in the **Profile Value** field. Fo</t>
        </is>
      </c>
      <c r="O198" t="inlineStr">
        <is>
          <t>Critical</t>
        </is>
      </c>
      <c r="P198" t="inlineStr">
        <is>
          <t>2025-06-20</t>
        </is>
      </c>
      <c r="Q198" t="inlineStr">
        <is>
          <t>Oracle Fusion 26C Readiness — Human Resources</t>
        </is>
      </c>
      <c r="R198" t="inlineStr"/>
    </row>
    <row r="199">
      <c r="A199" t="inlineStr">
        <is>
          <t>CHG_IMP_0174</t>
        </is>
      </c>
      <c r="B199" t="inlineStr">
        <is>
          <t>REL_26C</t>
        </is>
      </c>
      <c r="C199" t="inlineStr">
        <is>
          <t>Redwood Enabled by Default for Workforce Structures Pages in Update 26D</t>
        </is>
      </c>
      <c r="D199" t="inlineStr">
        <is>
          <t>Redwood Enabled by Default for Workforce Structures Pages in Update 26D. Module: Human Resources. Release: 26C. Enhance the user experience by letting users directly access the following Redwood-enabled Workforce Structures pages where the Redwood profile option is turned on by default in 26D.
This table shows the Redwood workforce structure pages where the profile options will be enabled by defa</t>
        </is>
      </c>
      <c r="E199" t="inlineStr">
        <is>
          <t>Human Resources</t>
        </is>
      </c>
      <c r="F199" t="inlineStr">
        <is>
          <t>Functional</t>
        </is>
      </c>
      <c r="G199" t="inlineStr">
        <is>
          <t>Functional</t>
        </is>
      </c>
      <c r="H199" t="inlineStr"/>
      <c r="I199" t="inlineStr"/>
      <c r="J199" t="inlineStr">
        <is>
          <t>Human Resources</t>
        </is>
      </c>
      <c r="K199" t="inlineStr">
        <is>
          <t>N</t>
        </is>
      </c>
      <c r="L199" t="inlineStr">
        <is>
          <t>N</t>
        </is>
      </c>
      <c r="M199" t="inlineStr">
        <is>
          <t>N</t>
        </is>
      </c>
      <c r="N199" t="inlineStr">
        <is>
          <t>Auto-enabled — no action required</t>
        </is>
      </c>
      <c r="O199" t="inlineStr">
        <is>
          <t>Low</t>
        </is>
      </c>
      <c r="P199" t="inlineStr">
        <is>
          <t>2025-06-20</t>
        </is>
      </c>
      <c r="Q199" t="inlineStr">
        <is>
          <t>Oracle Fusion 26C Readiness — Human Resources</t>
        </is>
      </c>
      <c r="R199" t="inlineStr"/>
    </row>
    <row r="200">
      <c r="A200" t="inlineStr">
        <is>
          <t>CHG_IMP_0175</t>
        </is>
      </c>
      <c r="B200" t="inlineStr">
        <is>
          <t>REL_26C</t>
        </is>
      </c>
      <c r="C200" t="inlineStr">
        <is>
          <t>Redwood Experience for Mass Legal Employer Change Process</t>
        </is>
      </c>
      <c r="D200" t="inlineStr">
        <is>
          <t>Redwood Experience for Mass Legal Employer Change Process. Module: Human Resources. Release: 26C. The **Mass Legal Employer Change** process is now available in Redwood. This Redwood experience enables HR users to initiate and manage mass legal employer changes through a single flow with improved visibility into impacted workers, effective dates, and processing status. It maintains existing busi I</t>
        </is>
      </c>
      <c r="E200" t="inlineStr">
        <is>
          <t>Human Resources</t>
        </is>
      </c>
      <c r="F200" t="inlineStr">
        <is>
          <t>Functional</t>
        </is>
      </c>
      <c r="G200" t="inlineStr">
        <is>
          <t>Functional</t>
        </is>
      </c>
      <c r="H200" t="inlineStr"/>
      <c r="I200" t="inlineStr"/>
      <c r="J200" t="inlineStr">
        <is>
          <t>Human Resources</t>
        </is>
      </c>
      <c r="K200" t="inlineStr">
        <is>
          <t>N</t>
        </is>
      </c>
      <c r="L200" t="inlineStr">
        <is>
          <t>Y</t>
        </is>
      </c>
      <c r="M200" t="inlineStr">
        <is>
          <t>N</t>
        </is>
      </c>
      <c r="N200" t="inlineStr">
        <is>
          <t xml:space="preserve">Action type: Steps to Enable. To use the Redwood Mass Legal Employer Change Process page, you must first enable the following profile options. They're all disabled by default. Profile Option | </t>
        </is>
      </c>
      <c r="O200" t="inlineStr">
        <is>
          <t>Critical</t>
        </is>
      </c>
      <c r="P200" t="inlineStr">
        <is>
          <t>2025-06-20</t>
        </is>
      </c>
      <c r="Q200" t="inlineStr">
        <is>
          <t>Oracle Fusion 26C Readiness — Human Resources</t>
        </is>
      </c>
      <c r="R200" t="inlineStr"/>
    </row>
    <row r="201">
      <c r="A201" t="inlineStr">
        <is>
          <t>CHG_IMP_0176</t>
        </is>
      </c>
      <c r="B201" t="inlineStr">
        <is>
          <t>REL_26C</t>
        </is>
      </c>
      <c r="C201" t="inlineStr">
        <is>
          <t>Redwood Experience for Wellness Administration</t>
        </is>
      </c>
      <c r="D201" t="inlineStr">
        <is>
          <t>Redwood Experience for Wellness Administration. Module: Human Resources. Release: 26C. We have enriched the user experience with the new Wellness Administration Application developed using the Redwood toolset. The pages are built from the ground up using Visual Builder Studio (VB Studio) to give you a unique experience of Oracle applications.
You can navigate to the page by using the</t>
        </is>
      </c>
      <c r="E201" t="inlineStr">
        <is>
          <t>Human Resources</t>
        </is>
      </c>
      <c r="F201" t="inlineStr">
        <is>
          <t>Functional</t>
        </is>
      </c>
      <c r="G201" t="inlineStr">
        <is>
          <t>Functional</t>
        </is>
      </c>
      <c r="H201" t="inlineStr"/>
      <c r="I201" t="inlineStr"/>
      <c r="J201" t="inlineStr">
        <is>
          <t>Human Resources</t>
        </is>
      </c>
      <c r="K201" t="inlineStr">
        <is>
          <t>N</t>
        </is>
      </c>
      <c r="L201" t="inlineStr">
        <is>
          <t>Y</t>
        </is>
      </c>
      <c r="M201" t="inlineStr">
        <is>
          <t>N</t>
        </is>
      </c>
      <c r="N201" t="inlineStr">
        <is>
          <t>Action type: Steps to Enable. You need to ensure that: • You have access to Oracle Corporate Citizenship. • Your administrator has enabled Wellness Administration features for your role. Some function</t>
        </is>
      </c>
      <c r="O201" t="inlineStr">
        <is>
          <t>Critical</t>
        </is>
      </c>
      <c r="P201" t="inlineStr">
        <is>
          <t>2025-06-20</t>
        </is>
      </c>
      <c r="Q201" t="inlineStr">
        <is>
          <t>Oracle Fusion 26C Readiness — Human Resources</t>
        </is>
      </c>
      <c r="R201" t="inlineStr"/>
    </row>
    <row r="202">
      <c r="A202" t="inlineStr">
        <is>
          <t>CHG_IMP_0177</t>
        </is>
      </c>
      <c r="B202" t="inlineStr">
        <is>
          <t>REL_26C</t>
        </is>
      </c>
      <c r="C202" t="inlineStr">
        <is>
          <t>Redwood Experience for Wellness Employee</t>
        </is>
      </c>
      <c r="D202" t="inlineStr">
        <is>
          <t>Redwood Experience for Wellness Employee. Module: Human Resources. Release: 26C. We have enriched the user experience with the new Wellness Application developed using the Redwood toolset. The pages are built from the ground up using Visual Builder Studio (VB Studio) to give you a unique experience of Oracle applications.
You can navigate to the page by using the existing app i</t>
        </is>
      </c>
      <c r="E202" t="inlineStr">
        <is>
          <t>Human Resources</t>
        </is>
      </c>
      <c r="F202" t="inlineStr">
        <is>
          <t>Functional</t>
        </is>
      </c>
      <c r="G202" t="inlineStr">
        <is>
          <t>Functional</t>
        </is>
      </c>
      <c r="H202" t="inlineStr"/>
      <c r="I202" t="inlineStr"/>
      <c r="J202" t="inlineStr">
        <is>
          <t>Human Resources</t>
        </is>
      </c>
      <c r="K202" t="inlineStr">
        <is>
          <t>N</t>
        </is>
      </c>
      <c r="L202" t="inlineStr">
        <is>
          <t>N</t>
        </is>
      </c>
      <c r="M202" t="inlineStr">
        <is>
          <t>N</t>
        </is>
      </c>
      <c r="N202" t="inlineStr">
        <is>
          <t>Auto-enabled — no action required</t>
        </is>
      </c>
      <c r="O202" t="inlineStr">
        <is>
          <t>Low</t>
        </is>
      </c>
      <c r="P202" t="inlineStr">
        <is>
          <t>2025-06-20</t>
        </is>
      </c>
      <c r="Q202" t="inlineStr">
        <is>
          <t>Oracle Fusion 26C Readiness — Human Resources</t>
        </is>
      </c>
      <c r="R202" t="inlineStr"/>
    </row>
    <row r="203">
      <c r="A203" t="inlineStr">
        <is>
          <t>CHG_IMP_0178</t>
        </is>
      </c>
      <c r="B203" t="inlineStr">
        <is>
          <t>REL_26C</t>
        </is>
      </c>
      <c r="C203" t="inlineStr">
        <is>
          <t>Save Payload Rules for Payroll Interface for ADP Global Payroll V2</t>
        </is>
      </c>
      <c r="D203" t="inlineStr">
        <is>
          <t>Save Payload Rules for Payroll Interface for ADP Global Payroll V2. Module: Human Resources. Release: 26C. Save the payload rules you are using (without making any changes) to integrate with ADP Global Payroll to uptake the changes delivered in the underlying attributes. Alternatively, a new payload rule can also be created to uptake the changes delivered in the underlying attributes.
Changes hav</t>
        </is>
      </c>
      <c r="E203" t="inlineStr">
        <is>
          <t>Human Resources</t>
        </is>
      </c>
      <c r="F203" t="inlineStr">
        <is>
          <t>Functional</t>
        </is>
      </c>
      <c r="G203" t="inlineStr">
        <is>
          <t>Functional</t>
        </is>
      </c>
      <c r="H203" t="inlineStr"/>
      <c r="I203" t="inlineStr"/>
      <c r="J203" t="inlineStr">
        <is>
          <t>Human Resources</t>
        </is>
      </c>
      <c r="K203" t="inlineStr">
        <is>
          <t>N</t>
        </is>
      </c>
      <c r="L203" t="inlineStr">
        <is>
          <t>N</t>
        </is>
      </c>
      <c r="M203" t="inlineStr">
        <is>
          <t>N</t>
        </is>
      </c>
      <c r="N203" t="inlineStr">
        <is>
          <t>Auto-enabled — no action required</t>
        </is>
      </c>
      <c r="O203" t="inlineStr">
        <is>
          <t>Low</t>
        </is>
      </c>
      <c r="P203" t="inlineStr">
        <is>
          <t>2025-06-20</t>
        </is>
      </c>
      <c r="Q203" t="inlineStr">
        <is>
          <t>Oracle Fusion 26C Readiness — Human Resources</t>
        </is>
      </c>
      <c r="R203" t="inlineStr"/>
    </row>
    <row r="204">
      <c r="A204" t="inlineStr">
        <is>
          <t>CHG_IMP_0179</t>
        </is>
      </c>
      <c r="B204" t="inlineStr">
        <is>
          <t>REL_26C</t>
        </is>
      </c>
      <c r="C204" t="inlineStr">
        <is>
          <t>Search Configurability of Jobs LOV in Redwood Workforce Structures Pages</t>
        </is>
      </c>
      <c r="D204" t="inlineStr">
        <is>
          <t>Search Configurability of Jobs LOV in Redwood Workforce Structures Pages. Module: Human Resources. Release: 26C. We have enhanced the REST-based Jobs List of Values (LOVs) in Redwood to include the new attribute of Job Subfamily to improve usability and enhance the search configurability of this LOV.
The Job Subfamily column is now added in the Jobs LOV. This allows you to search for and filter t</t>
        </is>
      </c>
      <c r="E204" t="inlineStr">
        <is>
          <t>Human Resources</t>
        </is>
      </c>
      <c r="F204" t="inlineStr">
        <is>
          <t>Functional</t>
        </is>
      </c>
      <c r="G204" t="inlineStr">
        <is>
          <t>Functional</t>
        </is>
      </c>
      <c r="H204" t="inlineStr"/>
      <c r="I204" t="inlineStr"/>
      <c r="J204" t="inlineStr">
        <is>
          <t>Human Resources</t>
        </is>
      </c>
      <c r="K204" t="inlineStr">
        <is>
          <t>N</t>
        </is>
      </c>
      <c r="L204" t="inlineStr">
        <is>
          <t>Y</t>
        </is>
      </c>
      <c r="M204" t="inlineStr">
        <is>
          <t>N</t>
        </is>
      </c>
      <c r="N204" t="inlineStr">
        <is>
          <t>Action type: Steps to Enable. For more information about setting up Oracle Search for List of Values (LOVs), see the Set Up Oracle Search for List of Values chapter in the Oracle</t>
        </is>
      </c>
      <c r="O204" t="inlineStr">
        <is>
          <t>Critical</t>
        </is>
      </c>
      <c r="P204" t="inlineStr">
        <is>
          <t>2025-06-20</t>
        </is>
      </c>
      <c r="Q204" t="inlineStr">
        <is>
          <t>Oracle Fusion 26C Readiness — Human Resources</t>
        </is>
      </c>
      <c r="R204" t="inlineStr"/>
    </row>
    <row r="205">
      <c r="A205" t="inlineStr">
        <is>
          <t>CHG_IMP_0180</t>
        </is>
      </c>
      <c r="B205" t="inlineStr">
        <is>
          <t>REL_26C</t>
        </is>
      </c>
      <c r="C205" t="inlineStr">
        <is>
          <t>Set Up Personal Payment Methods During Onboarding with AI Assistance</t>
        </is>
      </c>
      <c r="D205" t="inlineStr">
        <is>
          <t>Set Up Personal Payment Methods During Onboarding with AI Assistance. Module: Human Resources. Release: 26C. New hires in US legal employers can now set up their personal payment methods (PPM) as part of their onboarding experience using AI assistance. The Onboard Assistant initiates the Payment Method Assistant agent so employees can create a bank account without leaving the onboarding flow.
Thi</t>
        </is>
      </c>
      <c r="E205" t="inlineStr">
        <is>
          <t>Human Resources</t>
        </is>
      </c>
      <c r="F205" t="inlineStr">
        <is>
          <t>Functional</t>
        </is>
      </c>
      <c r="G205" t="inlineStr">
        <is>
          <t>Functional</t>
        </is>
      </c>
      <c r="H205" t="inlineStr"/>
      <c r="I205" t="inlineStr"/>
      <c r="J205" t="inlineStr">
        <is>
          <t>Human Resources</t>
        </is>
      </c>
      <c r="K205" t="inlineStr">
        <is>
          <t>N</t>
        </is>
      </c>
      <c r="L205" t="inlineStr">
        <is>
          <t>Y</t>
        </is>
      </c>
      <c r="M205" t="inlineStr">
        <is>
          <t>N</t>
        </is>
      </c>
      <c r="N205" t="inlineStr">
        <is>
          <t>Action type: Steps to Enable. • Your environment must have certain necessary configurations. Ask your help desk to contact Oracle Support, who can verify what your environment has an</t>
        </is>
      </c>
      <c r="O205" t="inlineStr">
        <is>
          <t>Critical</t>
        </is>
      </c>
      <c r="P205" t="inlineStr">
        <is>
          <t>2025-06-20</t>
        </is>
      </c>
      <c r="Q205" t="inlineStr">
        <is>
          <t>Oracle Fusion 26C Readiness — Human Resources</t>
        </is>
      </c>
      <c r="R205" t="inlineStr"/>
    </row>
    <row r="206">
      <c r="A206" t="inlineStr">
        <is>
          <t>CHG_IMP_0181</t>
        </is>
      </c>
      <c r="B206" t="inlineStr">
        <is>
          <t>REL_26C</t>
        </is>
      </c>
      <c r="C206" t="inlineStr">
        <is>
          <t>Single Task with Multiple Performers in Journeys</t>
        </is>
      </c>
      <c r="D206" t="inlineStr">
        <is>
          <t>Single Task with Multiple Performers in Journeys. Module: Human Resources. Release: 26C. You can now configure a journey task to be performed by multiple people in a defined sequence. The new task performer named **Multiple Stage Performer** lets different performers contribute to the same task one after another, instead of requiring separate tasks or workaround flows.
The new task per</t>
        </is>
      </c>
      <c r="E206" t="inlineStr">
        <is>
          <t>Human Resources</t>
        </is>
      </c>
      <c r="F206" t="inlineStr">
        <is>
          <t>Functional</t>
        </is>
      </c>
      <c r="G206" t="inlineStr">
        <is>
          <t>Functional</t>
        </is>
      </c>
      <c r="H206" t="inlineStr"/>
      <c r="I206" t="inlineStr"/>
      <c r="J206" t="inlineStr">
        <is>
          <t>Human Resources</t>
        </is>
      </c>
      <c r="K206" t="inlineStr">
        <is>
          <t>N</t>
        </is>
      </c>
      <c r="L206" t="inlineStr">
        <is>
          <t>Y</t>
        </is>
      </c>
      <c r="M206" t="inlineStr">
        <is>
          <t>N</t>
        </is>
      </c>
      <c r="N206" t="inlineStr">
        <is>
          <t>Action type: Steps to Enable. For more information, see this topic: Add Multiple Performers in Journey Task</t>
        </is>
      </c>
      <c r="O206" t="inlineStr">
        <is>
          <t>Critical</t>
        </is>
      </c>
      <c r="P206" t="inlineStr">
        <is>
          <t>2025-06-20</t>
        </is>
      </c>
      <c r="Q206" t="inlineStr">
        <is>
          <t>Oracle Fusion 26C Readiness — Human Resources</t>
        </is>
      </c>
      <c r="R206" t="inlineStr"/>
    </row>
    <row r="207">
      <c r="A207" t="inlineStr">
        <is>
          <t>CHG_IMP_0182</t>
        </is>
      </c>
      <c r="B207" t="inlineStr">
        <is>
          <t>REL_26C</t>
        </is>
      </c>
      <c r="C207" t="inlineStr">
        <is>
          <t>Supporting Application-Wide Read-Only Mode on Redwood Document Record Pages</t>
        </is>
      </c>
      <c r="D207" t="inlineStr">
        <is>
          <t>Supporting Application-Wide Read-Only Mode on Redwood Document Record Pages. Module: Human Resources. Release: 26C. Redwood Document record pages work as read-only for users for whom the read-only profile option is enabled.
When the FND_READ_ONLY_MODE profile option is enabled for a user, they see these changes:
• A banner message appears at the top of the page indicating that the application is</t>
        </is>
      </c>
      <c r="E207" t="inlineStr">
        <is>
          <t>Human Resources</t>
        </is>
      </c>
      <c r="F207" t="inlineStr">
        <is>
          <t>Functional</t>
        </is>
      </c>
      <c r="G207" t="inlineStr">
        <is>
          <t>Functional</t>
        </is>
      </c>
      <c r="H207" t="inlineStr"/>
      <c r="I207" t="inlineStr"/>
      <c r="J207" t="inlineStr">
        <is>
          <t>Human Resources</t>
        </is>
      </c>
      <c r="K207" t="inlineStr">
        <is>
          <t>N</t>
        </is>
      </c>
      <c r="L207" t="inlineStr">
        <is>
          <t>N</t>
        </is>
      </c>
      <c r="M207" t="inlineStr">
        <is>
          <t>N</t>
        </is>
      </c>
      <c r="N207" t="inlineStr">
        <is>
          <t>Auto-enabled — no action required</t>
        </is>
      </c>
      <c r="O207" t="inlineStr">
        <is>
          <t>Low</t>
        </is>
      </c>
      <c r="P207" t="inlineStr">
        <is>
          <t>2025-06-20</t>
        </is>
      </c>
      <c r="Q207" t="inlineStr">
        <is>
          <t>Oracle Fusion 26C Readiness — Human Resources</t>
        </is>
      </c>
      <c r="R207" t="inlineStr"/>
    </row>
    <row r="208">
      <c r="A208" t="inlineStr">
        <is>
          <t>CHG_IMP_0183</t>
        </is>
      </c>
      <c r="B208" t="inlineStr">
        <is>
          <t>REL_26C</t>
        </is>
      </c>
      <c r="C208" t="inlineStr">
        <is>
          <t>Synchronize Position Name and Blank Position Values Using the Synchronization From Position Process</t>
        </is>
      </c>
      <c r="D208" t="inlineStr">
        <is>
          <t>Synchronize Position Name and Blank Position Values Using the Synchronization From Position Process. Module: Human Resources. Release: 26C. The Synchronization From Position process can now recognize an intentional blank value on a position and synchronize that blank value to an assignment. Previously, when a position value was cleared for a synchronized attribute, the existing assignment value co</t>
        </is>
      </c>
      <c r="E208" t="inlineStr">
        <is>
          <t>Human Resources</t>
        </is>
      </c>
      <c r="F208" t="inlineStr">
        <is>
          <t>Functional</t>
        </is>
      </c>
      <c r="G208" t="inlineStr">
        <is>
          <t>Functional</t>
        </is>
      </c>
      <c r="H208" t="inlineStr"/>
      <c r="I208" t="inlineStr"/>
      <c r="J208" t="inlineStr">
        <is>
          <t>Human Resources</t>
        </is>
      </c>
      <c r="K208" t="inlineStr">
        <is>
          <t>N</t>
        </is>
      </c>
      <c r="L208" t="inlineStr">
        <is>
          <t>Y</t>
        </is>
      </c>
      <c r="M208" t="inlineStr">
        <is>
          <t>N</t>
        </is>
      </c>
      <c r="N208" t="inlineStr">
        <is>
          <t>Action type: Steps to Enable. Position Additional Settings • Associate the new additional position synchronization settings contexts with the Enterpris</t>
        </is>
      </c>
      <c r="O208" t="inlineStr">
        <is>
          <t>Critical</t>
        </is>
      </c>
      <c r="P208" t="inlineStr">
        <is>
          <t>2025-06-20</t>
        </is>
      </c>
      <c r="Q208" t="inlineStr">
        <is>
          <t>Oracle Fusion 26C Readiness — Human Resources</t>
        </is>
      </c>
      <c r="R208" t="inlineStr"/>
    </row>
    <row r="209">
      <c r="A209" t="inlineStr">
        <is>
          <t>CHG_IMP_0184</t>
        </is>
      </c>
      <c r="B209" t="inlineStr">
        <is>
          <t>REL_26C</t>
        </is>
      </c>
      <c r="C209" t="inlineStr">
        <is>
          <t>Translation Editor Support on Redwood Jobs Page</t>
        </is>
      </c>
      <c r="D209" t="inlineStr">
        <is>
          <t>Translation Editor Support on Redwood Jobs Page. Module: Human Resources. Release: 26C. Users can now use the Redwood **Translation Editor** to seamlessly to translate the job name directly on the Redwood Jobs page. This enhancement eliminates the need to sign out and sign back in with a different language to enter translations, thereby streamlining the translation process. This tool p</t>
        </is>
      </c>
      <c r="E209" t="inlineStr">
        <is>
          <t>Human Resources</t>
        </is>
      </c>
      <c r="F209" t="inlineStr">
        <is>
          <t>Functional</t>
        </is>
      </c>
      <c r="G209" t="inlineStr">
        <is>
          <t>Functional</t>
        </is>
      </c>
      <c r="H209" t="inlineStr"/>
      <c r="I209" t="inlineStr"/>
      <c r="J209" t="inlineStr">
        <is>
          <t>Human Resources</t>
        </is>
      </c>
      <c r="K209" t="inlineStr">
        <is>
          <t>N</t>
        </is>
      </c>
      <c r="L209" t="inlineStr">
        <is>
          <t>Y</t>
        </is>
      </c>
      <c r="M209" t="inlineStr">
        <is>
          <t>N</t>
        </is>
      </c>
      <c r="N209" t="inlineStr">
        <is>
          <t>Action type: Steps to Enable. For more information, see Translate Job Name in Multiple Installed Languages in Redwood.</t>
        </is>
      </c>
      <c r="O209" t="inlineStr">
        <is>
          <t>Critical</t>
        </is>
      </c>
      <c r="P209" t="inlineStr">
        <is>
          <t>2025-06-20</t>
        </is>
      </c>
      <c r="Q209" t="inlineStr">
        <is>
          <t>Oracle Fusion 26C Readiness — Human Resources</t>
        </is>
      </c>
      <c r="R209" t="inlineStr"/>
    </row>
    <row r="210">
      <c r="A210" t="inlineStr">
        <is>
          <t>CHG_IMP_0185</t>
        </is>
      </c>
      <c r="B210" t="inlineStr">
        <is>
          <t>REL_26C</t>
        </is>
      </c>
      <c r="C210" t="inlineStr">
        <is>
          <t>Translation Editor on Redwood Document Types Page with Generative AI</t>
        </is>
      </c>
      <c r="D210" t="inlineStr">
        <is>
          <t>Translation Editor on Redwood Document Types Page with Generative AI. Module: Human Resources. Release: 26C. Generative AI in the translation editor enhances the translation experience in the Redwood Document Types page by leveraging artificial intelligence to help users generate and refine localized content directly within the editor.
With this feature, administrators and content authors can qui</t>
        </is>
      </c>
      <c r="E210" t="inlineStr">
        <is>
          <t>Human Resources</t>
        </is>
      </c>
      <c r="F210" t="inlineStr">
        <is>
          <t>AI Feature</t>
        </is>
      </c>
      <c r="G210" t="inlineStr">
        <is>
          <t>AI Feature</t>
        </is>
      </c>
      <c r="H210" t="inlineStr"/>
      <c r="I210" t="inlineStr"/>
      <c r="J210" t="inlineStr">
        <is>
          <t>Human Resources</t>
        </is>
      </c>
      <c r="K210" t="inlineStr">
        <is>
          <t>N</t>
        </is>
      </c>
      <c r="L210" t="inlineStr">
        <is>
          <t>Y</t>
        </is>
      </c>
      <c r="M210" t="inlineStr">
        <is>
          <t>N</t>
        </is>
      </c>
      <c r="N210" t="inlineStr">
        <is>
          <t>Action type: Steps to Enable. • Ensure that you have access to Visual Builder Studio (VB Studio). Instances and workspaces should have been correctly set as well. • The Generate butt</t>
        </is>
      </c>
      <c r="O210" t="inlineStr">
        <is>
          <t>Critical</t>
        </is>
      </c>
      <c r="P210" t="inlineStr">
        <is>
          <t>2025-06-20</t>
        </is>
      </c>
      <c r="Q210" t="inlineStr">
        <is>
          <t>Oracle Fusion 26C Readiness — Human Resources</t>
        </is>
      </c>
      <c r="R210" t="inlineStr"/>
    </row>
    <row r="211">
      <c r="A211" t="inlineStr">
        <is>
          <t>CHG_IMP_0186</t>
        </is>
      </c>
      <c r="B211" t="inlineStr">
        <is>
          <t>REL_26C</t>
        </is>
      </c>
      <c r="C211" t="inlineStr">
        <is>
          <t>Translation Editor on Redwood Extended Lookup Codes Page with Generative AI</t>
        </is>
      </c>
      <c r="D211" t="inlineStr">
        <is>
          <t>Translation Editor on Redwood Extended Lookup Codes Page with Generative AI. Module: Human Resources. Release: 26C. Generative AI in the translation editor enhances the translation experience in the Redwood Extended Lookup Codes page by leveraging artificial intelligence to help users generate and refine localized content directly within the editor.
With this feature, administrators and content a</t>
        </is>
      </c>
      <c r="E211" t="inlineStr">
        <is>
          <t>Human Resources</t>
        </is>
      </c>
      <c r="F211" t="inlineStr">
        <is>
          <t>AI Feature</t>
        </is>
      </c>
      <c r="G211" t="inlineStr">
        <is>
          <t>AI Feature</t>
        </is>
      </c>
      <c r="H211" t="inlineStr"/>
      <c r="I211" t="inlineStr"/>
      <c r="J211" t="inlineStr">
        <is>
          <t>Human Resources</t>
        </is>
      </c>
      <c r="K211" t="inlineStr">
        <is>
          <t>N</t>
        </is>
      </c>
      <c r="L211" t="inlineStr">
        <is>
          <t>Y</t>
        </is>
      </c>
      <c r="M211" t="inlineStr">
        <is>
          <t>N</t>
        </is>
      </c>
      <c r="N211" t="inlineStr">
        <is>
          <t>Action type: Steps to Enable. • Ensure that you have access to Visual Builder Studio (VB Studio). Instances and workspaces should have been correctly set as well. • The Genera</t>
        </is>
      </c>
      <c r="O211" t="inlineStr">
        <is>
          <t>Critical</t>
        </is>
      </c>
      <c r="P211" t="inlineStr">
        <is>
          <t>2025-06-20</t>
        </is>
      </c>
      <c r="Q211" t="inlineStr">
        <is>
          <t>Oracle Fusion 26C Readiness — Human Resources</t>
        </is>
      </c>
      <c r="R211" t="inlineStr"/>
    </row>
    <row r="212">
      <c r="A212" t="inlineStr">
        <is>
          <t>CHG_IMP_0187</t>
        </is>
      </c>
      <c r="B212" t="inlineStr">
        <is>
          <t>REL_26C</t>
        </is>
      </c>
      <c r="C212" t="inlineStr">
        <is>
          <t>Translation Editor on Redwood Journey Template Pages with Generative AI</t>
        </is>
      </c>
      <c r="D212" t="inlineStr">
        <is>
          <t>Translation Editor on Redwood Journey Template Pages with Generative AI. Module: Human Resources. Release: 26C. You can now use generative AI in the Redwood **Translation Editor** to translate attributes directly on the Redwood journey template pages. You can seamlessly translate translatable attributes, such as the journey template name, description, title, subtitle, task names, and description o</t>
        </is>
      </c>
      <c r="E212" t="inlineStr">
        <is>
          <t>Human Resources</t>
        </is>
      </c>
      <c r="F212" t="inlineStr">
        <is>
          <t>AI Feature</t>
        </is>
      </c>
      <c r="G212" t="inlineStr">
        <is>
          <t>AI Feature</t>
        </is>
      </c>
      <c r="H212" t="inlineStr"/>
      <c r="I212" t="inlineStr"/>
      <c r="J212" t="inlineStr">
        <is>
          <t>Human Resources</t>
        </is>
      </c>
      <c r="K212" t="inlineStr">
        <is>
          <t>N</t>
        </is>
      </c>
      <c r="L212" t="inlineStr">
        <is>
          <t>Y</t>
        </is>
      </c>
      <c r="M212" t="inlineStr">
        <is>
          <t>N</t>
        </is>
      </c>
      <c r="N212" t="inlineStr">
        <is>
          <t>Action type: Steps to Enable. • Ensure that you have access to VB Studio. Instances and workspaces should have been correctly set as well. • The Generate button isn't displayed by</t>
        </is>
      </c>
      <c r="O212" t="inlineStr">
        <is>
          <t>Critical</t>
        </is>
      </c>
      <c r="P212" t="inlineStr">
        <is>
          <t>2025-06-20</t>
        </is>
      </c>
      <c r="Q212" t="inlineStr">
        <is>
          <t>Oracle Fusion 26C Readiness — Human Resources</t>
        </is>
      </c>
      <c r="R212" t="inlineStr"/>
    </row>
    <row r="213">
      <c r="A213" t="inlineStr">
        <is>
          <t>CHG_IMP_0188</t>
        </is>
      </c>
      <c r="B213" t="inlineStr">
        <is>
          <t>REL_26C</t>
        </is>
      </c>
      <c r="C213" t="inlineStr">
        <is>
          <t>Translation Editor on Redwood Nudge Configuration Pages with Generative AI</t>
        </is>
      </c>
      <c r="D213" t="inlineStr">
        <is>
          <t>Translation Editor on Redwood Nudge Configuration Pages with Generative AI. Module: Human Resources. Release: 26C. Generative AI in the translation editor enhances the Redwood Nudge Configuration page by using artificial intelligence to assist users in generating and refining localized content directly within the editor.
With this feature, administrators and content authors can quickly produce ac</t>
        </is>
      </c>
      <c r="E213" t="inlineStr">
        <is>
          <t>Human Resources</t>
        </is>
      </c>
      <c r="F213" t="inlineStr">
        <is>
          <t>AI Feature</t>
        </is>
      </c>
      <c r="G213" t="inlineStr">
        <is>
          <t>AI Feature</t>
        </is>
      </c>
      <c r="H213" t="inlineStr"/>
      <c r="I213" t="inlineStr"/>
      <c r="J213" t="inlineStr">
        <is>
          <t>Human Resources</t>
        </is>
      </c>
      <c r="K213" t="inlineStr">
        <is>
          <t>N</t>
        </is>
      </c>
      <c r="L213" t="inlineStr">
        <is>
          <t>Y</t>
        </is>
      </c>
      <c r="M213" t="inlineStr">
        <is>
          <t>N</t>
        </is>
      </c>
      <c r="N213" t="inlineStr">
        <is>
          <t>Action type: Steps to Enable. • Ensure that you have access to Visual Builder Studio (VB Studio). Instances and workspaces should have been correctly set as well. • The Generat</t>
        </is>
      </c>
      <c r="O213" t="inlineStr">
        <is>
          <t>Critical</t>
        </is>
      </c>
      <c r="P213" t="inlineStr">
        <is>
          <t>2025-06-20</t>
        </is>
      </c>
      <c r="Q213" t="inlineStr">
        <is>
          <t>Oracle Fusion 26C Readiness — Human Resources</t>
        </is>
      </c>
      <c r="R213" t="inlineStr"/>
    </row>
    <row r="214">
      <c r="A214" t="inlineStr">
        <is>
          <t>CHG_IMP_0189</t>
        </is>
      </c>
      <c r="B214" t="inlineStr">
        <is>
          <t>REL_26C</t>
        </is>
      </c>
      <c r="C214" t="inlineStr">
        <is>
          <t>Add Development Goals for Employees’ Favorite Career Roles</t>
        </is>
      </c>
      <c r="D214" t="inlineStr">
        <is>
          <t>Add Development Goals for Employees’ Favorite Career Roles. Module: Learning and Development. Release: 26C. Managers can now add development goals based on their reports’ favorite career roles. When a manager navigates to a worker’s favorite career role (through **My Team &gt; Recommend Career Roles &gt; Favorites**filter), they’ll see an **Add Goal**button next to the qualifications and competencies th</t>
        </is>
      </c>
      <c r="E214" t="inlineStr">
        <is>
          <t>Learning and Development</t>
        </is>
      </c>
      <c r="F214" t="inlineStr">
        <is>
          <t>Functional</t>
        </is>
      </c>
      <c r="G214" t="inlineStr">
        <is>
          <t>Functional</t>
        </is>
      </c>
      <c r="H214" t="inlineStr"/>
      <c r="I214" t="inlineStr"/>
      <c r="J214" t="inlineStr">
        <is>
          <t>Learning and Development</t>
        </is>
      </c>
      <c r="K214" t="inlineStr">
        <is>
          <t>N</t>
        </is>
      </c>
      <c r="L214" t="inlineStr">
        <is>
          <t>N</t>
        </is>
      </c>
      <c r="M214" t="inlineStr">
        <is>
          <t>N</t>
        </is>
      </c>
      <c r="N214" t="inlineStr">
        <is>
          <t>Auto-enabled — no action required</t>
        </is>
      </c>
      <c r="O214" t="inlineStr">
        <is>
          <t>Low</t>
        </is>
      </c>
      <c r="P214" t="inlineStr">
        <is>
          <t>2025-06-20</t>
        </is>
      </c>
      <c r="Q214" t="inlineStr">
        <is>
          <t>Oracle Fusion 26C Readiness — Learning and Development</t>
        </is>
      </c>
      <c r="R214" t="inlineStr"/>
    </row>
    <row r="215">
      <c r="A215" t="inlineStr">
        <is>
          <t>CHG_IMP_0190</t>
        </is>
      </c>
      <c r="B215" t="inlineStr">
        <is>
          <t>REL_26C</t>
        </is>
      </c>
      <c r="C215" t="inlineStr">
        <is>
          <t>Assignment status change enhancements</t>
        </is>
      </c>
      <c r="D215" t="inlineStr">
        <is>
          <t>Assignment status change enhancements. Module: Learning and Development. Release: 26C. Learning specialists can now manage assignment status changes with more precise control. Some actions were already available in Redwood, and this release adds new restrictions and expands support for specific statuses. This table shows which actions are supported for each learning type and status, w</t>
        </is>
      </c>
      <c r="E215" t="inlineStr">
        <is>
          <t>Learning and Development</t>
        </is>
      </c>
      <c r="F215" t="inlineStr">
        <is>
          <t>Functional</t>
        </is>
      </c>
      <c r="G215" t="inlineStr">
        <is>
          <t>Functional</t>
        </is>
      </c>
      <c r="H215" t="inlineStr"/>
      <c r="I215" t="inlineStr"/>
      <c r="J215" t="inlineStr">
        <is>
          <t>Learning and Development</t>
        </is>
      </c>
      <c r="K215" t="inlineStr">
        <is>
          <t>N</t>
        </is>
      </c>
      <c r="L215" t="inlineStr">
        <is>
          <t>Y</t>
        </is>
      </c>
      <c r="M215" t="inlineStr">
        <is>
          <t>N</t>
        </is>
      </c>
      <c r="N215" t="inlineStr">
        <is>
          <t>Action type: Steps to Enable. If you haven't already, enable Redwood Assignment Management to use this feature.</t>
        </is>
      </c>
      <c r="O215" t="inlineStr">
        <is>
          <t>Medium</t>
        </is>
      </c>
      <c r="P215" t="inlineStr">
        <is>
          <t>2025-06-20</t>
        </is>
      </c>
      <c r="Q215" t="inlineStr">
        <is>
          <t>Oracle Fusion 26C Readiness — Learning and Development</t>
        </is>
      </c>
      <c r="R215" t="inlineStr"/>
    </row>
    <row r="216">
      <c r="A216" t="inlineStr">
        <is>
          <t>CHG_IMP_0191</t>
        </is>
      </c>
      <c r="B216" t="inlineStr">
        <is>
          <t>REL_26C</t>
        </is>
      </c>
      <c r="C216" t="inlineStr">
        <is>
          <t>Control Visibility of Favorite Career Roles</t>
        </is>
      </c>
      <c r="D216" t="inlineStr">
        <is>
          <t>Control Visibility of Favorite Career Roles. Module: Learning and Development. Release: 26C. You can now mark your favorite career roles as private or public. Your managers and HR can access public career roles but not private roles. You can access all your favorite roles regardless of privacy.
When you add a career to your favorites, it’s public by default. When you view the career detail</t>
        </is>
      </c>
      <c r="E216" t="inlineStr">
        <is>
          <t>Learning and Development</t>
        </is>
      </c>
      <c r="F216" t="inlineStr">
        <is>
          <t>Functional</t>
        </is>
      </c>
      <c r="G216" t="inlineStr">
        <is>
          <t>Functional</t>
        </is>
      </c>
      <c r="H216" t="inlineStr"/>
      <c r="I216" t="inlineStr"/>
      <c r="J216" t="inlineStr">
        <is>
          <t>Learning and Development</t>
        </is>
      </c>
      <c r="K216" t="inlineStr">
        <is>
          <t>N</t>
        </is>
      </c>
      <c r="L216" t="inlineStr">
        <is>
          <t>Y</t>
        </is>
      </c>
      <c r="M216" t="inlineStr">
        <is>
          <t>N</t>
        </is>
      </c>
      <c r="N216" t="inlineStr">
        <is>
          <t xml:space="preserve">Action type: Steps to Enable. This feature is enabled by default. The buttons can be shown or hidden using the Visual Studio page property, **Show Make Public Make It Private Buttons**. For details </t>
        </is>
      </c>
      <c r="O216" t="inlineStr">
        <is>
          <t>Medium</t>
        </is>
      </c>
      <c r="P216" t="inlineStr">
        <is>
          <t>2025-06-20</t>
        </is>
      </c>
      <c r="Q216" t="inlineStr">
        <is>
          <t>Oracle Fusion 26C Readiness — Learning and Development</t>
        </is>
      </c>
      <c r="R216" t="inlineStr"/>
    </row>
    <row r="217">
      <c r="A217" t="inlineStr">
        <is>
          <t>CHG_IMP_0192</t>
        </is>
      </c>
      <c r="B217" t="inlineStr">
        <is>
          <t>REL_26C</t>
        </is>
      </c>
      <c r="C217" t="inlineStr">
        <is>
          <t>Course Enrollment Primary Action</t>
        </is>
      </c>
      <c r="D217" t="inlineStr">
        <is>
          <t>Course Enrollment Primary Action. Module: Learning and Development. Release: 26C. Learning specialists can make Enroll the primary action on course details pages.
When multiple offerings are available, selecting Enroll opens the Find Offerings page so learners can select an offering, event, or self-paced learning.
When only a single self-paced offering is available, selecting E</t>
        </is>
      </c>
      <c r="E217" t="inlineStr">
        <is>
          <t>Learning and Development</t>
        </is>
      </c>
      <c r="F217" t="inlineStr">
        <is>
          <t>Functional</t>
        </is>
      </c>
      <c r="G217" t="inlineStr">
        <is>
          <t>Functional</t>
        </is>
      </c>
      <c r="H217" t="inlineStr"/>
      <c r="I217" t="inlineStr"/>
      <c r="J217" t="inlineStr">
        <is>
          <t>Learning and Development</t>
        </is>
      </c>
      <c r="K217" t="inlineStr">
        <is>
          <t>N</t>
        </is>
      </c>
      <c r="L217" t="inlineStr">
        <is>
          <t>Y</t>
        </is>
      </c>
      <c r="M217" t="inlineStr">
        <is>
          <t>N</t>
        </is>
      </c>
      <c r="N217" t="inlineStr">
        <is>
          <t>Action type: Steps to Enable. This feature is disabled by default. 1. In Visual Builder Studio, set the Show Enroll on Primary Actions Menu for Course Details Pages page property to **True**.</t>
        </is>
      </c>
      <c r="O217" t="inlineStr">
        <is>
          <t>Medium</t>
        </is>
      </c>
      <c r="P217" t="inlineStr">
        <is>
          <t>2025-06-20</t>
        </is>
      </c>
      <c r="Q217" t="inlineStr">
        <is>
          <t>Oracle Fusion 26C Readiness — Learning and Development</t>
        </is>
      </c>
      <c r="R217" t="inlineStr"/>
    </row>
    <row r="218">
      <c r="A218" t="inlineStr">
        <is>
          <t>CHG_IMP_0193</t>
        </is>
      </c>
      <c r="B218" t="inlineStr">
        <is>
          <t>REL_26C</t>
        </is>
      </c>
      <c r="C218" t="inlineStr">
        <is>
          <t>Enhancements for events used in courses</t>
        </is>
      </c>
      <c r="D218" t="inlineStr">
        <is>
          <t>Enhancements for events used in courses. Module: Learning and Development. Release: 26C. Enrollment switching across events and offerings follows configured withdrawal rules. Learners can switch enrollments when withdrawal approval isn't required or when requests fall within the allowed withdrawal period. If withdrawal isn't allowed or the withdrawal period has expired, learners can't s</t>
        </is>
      </c>
      <c r="E218" t="inlineStr">
        <is>
          <t>Learning and Development</t>
        </is>
      </c>
      <c r="F218" t="inlineStr">
        <is>
          <t>Functional</t>
        </is>
      </c>
      <c r="G218" t="inlineStr">
        <is>
          <t>Functional</t>
        </is>
      </c>
      <c r="H218" t="inlineStr"/>
      <c r="I218" t="inlineStr"/>
      <c r="J218" t="inlineStr">
        <is>
          <t>Learning and Development</t>
        </is>
      </c>
      <c r="K218" t="inlineStr">
        <is>
          <t>N</t>
        </is>
      </c>
      <c r="L218" t="inlineStr">
        <is>
          <t>N</t>
        </is>
      </c>
      <c r="M218" t="inlineStr">
        <is>
          <t>N</t>
        </is>
      </c>
      <c r="N218" t="inlineStr">
        <is>
          <t>Auto-enabled — no action required</t>
        </is>
      </c>
      <c r="O218" t="inlineStr">
        <is>
          <t>Low</t>
        </is>
      </c>
      <c r="P218" t="inlineStr">
        <is>
          <t>2025-06-20</t>
        </is>
      </c>
      <c r="Q218" t="inlineStr">
        <is>
          <t>Oracle Fusion 26C Readiness — Learning and Development</t>
        </is>
      </c>
      <c r="R218" t="inlineStr"/>
    </row>
    <row r="219">
      <c r="A219" t="inlineStr">
        <is>
          <t>CHG_IMP_0194</t>
        </is>
      </c>
      <c r="B219" t="inlineStr">
        <is>
          <t>REL_26C</t>
        </is>
      </c>
      <c r="C219" t="inlineStr">
        <is>
          <t>Harvard Publishing Spark Collection</t>
        </is>
      </c>
      <c r="D219" t="inlineStr">
        <is>
          <t>Harvard Publishing Spark Collection. Module: Learning and Development. Release: 26C. Import Harvard Business Impact: HBR Spark content into Oracle Learning as self-paced learning. You can keep your training catalog up to date by automating regular content refreshes from Harvard Business Impact: HBR Spark. The specific HBR Spark content available for import depends on your subscripti</t>
        </is>
      </c>
      <c r="E219" t="inlineStr">
        <is>
          <t>Learning and Development</t>
        </is>
      </c>
      <c r="F219" t="inlineStr">
        <is>
          <t>Functional</t>
        </is>
      </c>
      <c r="G219" t="inlineStr">
        <is>
          <t>Functional</t>
        </is>
      </c>
      <c r="H219" t="inlineStr"/>
      <c r="I219" t="inlineStr"/>
      <c r="J219" t="inlineStr">
        <is>
          <t>Learning and Development</t>
        </is>
      </c>
      <c r="K219" t="inlineStr">
        <is>
          <t>N</t>
        </is>
      </c>
      <c r="L219" t="inlineStr">
        <is>
          <t>Y</t>
        </is>
      </c>
      <c r="M219" t="inlineStr">
        <is>
          <t>N</t>
        </is>
      </c>
      <c r="N219" t="inlineStr">
        <is>
          <t>Action type: Steps to Enable. Set Up Harvard Business Impact Integration with Oracle Learning.</t>
        </is>
      </c>
      <c r="O219" t="inlineStr">
        <is>
          <t>Medium</t>
        </is>
      </c>
      <c r="P219" t="inlineStr">
        <is>
          <t>2025-06-20</t>
        </is>
      </c>
      <c r="Q219" t="inlineStr">
        <is>
          <t>Oracle Fusion 26C Readiness — Learning and Development</t>
        </is>
      </c>
      <c r="R219" t="inlineStr"/>
    </row>
    <row r="220">
      <c r="A220" t="inlineStr">
        <is>
          <t>CHG_IMP_0195</t>
        </is>
      </c>
      <c r="B220" t="inlineStr">
        <is>
          <t>REL_26C</t>
        </is>
      </c>
      <c r="C220" t="inlineStr">
        <is>
          <t>Instructor activity center enhancements</t>
        </is>
      </c>
      <c r="D220" t="inlineStr">
        <is>
          <t>Instructor activity center enhancements. Module: Learning and Development. Release: 26C. Overlay your teaching schedule with enrolled courses in the My Learning calendar to spot conflicts and plan more effectively.
Instructor Calendar with Both Calendars Enabled
Use the new Seat Availability filter in the teaching calendar and offerings to find low-enrollment, waitlisted, or full sess</t>
        </is>
      </c>
      <c r="E220" t="inlineStr">
        <is>
          <t>Learning and Development</t>
        </is>
      </c>
      <c r="F220" t="inlineStr">
        <is>
          <t>Functional</t>
        </is>
      </c>
      <c r="G220" t="inlineStr">
        <is>
          <t>Functional</t>
        </is>
      </c>
      <c r="H220" t="inlineStr"/>
      <c r="I220" t="inlineStr"/>
      <c r="J220" t="inlineStr">
        <is>
          <t>Learning and Development</t>
        </is>
      </c>
      <c r="K220" t="inlineStr">
        <is>
          <t>N</t>
        </is>
      </c>
      <c r="L220" t="inlineStr">
        <is>
          <t>Y</t>
        </is>
      </c>
      <c r="M220" t="inlineStr">
        <is>
          <t>N</t>
        </is>
      </c>
      <c r="N220" t="inlineStr">
        <is>
          <t>Action type: Steps to Enable. 1. Submit the **ESS job to create index definition and perform initial ingest to OSCS** process with the **fa-hcm-learningrecordtask** input parameter. Go to Tools &gt; Sche</t>
        </is>
      </c>
      <c r="O220" t="inlineStr">
        <is>
          <t>Medium</t>
        </is>
      </c>
      <c r="P220" t="inlineStr">
        <is>
          <t>2025-06-20</t>
        </is>
      </c>
      <c r="Q220" t="inlineStr">
        <is>
          <t>Oracle Fusion 26C Readiness — Learning and Development</t>
        </is>
      </c>
      <c r="R220" t="inlineStr"/>
    </row>
    <row r="221">
      <c r="A221" t="inlineStr">
        <is>
          <t>CHG_IMP_0196</t>
        </is>
      </c>
      <c r="B221" t="inlineStr">
        <is>
          <t>REL_26C</t>
        </is>
      </c>
      <c r="C221" t="inlineStr">
        <is>
          <t>Introducing agentic courses</t>
        </is>
      </c>
      <c r="D221" t="inlineStr">
        <is>
          <t>Introducing agentic courses. Module: Learning and Development. Release: 26C. Agentic courses teach from curated learning materials while adapting to each learner’s pace and needs. Learners can check understanding, get remediation, and progress toward mastery within guidance defined by learning designers. You can now deploy personalized instruction at scale using AI to your l</t>
        </is>
      </c>
      <c r="E221" t="inlineStr">
        <is>
          <t>Learning and Development</t>
        </is>
      </c>
      <c r="F221" t="inlineStr">
        <is>
          <t>Functional</t>
        </is>
      </c>
      <c r="G221" t="inlineStr">
        <is>
          <t>Functional</t>
        </is>
      </c>
      <c r="H221" t="inlineStr"/>
      <c r="I221" t="inlineStr"/>
      <c r="J221" t="inlineStr">
        <is>
          <t>Learning and Development</t>
        </is>
      </c>
      <c r="K221" t="inlineStr">
        <is>
          <t>N</t>
        </is>
      </c>
      <c r="L221" t="inlineStr">
        <is>
          <t>Y</t>
        </is>
      </c>
      <c r="M221" t="inlineStr">
        <is>
          <t>N</t>
        </is>
      </c>
      <c r="N221" t="inlineStr">
        <is>
          <t>Action type: Steps to Enable. 1. Sign in to AI Agent Studio. 2. Deploy the AI agent team using the delivered template. 1. Find the **Business Ethics Example Agentic Course** template. 2. Copy the temp</t>
        </is>
      </c>
      <c r="O221" t="inlineStr">
        <is>
          <t>Medium</t>
        </is>
      </c>
      <c r="P221" t="inlineStr">
        <is>
          <t>2025-06-20</t>
        </is>
      </c>
      <c r="Q221" t="inlineStr">
        <is>
          <t>Oracle Fusion 26C Readiness — Learning and Development</t>
        </is>
      </c>
      <c r="R221" t="inlineStr"/>
    </row>
    <row r="222">
      <c r="A222" t="inlineStr">
        <is>
          <t>CHG_IMP_0197</t>
        </is>
      </c>
      <c r="B222" t="inlineStr">
        <is>
          <t>REL_26C</t>
        </is>
      </c>
      <c r="C222" t="inlineStr">
        <is>
          <t>Learning Assignment Assistant with Mass Actions support</t>
        </is>
      </c>
      <c r="D222" t="inlineStr">
        <is>
          <t>Learning Assignment Assistant with Mass Actions support. Module: Learning and Development. Release: 26C. Learning specialists can use Learning Assignment Assistant to update assignment and activity statuses for courses, offerings, events, self-paced learning, and learning paths.
The assistant can interpret natural language requests that include actions, learner criteria, statuses, reason codes, a</t>
        </is>
      </c>
      <c r="E222" t="inlineStr">
        <is>
          <t>Learning and Development</t>
        </is>
      </c>
      <c r="F222" t="inlineStr">
        <is>
          <t>Functional</t>
        </is>
      </c>
      <c r="G222" t="inlineStr">
        <is>
          <t>Functional</t>
        </is>
      </c>
      <c r="H222" t="inlineStr"/>
      <c r="I222" t="inlineStr"/>
      <c r="J222" t="inlineStr">
        <is>
          <t>Learning and Development</t>
        </is>
      </c>
      <c r="K222" t="inlineStr">
        <is>
          <t>N</t>
        </is>
      </c>
      <c r="L222" t="inlineStr">
        <is>
          <t>Y</t>
        </is>
      </c>
      <c r="M222" t="inlineStr">
        <is>
          <t>N</t>
        </is>
      </c>
      <c r="N222" t="inlineStr">
        <is>
          <t>Action type: Steps to Enable. If you already enabled **Update Assignments** button for learning events, you don't need to do anything for events. You do need to enable it for all other r</t>
        </is>
      </c>
      <c r="O222" t="inlineStr">
        <is>
          <t>Medium</t>
        </is>
      </c>
      <c r="P222" t="inlineStr">
        <is>
          <t>2025-06-20</t>
        </is>
      </c>
      <c r="Q222" t="inlineStr">
        <is>
          <t>Oracle Fusion 26C Readiness — Learning and Development</t>
        </is>
      </c>
      <c r="R222" t="inlineStr"/>
    </row>
    <row r="223">
      <c r="A223" t="inlineStr">
        <is>
          <t>CHG_IMP_0198</t>
        </is>
      </c>
      <c r="B223" t="inlineStr">
        <is>
          <t>REL_26C</t>
        </is>
      </c>
      <c r="C223" t="inlineStr">
        <is>
          <t>Learning Catalog Calendar for Managers</t>
        </is>
      </c>
      <c r="D223" t="inlineStr">
        <is>
          <t>Learning Catalog Calendar for Managers. Module: Learning and Development. Release: 26C. Use Learning Calendar to review instructor-led and virtual instructor-led training in one place. Switch between month, week, day, list, and Today views to find events, review details, and take action directly from the calendar. You can also search and filter events and enroll or assign training from</t>
        </is>
      </c>
      <c r="E223" t="inlineStr">
        <is>
          <t>Learning and Development</t>
        </is>
      </c>
      <c r="F223" t="inlineStr">
        <is>
          <t>Functional</t>
        </is>
      </c>
      <c r="G223" t="inlineStr">
        <is>
          <t>Functional</t>
        </is>
      </c>
      <c r="H223" t="inlineStr"/>
      <c r="I223" t="inlineStr"/>
      <c r="J223" t="inlineStr">
        <is>
          <t>Learning and Development</t>
        </is>
      </c>
      <c r="K223" t="inlineStr">
        <is>
          <t>N</t>
        </is>
      </c>
      <c r="L223" t="inlineStr">
        <is>
          <t>Y</t>
        </is>
      </c>
      <c r="M223" t="inlineStr">
        <is>
          <t>N</t>
        </is>
      </c>
      <c r="N223" t="inlineStr">
        <is>
          <t>Action type: Steps to Enable. 1. Submit the ESS job to create the index definition and perform the initial ingest to OSCS process using this input parameter: fa-hcm-learningrecordtask Go to Tools &gt; Sc</t>
        </is>
      </c>
      <c r="O223" t="inlineStr">
        <is>
          <t>Medium</t>
        </is>
      </c>
      <c r="P223" t="inlineStr">
        <is>
          <t>2025-06-20</t>
        </is>
      </c>
      <c r="Q223" t="inlineStr">
        <is>
          <t>Oracle Fusion 26C Readiness — Learning and Development</t>
        </is>
      </c>
      <c r="R223" t="inlineStr"/>
    </row>
    <row r="224">
      <c r="A224" t="inlineStr">
        <is>
          <t>CHG_IMP_0199</t>
        </is>
      </c>
      <c r="B224" t="inlineStr">
        <is>
          <t>REL_26C</t>
        </is>
      </c>
      <c r="C224" t="inlineStr">
        <is>
          <t>Learning catalog calendar for specialists</t>
        </is>
      </c>
      <c r="D224" t="inlineStr">
        <is>
          <t>Learning catalog calendar for specialists. Module: Learning and Development. Release: 26C. Use the Learning Calendar task to view and manage instructor-led training in one place.
• Monitor schedules in month, week, day, or list views.
• Search and filter training.
• Review offering and event details.
• View dates and times in your specified format and time zone.
• Open the event to the A</t>
        </is>
      </c>
      <c r="E224" t="inlineStr">
        <is>
          <t>Learning and Development</t>
        </is>
      </c>
      <c r="F224" t="inlineStr">
        <is>
          <t>Functional</t>
        </is>
      </c>
      <c r="G224" t="inlineStr">
        <is>
          <t>Functional</t>
        </is>
      </c>
      <c r="H224" t="inlineStr"/>
      <c r="I224" t="inlineStr"/>
      <c r="J224" t="inlineStr">
        <is>
          <t>Learning and Development</t>
        </is>
      </c>
      <c r="K224" t="inlineStr">
        <is>
          <t>N</t>
        </is>
      </c>
      <c r="L224" t="inlineStr">
        <is>
          <t>Y</t>
        </is>
      </c>
      <c r="M224" t="inlineStr">
        <is>
          <t>N</t>
        </is>
      </c>
      <c r="N224" t="inlineStr">
        <is>
          <t>Action type: Steps to Enable. 1. Set up unified learning catalog administration and access control 2. Set the site-level profile value to Y for the ORA_WLF_ENABLE_ADMIN_LEARNING_CATALOG_CALENDAR profi</t>
        </is>
      </c>
      <c r="O224" t="inlineStr">
        <is>
          <t>Medium</t>
        </is>
      </c>
      <c r="P224" t="inlineStr">
        <is>
          <t>2025-06-20</t>
        </is>
      </c>
      <c r="Q224" t="inlineStr">
        <is>
          <t>Oracle Fusion 26C Readiness — Learning and Development</t>
        </is>
      </c>
      <c r="R224" t="inlineStr"/>
    </row>
    <row r="225">
      <c r="A225" t="inlineStr">
        <is>
          <t>CHG_IMP_0200</t>
        </is>
      </c>
      <c r="B225" t="inlineStr">
        <is>
          <t>REL_26C</t>
        </is>
      </c>
      <c r="C225" t="inlineStr">
        <is>
          <t>Multiple instructors support for Microsoft Teams events</t>
        </is>
      </c>
      <c r="D225" t="inlineStr">
        <is>
          <t>Multiple instructors support for Microsoft Teams events. Module: Learning and Development. Release: 26C. You can add multiple instructors to Microsoft Teams online meetings for learning events. Instructors who meet the account or email criteria are added as co-organizers.
Added instructors receive a join URL in event alerts or Outlook notifications, and they can start or join the meeting from the</t>
        </is>
      </c>
      <c r="E225" t="inlineStr">
        <is>
          <t>Learning and Development</t>
        </is>
      </c>
      <c r="F225" t="inlineStr">
        <is>
          <t>Functional</t>
        </is>
      </c>
      <c r="G225" t="inlineStr">
        <is>
          <t>Functional</t>
        </is>
      </c>
      <c r="H225" t="inlineStr"/>
      <c r="I225" t="inlineStr"/>
      <c r="J225" t="inlineStr">
        <is>
          <t>Learning and Development</t>
        </is>
      </c>
      <c r="K225" t="inlineStr">
        <is>
          <t>N</t>
        </is>
      </c>
      <c r="L225" t="inlineStr">
        <is>
          <t>Y</t>
        </is>
      </c>
      <c r="M225" t="inlineStr">
        <is>
          <t>N</t>
        </is>
      </c>
      <c r="N225" t="inlineStr">
        <is>
          <t>Action type: Steps to Enable. Set the site-level profile value to **Yes** for the ORA_WLF_ENABLE_ADVANCED_MEETING_OPTIONS profile option. The default value is **No**.</t>
        </is>
      </c>
      <c r="O225" t="inlineStr">
        <is>
          <t>Medium</t>
        </is>
      </c>
      <c r="P225" t="inlineStr">
        <is>
          <t>2025-06-20</t>
        </is>
      </c>
      <c r="Q225" t="inlineStr">
        <is>
          <t>Oracle Fusion 26C Readiness — Learning and Development</t>
        </is>
      </c>
      <c r="R225" t="inlineStr"/>
    </row>
    <row r="226">
      <c r="A226" t="inlineStr">
        <is>
          <t>CHG_IMP_0201</t>
        </is>
      </c>
      <c r="B226" t="inlineStr">
        <is>
          <t>REL_26C</t>
        </is>
      </c>
      <c r="C226" t="inlineStr">
        <is>
          <t>My Learning and learning catalog calendars for learners</t>
        </is>
      </c>
      <c r="D226" t="inlineStr">
        <is>
          <t>My Learning and learning catalog calendars for learners. Module: Learning and Development. Release: 26C. You can now see available instructor-led training and the learning that you're enrolled on your Me &gt; Learning &gt; Calendar page. Use month, week, day, and list views to help you find relevant learning. Drawers with details and in-context actions let you enroll in learning, request enrollment, joi</t>
        </is>
      </c>
      <c r="E226" t="inlineStr">
        <is>
          <t>Learning and Development</t>
        </is>
      </c>
      <c r="F226" t="inlineStr">
        <is>
          <t>Functional</t>
        </is>
      </c>
      <c r="G226" t="inlineStr">
        <is>
          <t>Functional</t>
        </is>
      </c>
      <c r="H226" t="inlineStr"/>
      <c r="I226" t="inlineStr"/>
      <c r="J226" t="inlineStr">
        <is>
          <t>Learning and Development</t>
        </is>
      </c>
      <c r="K226" t="inlineStr">
        <is>
          <t>N</t>
        </is>
      </c>
      <c r="L226" t="inlineStr">
        <is>
          <t>Y</t>
        </is>
      </c>
      <c r="M226" t="inlineStr">
        <is>
          <t>N</t>
        </is>
      </c>
      <c r="N226" t="inlineStr">
        <is>
          <t>Action type: Steps to Enable. 1. Submit the ESS job to create the index definition and perform the initial ingest to OSCS process using this input parameter: fa-hcm-learningrecordtask Go</t>
        </is>
      </c>
      <c r="O226" t="inlineStr">
        <is>
          <t>Medium</t>
        </is>
      </c>
      <c r="P226" t="inlineStr">
        <is>
          <t>2025-06-20</t>
        </is>
      </c>
      <c r="Q226" t="inlineStr">
        <is>
          <t>Oracle Fusion 26C Readiness — Learning and Development</t>
        </is>
      </c>
      <c r="R226" t="inlineStr"/>
    </row>
    <row r="227">
      <c r="A227" t="inlineStr">
        <is>
          <t>CHG_IMP_0202</t>
        </is>
      </c>
      <c r="B227" t="inlineStr">
        <is>
          <t>REL_26C</t>
        </is>
      </c>
      <c r="C227" t="inlineStr">
        <is>
          <t>My Learning training hours</t>
        </is>
      </c>
      <c r="D227" t="inlineStr">
        <is>
          <t>My Learning training hours. Module: Learning and Development. Release: 26C. Your learning experiences now include a scoreboard that helps you track learning progress over time. See training hours, enrollments, required learning, and learning still to complete for the current and previous year. Show and hide relevant cards so that the scoreboard best supports your needs.
My</t>
        </is>
      </c>
      <c r="E227" t="inlineStr">
        <is>
          <t>Learning and Development</t>
        </is>
      </c>
      <c r="F227" t="inlineStr">
        <is>
          <t>Functional</t>
        </is>
      </c>
      <c r="G227" t="inlineStr">
        <is>
          <t>Functional</t>
        </is>
      </c>
      <c r="H227" t="inlineStr"/>
      <c r="I227" t="inlineStr"/>
      <c r="J227" t="inlineStr">
        <is>
          <t>Learning and Development</t>
        </is>
      </c>
      <c r="K227" t="inlineStr">
        <is>
          <t>N</t>
        </is>
      </c>
      <c r="L227" t="inlineStr">
        <is>
          <t>Y</t>
        </is>
      </c>
      <c r="M227" t="inlineStr">
        <is>
          <t>N</t>
        </is>
      </c>
      <c r="N227" t="inlineStr">
        <is>
          <t>Action type: Steps to Enable. This feature requires manual configuration in Visual Builder Express to enable and customize the scoreboard display. • Use the learningMonth page property to set the firs</t>
        </is>
      </c>
      <c r="O227" t="inlineStr">
        <is>
          <t>Medium</t>
        </is>
      </c>
      <c r="P227" t="inlineStr">
        <is>
          <t>2025-06-20</t>
        </is>
      </c>
      <c r="Q227" t="inlineStr">
        <is>
          <t>Oracle Fusion 26C Readiness — Learning and Development</t>
        </is>
      </c>
      <c r="R227" t="inlineStr"/>
    </row>
    <row r="228">
      <c r="A228" t="inlineStr">
        <is>
          <t>CHG_IMP_0203</t>
        </is>
      </c>
      <c r="B228" t="inlineStr">
        <is>
          <t>REL_26C</t>
        </is>
      </c>
      <c r="C228" t="inlineStr">
        <is>
          <t>Online Meeting Improvements</t>
        </is>
      </c>
      <c r="D228" t="inlineStr">
        <is>
          <t>Online Meeting Improvements. Module: Learning and Development. Release: 26C. Use improved online meeting attendance processing to manage learner attendance more efficiently by automatically updating learner activity statuses from provider attendance data and downloading clearer and more relevant attendance reports.
**Learner activity statuses**
You can now configure learne</t>
        </is>
      </c>
      <c r="E228" t="inlineStr">
        <is>
          <t>Learning and Development</t>
        </is>
      </c>
      <c r="F228" t="inlineStr">
        <is>
          <t>Functional</t>
        </is>
      </c>
      <c r="G228" t="inlineStr">
        <is>
          <t>Functional</t>
        </is>
      </c>
      <c r="H228" t="inlineStr"/>
      <c r="I228" t="inlineStr"/>
      <c r="J228" t="inlineStr">
        <is>
          <t>Learning and Development</t>
        </is>
      </c>
      <c r="K228" t="inlineStr">
        <is>
          <t>N</t>
        </is>
      </c>
      <c r="L228" t="inlineStr">
        <is>
          <t>N</t>
        </is>
      </c>
      <c r="M228" t="inlineStr">
        <is>
          <t>N</t>
        </is>
      </c>
      <c r="N228" t="inlineStr">
        <is>
          <t>Auto-enabled — no action required</t>
        </is>
      </c>
      <c r="O228" t="inlineStr">
        <is>
          <t>Low</t>
        </is>
      </c>
      <c r="P228" t="inlineStr">
        <is>
          <t>2025-06-20</t>
        </is>
      </c>
      <c r="Q228" t="inlineStr">
        <is>
          <t>Oracle Fusion 26C Readiness — Learning and Development</t>
        </is>
      </c>
      <c r="R228" t="inlineStr"/>
    </row>
    <row r="229">
      <c r="A229" t="inlineStr">
        <is>
          <t>CHG_IMP_0204</t>
        </is>
      </c>
      <c r="B229" t="inlineStr">
        <is>
          <t>REL_26C</t>
        </is>
      </c>
      <c r="C229" t="inlineStr">
        <is>
          <t>Personalized Learning Guidance Using Grow Coach</t>
        </is>
      </c>
      <c r="D229" t="inlineStr">
        <is>
          <t>Personalized Learning Guidance Using Grow Coach. Module: Learning and Development. Release: 26C. Grow Coach analyzes multiple sections of the Grow page—including manager recommendations, current role gaps, skills in development, careers of interest, and current learning—to deliver personalized and prioritized upskilling advice. It supports flexible user queries to recommend courses that address</t>
        </is>
      </c>
      <c r="E229" t="inlineStr">
        <is>
          <t>Learning and Development</t>
        </is>
      </c>
      <c r="F229" t="inlineStr">
        <is>
          <t>Functional</t>
        </is>
      </c>
      <c r="G229" t="inlineStr">
        <is>
          <t>Functional</t>
        </is>
      </c>
      <c r="H229" t="inlineStr"/>
      <c r="I229" t="inlineStr"/>
      <c r="J229" t="inlineStr">
        <is>
          <t>Learning and Development</t>
        </is>
      </c>
      <c r="K229" t="inlineStr">
        <is>
          <t>N</t>
        </is>
      </c>
      <c r="L229" t="inlineStr">
        <is>
          <t>Y</t>
        </is>
      </c>
      <c r="M229" t="inlineStr">
        <is>
          <t>N</t>
        </is>
      </c>
      <c r="N229" t="inlineStr">
        <is>
          <t xml:space="preserve">Action type: Steps to Enable. Grow Coach is a delivered agent in Oracle AI Agent Studio. You can view this on the **Agent Teams** tab. The agent code is ORA_HCM_HRT_GROW_COACH. No customization </t>
        </is>
      </c>
      <c r="O229" t="inlineStr">
        <is>
          <t>Medium</t>
        </is>
      </c>
      <c r="P229" t="inlineStr">
        <is>
          <t>2025-06-20</t>
        </is>
      </c>
      <c r="Q229" t="inlineStr">
        <is>
          <t>Oracle Fusion 26C Readiness — Learning and Development</t>
        </is>
      </c>
      <c r="R229" t="inlineStr"/>
    </row>
    <row r="230">
      <c r="A230" t="inlineStr">
        <is>
          <t>CHG_IMP_0205</t>
        </is>
      </c>
      <c r="B230" t="inlineStr">
        <is>
          <t>REL_26C</t>
        </is>
      </c>
      <c r="C230" t="inlineStr">
        <is>
          <t>Redwood Media Player Updates</t>
        </is>
      </c>
      <c r="D230" t="inlineStr">
        <is>
          <t>Redwood Media Player Updates. Module: Learning and Development. Release: 26C. The Redwood media player is now the default experience in new implementations for video-based learning content.
This update:
• Fixes Chrome audio issues
• Disables Picture-in-Picture for learning videos
• Hides play, pause, fast-forward, and rewind controls when a trailer plays on a Learning Catal</t>
        </is>
      </c>
      <c r="E230" t="inlineStr">
        <is>
          <t>Learning and Development</t>
        </is>
      </c>
      <c r="F230" t="inlineStr">
        <is>
          <t>Functional</t>
        </is>
      </c>
      <c r="G230" t="inlineStr">
        <is>
          <t>Functional</t>
        </is>
      </c>
      <c r="H230" t="inlineStr"/>
      <c r="I230" t="inlineStr"/>
      <c r="J230" t="inlineStr">
        <is>
          <t>Learning and Development</t>
        </is>
      </c>
      <c r="K230" t="inlineStr">
        <is>
          <t>N</t>
        </is>
      </c>
      <c r="L230" t="inlineStr">
        <is>
          <t>Y</t>
        </is>
      </c>
      <c r="M230" t="inlineStr">
        <is>
          <t>N</t>
        </is>
      </c>
      <c r="N230" t="inlineStr">
        <is>
          <t>Action type: Steps to Enable. This player is now enabled by default for all new implementations. If you have an existing implementation, set the site-level profile value to Yes for the ORA_WLF_SP_MEDI</t>
        </is>
      </c>
      <c r="O230" t="inlineStr">
        <is>
          <t>Medium</t>
        </is>
      </c>
      <c r="P230" t="inlineStr">
        <is>
          <t>2025-06-20</t>
        </is>
      </c>
      <c r="Q230" t="inlineStr">
        <is>
          <t>Oracle Fusion 26C Readiness — Learning and Development</t>
        </is>
      </c>
      <c r="R230" t="inlineStr"/>
    </row>
    <row r="231">
      <c r="A231" t="inlineStr">
        <is>
          <t>CHG_IMP_0206</t>
        </is>
      </c>
      <c r="B231" t="inlineStr">
        <is>
          <t>REL_26C</t>
        </is>
      </c>
      <c r="C231" t="inlineStr">
        <is>
          <t>Redwood category and topic management</t>
        </is>
      </c>
      <c r="D231" t="inlineStr">
        <is>
          <t>Redwood category and topic management. Module: Learning and Development. Release: 26C. You can use the new Categories and Topics Redwood experience to manage catalog structures in a modern, task-focused interface.  The experience includes List, Category, and Topic Index views, with keyword search, filter chips, and saved-search behavior.
Redwood Categories and Topics Page
Create and</t>
        </is>
      </c>
      <c r="E231" t="inlineStr">
        <is>
          <t>Learning and Development</t>
        </is>
      </c>
      <c r="F231" t="inlineStr">
        <is>
          <t>Functional</t>
        </is>
      </c>
      <c r="G231" t="inlineStr">
        <is>
          <t>Functional</t>
        </is>
      </c>
      <c r="H231" t="inlineStr"/>
      <c r="I231" t="inlineStr"/>
      <c r="J231" t="inlineStr">
        <is>
          <t>Learning and Development</t>
        </is>
      </c>
      <c r="K231" t="inlineStr">
        <is>
          <t>N</t>
        </is>
      </c>
      <c r="L231" t="inlineStr">
        <is>
          <t>Y</t>
        </is>
      </c>
      <c r="M231" t="inlineStr">
        <is>
          <t>N</t>
        </is>
      </c>
      <c r="N231" t="inlineStr">
        <is>
          <t>Action type: Steps to Enable. Set the site-level profile value to Y for the ORA_WLF_CATG_TOP_REDWOOD_ENABLED profile option. Go to Setup and Maintenance &gt; Tasks panel &gt; Search &gt; Manage Administrator P</t>
        </is>
      </c>
      <c r="O231" t="inlineStr">
        <is>
          <t>Medium</t>
        </is>
      </c>
      <c r="P231" t="inlineStr">
        <is>
          <t>2025-06-20</t>
        </is>
      </c>
      <c r="Q231" t="inlineStr">
        <is>
          <t>Oracle Fusion 26C Readiness — Learning and Development</t>
        </is>
      </c>
      <c r="R231" t="inlineStr"/>
    </row>
    <row r="232">
      <c r="A232" t="inlineStr">
        <is>
          <t>CHG_IMP_0207</t>
        </is>
      </c>
      <c r="B232" t="inlineStr">
        <is>
          <t>REL_26C</t>
        </is>
      </c>
      <c r="C232" t="inlineStr">
        <is>
          <t>Redwood specialization management</t>
        </is>
      </c>
      <c r="D232" t="inlineStr">
        <is>
          <t>Redwood specialization management. Module: Learning and Development. Release: 26C. Enjoy a modern Redwood learning path experience that makes creating, managing, and exploring learning paths simpler than ever. Now you can organize content more efficiently and learners get a clearer view of their progress and next steps along their learning journey.
Unified Activities Tab: Visual</t>
        </is>
      </c>
      <c r="E232" t="inlineStr">
        <is>
          <t>Learning and Development</t>
        </is>
      </c>
      <c r="F232" t="inlineStr">
        <is>
          <t>Functional</t>
        </is>
      </c>
      <c r="G232" t="inlineStr">
        <is>
          <t>Functional</t>
        </is>
      </c>
      <c r="H232" t="inlineStr"/>
      <c r="I232" t="inlineStr"/>
      <c r="J232" t="inlineStr">
        <is>
          <t>Learning and Development</t>
        </is>
      </c>
      <c r="K232" t="inlineStr">
        <is>
          <t>N</t>
        </is>
      </c>
      <c r="L232" t="inlineStr">
        <is>
          <t>Y</t>
        </is>
      </c>
      <c r="M232" t="inlineStr">
        <is>
          <t>N</t>
        </is>
      </c>
      <c r="N232" t="inlineStr">
        <is>
          <t>Action type: Steps to Enable. 1. If you haven't already, enable these features to use this feature: • Self-paced learning • Redwood assignment management 2. Set the site-level value to Yes for the ORA</t>
        </is>
      </c>
      <c r="O232" t="inlineStr">
        <is>
          <t>Medium</t>
        </is>
      </c>
      <c r="P232" t="inlineStr">
        <is>
          <t>2025-06-20</t>
        </is>
      </c>
      <c r="Q232" t="inlineStr">
        <is>
          <t>Oracle Fusion 26C Readiness — Learning and Development</t>
        </is>
      </c>
      <c r="R232" t="inlineStr"/>
    </row>
    <row r="233">
      <c r="A233" t="inlineStr">
        <is>
          <t>CHG_IMP_0208</t>
        </is>
      </c>
      <c r="B233" t="inlineStr">
        <is>
          <t>REL_26C</t>
        </is>
      </c>
      <c r="C233" t="inlineStr">
        <is>
          <t>Self-paced learning content knowledge indexing</t>
        </is>
      </c>
      <c r="D233" t="inlineStr">
        <is>
          <t>Self-paced learning content knowledge indexing. Module: Learning and Development. Release: 26C. You can now turn on the **Extract the knowledge in this content for AI agents to use** checkbox for supported content types, including these types:
• Document (PDF)
• Video (MP4)
• Presentation (PPS, PPT, PPSX, PPTX)
• Online content (SCORM 1.2, SCORM 2004, AICC, CMI5)
Indexed knowledge from this</t>
        </is>
      </c>
      <c r="E233" t="inlineStr">
        <is>
          <t>Learning and Development</t>
        </is>
      </c>
      <c r="F233" t="inlineStr">
        <is>
          <t>AI Feature</t>
        </is>
      </c>
      <c r="G233" t="inlineStr">
        <is>
          <t>AI Feature</t>
        </is>
      </c>
      <c r="H233" t="inlineStr"/>
      <c r="I233" t="inlineStr"/>
      <c r="J233" t="inlineStr">
        <is>
          <t>Learning and Development</t>
        </is>
      </c>
      <c r="K233" t="inlineStr">
        <is>
          <t>N</t>
        </is>
      </c>
      <c r="L233" t="inlineStr">
        <is>
          <t>N</t>
        </is>
      </c>
      <c r="M233" t="inlineStr">
        <is>
          <t>N</t>
        </is>
      </c>
      <c r="N233" t="inlineStr">
        <is>
          <t>Auto-enabled — no action required</t>
        </is>
      </c>
      <c r="O233" t="inlineStr">
        <is>
          <t>Low</t>
        </is>
      </c>
      <c r="P233" t="inlineStr">
        <is>
          <t>2025-06-20</t>
        </is>
      </c>
      <c r="Q233" t="inlineStr">
        <is>
          <t>Oracle Fusion 26C Readiness — Learning and Development</t>
        </is>
      </c>
      <c r="R233" t="inlineStr"/>
    </row>
    <row r="234">
      <c r="A234" t="inlineStr">
        <is>
          <t>CHG_IMP_0209</t>
        </is>
      </c>
      <c r="B234" t="inlineStr">
        <is>
          <t>REL_26C</t>
        </is>
      </c>
      <c r="C234" t="inlineStr">
        <is>
          <t>Summary and Description Generator Updates</t>
        </is>
      </c>
      <c r="D234" t="inlineStr">
        <is>
          <t>Summary and Description Generator Updates. Module: Learning and Development. Release: 26C. Existing AI-assisted summary and description generation now uses workflow automation agents. These agents support learning summaries and descriptions, bulk learning descriptions, and generic text summaries used in Learning Catalog advisor search. And they continue to support the same application-pag</t>
        </is>
      </c>
      <c r="E234" t="inlineStr">
        <is>
          <t>Learning and Development</t>
        </is>
      </c>
      <c r="F234" t="inlineStr">
        <is>
          <t>Functional</t>
        </is>
      </c>
      <c r="G234" t="inlineStr">
        <is>
          <t>Functional</t>
        </is>
      </c>
      <c r="H234" t="inlineStr"/>
      <c r="I234" t="inlineStr"/>
      <c r="J234" t="inlineStr">
        <is>
          <t>Learning and Development</t>
        </is>
      </c>
      <c r="K234" t="inlineStr">
        <is>
          <t>N</t>
        </is>
      </c>
      <c r="L234" t="inlineStr">
        <is>
          <t>Y</t>
        </is>
      </c>
      <c r="M234" t="inlineStr">
        <is>
          <t>N</t>
        </is>
      </c>
      <c r="N234" t="inlineStr">
        <is>
          <t>Action type: Steps to Enable. Grant the appropriate duty roles. See Access Requirements for details.</t>
        </is>
      </c>
      <c r="O234" t="inlineStr">
        <is>
          <t>Medium</t>
        </is>
      </c>
      <c r="P234" t="inlineStr">
        <is>
          <t>2025-06-20</t>
        </is>
      </c>
      <c r="Q234" t="inlineStr">
        <is>
          <t>Oracle Fusion 26C Readiness — Learning and Development</t>
        </is>
      </c>
      <c r="R234" t="inlineStr"/>
    </row>
    <row r="235">
      <c r="A235" t="inlineStr">
        <is>
          <t>CHG_IMP_0210</t>
        </is>
      </c>
      <c r="B235" t="inlineStr">
        <is>
          <t>REL_26C</t>
        </is>
      </c>
      <c r="C235" t="inlineStr">
        <is>
          <t>Usage details for events, courses, and learning paths</t>
        </is>
      </c>
      <c r="D235" t="inlineStr">
        <is>
          <t>Usage details for events, courses, and learning paths. Module: Learning and Development. Release: 26C. The Learning Catalog page now makes it easier to review relationships across events, courses, and specializations. The **Where Used** columns are clickable, so you can open related entities directly. Related learning also appears in organized sections that match the details page layout.
Where Us</t>
        </is>
      </c>
      <c r="E235" t="inlineStr">
        <is>
          <t>Learning and Development</t>
        </is>
      </c>
      <c r="F235" t="inlineStr">
        <is>
          <t>Functional</t>
        </is>
      </c>
      <c r="G235" t="inlineStr">
        <is>
          <t>Functional</t>
        </is>
      </c>
      <c r="H235" t="inlineStr"/>
      <c r="I235" t="inlineStr"/>
      <c r="J235" t="inlineStr">
        <is>
          <t>Learning and Development</t>
        </is>
      </c>
      <c r="K235" t="inlineStr">
        <is>
          <t>N</t>
        </is>
      </c>
      <c r="L235" t="inlineStr">
        <is>
          <t>N</t>
        </is>
      </c>
      <c r="M235" t="inlineStr">
        <is>
          <t>N</t>
        </is>
      </c>
      <c r="N235" t="inlineStr">
        <is>
          <t>Auto-enabled — no action required</t>
        </is>
      </c>
      <c r="O235" t="inlineStr">
        <is>
          <t>Low</t>
        </is>
      </c>
      <c r="P235" t="inlineStr">
        <is>
          <t>2025-06-20</t>
        </is>
      </c>
      <c r="Q235" t="inlineStr">
        <is>
          <t>Oracle Fusion 26C Readiness — Learning and Development</t>
        </is>
      </c>
      <c r="R235" t="inlineStr"/>
    </row>
    <row r="236">
      <c r="A236" t="inlineStr">
        <is>
          <t>CHG_IMP_0211</t>
        </is>
      </c>
      <c r="B236" t="inlineStr">
        <is>
          <t>REL_26C</t>
        </is>
      </c>
      <c r="C236" t="inlineStr">
        <is>
          <t>View Real-Time Skill Gap Recommendations for Favorite Careers</t>
        </is>
      </c>
      <c r="D236" t="inlineStr">
        <is>
          <t>View Real-Time Skill Gap Recommendations for Favorite Careers. Module: Learning and Development. Release: 26C. When an employee adds a career role to their favorites in Opportunity Marketplace, the **Skills and qualifications for the {Career Role Name} role**swim lanes appear in real-time in Grow for that career role. The gap recommender process for the career of interest skill gaps runs immediate</t>
        </is>
      </c>
      <c r="E236" t="inlineStr">
        <is>
          <t>Learning and Development</t>
        </is>
      </c>
      <c r="F236" t="inlineStr">
        <is>
          <t>Functional</t>
        </is>
      </c>
      <c r="G236" t="inlineStr">
        <is>
          <t>Functional</t>
        </is>
      </c>
      <c r="H236" t="inlineStr"/>
      <c r="I236" t="inlineStr"/>
      <c r="J236" t="inlineStr">
        <is>
          <t>Learning and Development</t>
        </is>
      </c>
      <c r="K236" t="inlineStr">
        <is>
          <t>N</t>
        </is>
      </c>
      <c r="L236" t="inlineStr">
        <is>
          <t>N</t>
        </is>
      </c>
      <c r="M236" t="inlineStr">
        <is>
          <t>N</t>
        </is>
      </c>
      <c r="N236" t="inlineStr">
        <is>
          <t>Auto-enabled — no action required</t>
        </is>
      </c>
      <c r="O236" t="inlineStr">
        <is>
          <t>Low</t>
        </is>
      </c>
      <c r="P236" t="inlineStr">
        <is>
          <t>2025-06-20</t>
        </is>
      </c>
      <c r="Q236" t="inlineStr">
        <is>
          <t>Oracle Fusion 26C Readiness — Learning and Development</t>
        </is>
      </c>
      <c r="R236" t="inlineStr"/>
    </row>
    <row r="237">
      <c r="A237" t="inlineStr">
        <is>
          <t>CHG_IMP_0212</t>
        </is>
      </c>
      <c r="B237" t="inlineStr">
        <is>
          <t>REL_26C</t>
        </is>
      </c>
      <c r="C237" t="inlineStr">
        <is>
          <t>View Role Match Summary</t>
        </is>
      </c>
      <c r="D237" t="inlineStr">
        <is>
          <t>View Role Match Summary. Module: Learning and Development. Release: 26C. This AI-powered feature provides employees with a role match summary of how their current skills and qualifications fit a career role. The Profile Match Analyst agent compares an employee’s talent profile with the job or position profile defined for a career role and provides this analysis.
The rol</t>
        </is>
      </c>
      <c r="E237" t="inlineStr">
        <is>
          <t>Learning and Development</t>
        </is>
      </c>
      <c r="F237" t="inlineStr">
        <is>
          <t>AI Feature</t>
        </is>
      </c>
      <c r="G237" t="inlineStr">
        <is>
          <t>AI Feature</t>
        </is>
      </c>
      <c r="H237" t="inlineStr"/>
      <c r="I237" t="inlineStr"/>
      <c r="J237" t="inlineStr">
        <is>
          <t>Learning and Development</t>
        </is>
      </c>
      <c r="K237" t="inlineStr">
        <is>
          <t>N</t>
        </is>
      </c>
      <c r="L237" t="inlineStr">
        <is>
          <t>Y</t>
        </is>
      </c>
      <c r="M237" t="inlineStr">
        <is>
          <t>N</t>
        </is>
      </c>
      <c r="N237" t="inlineStr">
        <is>
          <t>Action type: Steps to Enable. While this feature is enabled by default, you can hide the role match summary section using the Visual Studio page property, Show Career Match. Set it to **True** to show</t>
        </is>
      </c>
      <c r="O237" t="inlineStr">
        <is>
          <t>Medium</t>
        </is>
      </c>
      <c r="P237" t="inlineStr">
        <is>
          <t>2025-06-20</t>
        </is>
      </c>
      <c r="Q237" t="inlineStr">
        <is>
          <t>Oracle Fusion 26C Readiness — Learning and Development</t>
        </is>
      </c>
      <c r="R237" t="inlineStr"/>
    </row>
    <row r="238">
      <c r="A238" t="inlineStr">
        <is>
          <t>CHG_IMP_0213</t>
        </is>
      </c>
      <c r="B238" t="inlineStr">
        <is>
          <t>REL_26C</t>
        </is>
      </c>
      <c r="C238" t="inlineStr">
        <is>
          <t>Add Development Goals for Employees’ Favorite Career Roles</t>
        </is>
      </c>
      <c r="D238" t="inlineStr">
        <is>
          <t>Add Development Goals for Employees’ Favorite Career Roles. Module: Opportunity Marketplace. Release: 26C. Managers can now add development goals based on their reports’ favorite career roles. When a manager navigates to a worker’s favorite career role (through **My Team &gt; Recommend Career Roles &gt; Favorites**filter), they’ll see an **Add Goal**button next to the qualifications and competencies tha</t>
        </is>
      </c>
      <c r="E238" t="inlineStr">
        <is>
          <t>Opportunity Marketplace</t>
        </is>
      </c>
      <c r="F238" t="inlineStr">
        <is>
          <t>Functional</t>
        </is>
      </c>
      <c r="G238" t="inlineStr">
        <is>
          <t>Functional</t>
        </is>
      </c>
      <c r="H238" t="inlineStr"/>
      <c r="I238" t="inlineStr"/>
      <c r="J238" t="inlineStr">
        <is>
          <t>Opportunity Marketplace</t>
        </is>
      </c>
      <c r="K238" t="inlineStr">
        <is>
          <t>N</t>
        </is>
      </c>
      <c r="L238" t="inlineStr">
        <is>
          <t>N</t>
        </is>
      </c>
      <c r="M238" t="inlineStr">
        <is>
          <t>N</t>
        </is>
      </c>
      <c r="N238" t="inlineStr">
        <is>
          <t>Auto-enabled — no action required</t>
        </is>
      </c>
      <c r="O238" t="inlineStr">
        <is>
          <t>Low</t>
        </is>
      </c>
      <c r="P238" t="inlineStr">
        <is>
          <t>2025-06-20</t>
        </is>
      </c>
      <c r="Q238" t="inlineStr">
        <is>
          <t>Oracle Fusion 26C Readiness — Opportunity Marketplace</t>
        </is>
      </c>
      <c r="R238" t="inlineStr"/>
    </row>
    <row r="239">
      <c r="A239" t="inlineStr">
        <is>
          <t>CHG_IMP_0214</t>
        </is>
      </c>
      <c r="B239" t="inlineStr">
        <is>
          <t>REL_26C</t>
        </is>
      </c>
      <c r="C239" t="inlineStr">
        <is>
          <t>Career Advancement Command Center</t>
        </is>
      </c>
      <c r="D239" t="inlineStr">
        <is>
          <t>Career Advancement Command Center. Module: Opportunity Marketplace. Release: 26C. The Career Advancement Command Center helps employees take the next step in their careers from a single, AI-powered workspace. Instead of navigating separate systems for profile management, jobs, gigs, learning, and events, employees can see where they are today, identify where they want to go next,</t>
        </is>
      </c>
      <c r="E239" t="inlineStr">
        <is>
          <t>Opportunity Marketplace</t>
        </is>
      </c>
      <c r="F239" t="inlineStr">
        <is>
          <t>AI Feature</t>
        </is>
      </c>
      <c r="G239" t="inlineStr">
        <is>
          <t>AI Feature</t>
        </is>
      </c>
      <c r="H239" t="inlineStr"/>
      <c r="I239" t="inlineStr"/>
      <c r="J239" t="inlineStr">
        <is>
          <t>Opportunity Marketplace</t>
        </is>
      </c>
      <c r="K239" t="inlineStr">
        <is>
          <t>N</t>
        </is>
      </c>
      <c r="L239" t="inlineStr">
        <is>
          <t>Y</t>
        </is>
      </c>
      <c r="M239" t="inlineStr">
        <is>
          <t>N</t>
        </is>
      </c>
      <c r="N239" t="inlineStr">
        <is>
          <t>Action type: Steps to Enable. 1. Enable Gigs, Jobs, and Career Roles in Opportunity Marketplace. For details see How do I set up Opportunity Marketplace? 2. Enable ORA_HRT_SKILLS_ENRICHMENT_ENABLED so</t>
        </is>
      </c>
      <c r="O239" t="inlineStr">
        <is>
          <t>Low</t>
        </is>
      </c>
      <c r="P239" t="inlineStr">
        <is>
          <t>2025-06-20</t>
        </is>
      </c>
      <c r="Q239" t="inlineStr">
        <is>
          <t>Oracle Fusion 26C Readiness — Opportunity Marketplace</t>
        </is>
      </c>
      <c r="R239" t="inlineStr"/>
    </row>
    <row r="240">
      <c r="A240" t="inlineStr">
        <is>
          <t>CHG_IMP_0215</t>
        </is>
      </c>
      <c r="B240" t="inlineStr">
        <is>
          <t>REL_26C</t>
        </is>
      </c>
      <c r="C240" t="inlineStr">
        <is>
          <t>Control Visibility of Favorite Career Roles</t>
        </is>
      </c>
      <c r="D240" t="inlineStr">
        <is>
          <t>Control Visibility of Favorite Career Roles. Module: Opportunity Marketplace. Release: 26C. You can now mark your favorite career roles as private or public. Your managers and HR can access public career roles but not private roles. You can access all your favorite roles regardless of privacy.
When you add a career to your favorites, it’s public by default. When you view the career detail</t>
        </is>
      </c>
      <c r="E240" t="inlineStr">
        <is>
          <t>Opportunity Marketplace</t>
        </is>
      </c>
      <c r="F240" t="inlineStr">
        <is>
          <t>Functional</t>
        </is>
      </c>
      <c r="G240" t="inlineStr">
        <is>
          <t>Functional</t>
        </is>
      </c>
      <c r="H240" t="inlineStr"/>
      <c r="I240" t="inlineStr"/>
      <c r="J240" t="inlineStr">
        <is>
          <t>Opportunity Marketplace</t>
        </is>
      </c>
      <c r="K240" t="inlineStr">
        <is>
          <t>N</t>
        </is>
      </c>
      <c r="L240" t="inlineStr">
        <is>
          <t>Y</t>
        </is>
      </c>
      <c r="M240" t="inlineStr">
        <is>
          <t>N</t>
        </is>
      </c>
      <c r="N240" t="inlineStr">
        <is>
          <t xml:space="preserve">Action type: Steps to Enable. This feature is enabled by default. The buttons can be shown or hidden using the Visual Studio page property, **Show Make Public Make It Private Buttons**. For details </t>
        </is>
      </c>
      <c r="O240" t="inlineStr">
        <is>
          <t>Low</t>
        </is>
      </c>
      <c r="P240" t="inlineStr">
        <is>
          <t>2025-06-20</t>
        </is>
      </c>
      <c r="Q240" t="inlineStr">
        <is>
          <t>Oracle Fusion 26C Readiness — Opportunity Marketplace</t>
        </is>
      </c>
      <c r="R240" t="inlineStr"/>
    </row>
    <row r="241">
      <c r="A241" t="inlineStr">
        <is>
          <t>CHG_IMP_0216</t>
        </is>
      </c>
      <c r="B241" t="inlineStr">
        <is>
          <t>REL_26C</t>
        </is>
      </c>
      <c r="C241" t="inlineStr">
        <is>
          <t>Internal Hiring Events</t>
        </is>
      </c>
      <c r="D241" t="inlineStr">
        <is>
          <t>Internal Hiring Events. Module: Opportunity Marketplace. Release: 26C. Employees can now view and apply for internal hiring events from Opportunity Marketplace.
Events in Opportunity Marketplace
Employees can view event details, register directly from the event page, and answer any screening questions during registration. If screening questions are linked to an event</t>
        </is>
      </c>
      <c r="E241" t="inlineStr">
        <is>
          <t>Opportunity Marketplace</t>
        </is>
      </c>
      <c r="F241" t="inlineStr">
        <is>
          <t>Functional</t>
        </is>
      </c>
      <c r="G241" t="inlineStr">
        <is>
          <t>Functional</t>
        </is>
      </c>
      <c r="H241" t="inlineStr"/>
      <c r="I241" t="inlineStr"/>
      <c r="J241" t="inlineStr">
        <is>
          <t>Opportunity Marketplace</t>
        </is>
      </c>
      <c r="K241" t="inlineStr">
        <is>
          <t>N</t>
        </is>
      </c>
      <c r="L241" t="inlineStr">
        <is>
          <t>Y</t>
        </is>
      </c>
      <c r="M241" t="inlineStr">
        <is>
          <t>N</t>
        </is>
      </c>
      <c r="N241" t="inlineStr">
        <is>
          <t>Action type: Steps to Enable. Follow these set up steps to enable internal hiring events: 1. Enable the ORA_HCM_OPP_MARKET_PLACE_HIRING_EVENTS profile option to allow internal hiring events to flow in</t>
        </is>
      </c>
      <c r="O241" t="inlineStr">
        <is>
          <t>Low</t>
        </is>
      </c>
      <c r="P241" t="inlineStr">
        <is>
          <t>2025-06-20</t>
        </is>
      </c>
      <c r="Q241" t="inlineStr">
        <is>
          <t>Oracle Fusion 26C Readiness — Opportunity Marketplace</t>
        </is>
      </c>
      <c r="R241" t="inlineStr"/>
    </row>
    <row r="242">
      <c r="A242" t="inlineStr">
        <is>
          <t>CHG_IMP_0217</t>
        </is>
      </c>
      <c r="B242" t="inlineStr">
        <is>
          <t>REL_26C</t>
        </is>
      </c>
      <c r="C242" t="inlineStr">
        <is>
          <t>My Career Recommendations</t>
        </is>
      </c>
      <c r="D242" t="inlineStr">
        <is>
          <t>My Career Recommendations. Module: Opportunity Marketplace. Release: 26C. Employees visiting Opportunity Marketplace will now encounter the My Career Recommendations landing page first. This new page delivers personalized job, gig, and career role recommendations in "swim lanes" (horizontal rows of opportunity cards).
When an employee arrives at this page for the first t</t>
        </is>
      </c>
      <c r="E242" t="inlineStr">
        <is>
          <t>Opportunity Marketplace</t>
        </is>
      </c>
      <c r="F242" t="inlineStr">
        <is>
          <t>Functional</t>
        </is>
      </c>
      <c r="G242" t="inlineStr">
        <is>
          <t>Functional</t>
        </is>
      </c>
      <c r="H242" t="inlineStr"/>
      <c r="I242" t="inlineStr"/>
      <c r="J242" t="inlineStr">
        <is>
          <t>Opportunity Marketplace</t>
        </is>
      </c>
      <c r="K242" t="inlineStr">
        <is>
          <t>N</t>
        </is>
      </c>
      <c r="L242" t="inlineStr">
        <is>
          <t>Y</t>
        </is>
      </c>
      <c r="M242" t="inlineStr">
        <is>
          <t>N</t>
        </is>
      </c>
      <c r="N242" t="inlineStr">
        <is>
          <t>Action type: Steps to Enable. 1. Enable the ORA_HCM_OPP_MARKET_PLACE_MY_CAREER profile option. For details, see How do I enable a profile option? 2. Enable career roles in Opportunity Marketplace. For</t>
        </is>
      </c>
      <c r="O242" t="inlineStr">
        <is>
          <t>Low</t>
        </is>
      </c>
      <c r="P242" t="inlineStr">
        <is>
          <t>2025-06-20</t>
        </is>
      </c>
      <c r="Q242" t="inlineStr">
        <is>
          <t>Oracle Fusion 26C Readiness — Opportunity Marketplace</t>
        </is>
      </c>
      <c r="R242" t="inlineStr"/>
    </row>
    <row r="243">
      <c r="A243" t="inlineStr">
        <is>
          <t>CHG_IMP_0218</t>
        </is>
      </c>
      <c r="B243" t="inlineStr">
        <is>
          <t>REL_26C</t>
        </is>
      </c>
      <c r="C243" t="inlineStr">
        <is>
          <t>Recommend and Manage Career Roles for Employees</t>
        </is>
      </c>
      <c r="D243" t="inlineStr">
        <is>
          <t>Recommend and Manage Career Roles for Employees. Module: Opportunity Marketplace. Release: 26C. Managers and HR admins can now recommend career roles for employees. There's a new quick action called Recommend Career Roles located under:
• **My Team &gt; Show More &gt; Career and Performance** for managers
• **My Team &gt; Team Activity Center &gt; Applications &gt; View More**for managers
• **My Client Grou</t>
        </is>
      </c>
      <c r="E243" t="inlineStr">
        <is>
          <t>Opportunity Marketplace</t>
        </is>
      </c>
      <c r="F243" t="inlineStr">
        <is>
          <t>Functional</t>
        </is>
      </c>
      <c r="G243" t="inlineStr">
        <is>
          <t>Functional</t>
        </is>
      </c>
      <c r="H243" t="inlineStr"/>
      <c r="I243" t="inlineStr"/>
      <c r="J243" t="inlineStr">
        <is>
          <t>Opportunity Marketplace</t>
        </is>
      </c>
      <c r="K243" t="inlineStr">
        <is>
          <t>N</t>
        </is>
      </c>
      <c r="L243" t="inlineStr">
        <is>
          <t>Y</t>
        </is>
      </c>
      <c r="M243" t="inlineStr">
        <is>
          <t>N</t>
        </is>
      </c>
      <c r="N243" t="inlineStr">
        <is>
          <t>Action type: Steps to Enable. 1. Enable the ORA_HCM_OPP_MARKET_PLACE_CAREER_ROLES profile option to display the Recommend Career Roles quick action. For details, see How do I enable a profile opt</t>
        </is>
      </c>
      <c r="O243" t="inlineStr">
        <is>
          <t>Low</t>
        </is>
      </c>
      <c r="P243" t="inlineStr">
        <is>
          <t>2025-06-20</t>
        </is>
      </c>
      <c r="Q243" t="inlineStr">
        <is>
          <t>Oracle Fusion 26C Readiness — Opportunity Marketplace</t>
        </is>
      </c>
      <c r="R243" t="inlineStr"/>
    </row>
    <row r="244">
      <c r="A244" t="inlineStr">
        <is>
          <t>CHG_IMP_0219</t>
        </is>
      </c>
      <c r="B244" t="inlineStr">
        <is>
          <t>REL_26C</t>
        </is>
      </c>
      <c r="C244" t="inlineStr">
        <is>
          <t>View Real-Time Skill Gap Recommendations for Favorite Careers</t>
        </is>
      </c>
      <c r="D244" t="inlineStr">
        <is>
          <t>View Real-Time Skill Gap Recommendations for Favorite Careers. Module: Opportunity Marketplace. Release: 26C. When an employee adds a career role to their favorites in Opportunity Marketplace, the **Skills and qualifications for the {Career Role Name} role**swim lanes appear in real-time in Grow for that career role. The gap recommender process for the career of interest skill gaps runs immediatel</t>
        </is>
      </c>
      <c r="E244" t="inlineStr">
        <is>
          <t>Opportunity Marketplace</t>
        </is>
      </c>
      <c r="F244" t="inlineStr">
        <is>
          <t>Functional</t>
        </is>
      </c>
      <c r="G244" t="inlineStr">
        <is>
          <t>Functional</t>
        </is>
      </c>
      <c r="H244" t="inlineStr"/>
      <c r="I244" t="inlineStr"/>
      <c r="J244" t="inlineStr">
        <is>
          <t>Opportunity Marketplace</t>
        </is>
      </c>
      <c r="K244" t="inlineStr">
        <is>
          <t>N</t>
        </is>
      </c>
      <c r="L244" t="inlineStr">
        <is>
          <t>N</t>
        </is>
      </c>
      <c r="M244" t="inlineStr">
        <is>
          <t>N</t>
        </is>
      </c>
      <c r="N244" t="inlineStr">
        <is>
          <t>Auto-enabled — no action required</t>
        </is>
      </c>
      <c r="O244" t="inlineStr">
        <is>
          <t>Low</t>
        </is>
      </c>
      <c r="P244" t="inlineStr">
        <is>
          <t>2025-06-20</t>
        </is>
      </c>
      <c r="Q244" t="inlineStr">
        <is>
          <t>Oracle Fusion 26C Readiness — Opportunity Marketplace</t>
        </is>
      </c>
      <c r="R244" t="inlineStr"/>
    </row>
    <row r="245">
      <c r="A245" t="inlineStr">
        <is>
          <t>CHG_IMP_0220</t>
        </is>
      </c>
      <c r="B245" t="inlineStr">
        <is>
          <t>REL_26C</t>
        </is>
      </c>
      <c r="C245" t="inlineStr">
        <is>
          <t>View Role Match Summary</t>
        </is>
      </c>
      <c r="D245" t="inlineStr">
        <is>
          <t>View Role Match Summary. Module: Opportunity Marketplace. Release: 26C. This AI-powered feature provides employees with a role match summary of how their current skills and qualifications fit a career role. The Profile Match Analyst agent compares an employee’s talent profile with the job or position profile defined for a career role and provides this analysis.
The rol</t>
        </is>
      </c>
      <c r="E245" t="inlineStr">
        <is>
          <t>Opportunity Marketplace</t>
        </is>
      </c>
      <c r="F245" t="inlineStr">
        <is>
          <t>AI Feature</t>
        </is>
      </c>
      <c r="G245" t="inlineStr">
        <is>
          <t>AI Feature</t>
        </is>
      </c>
      <c r="H245" t="inlineStr"/>
      <c r="I245" t="inlineStr"/>
      <c r="J245" t="inlineStr">
        <is>
          <t>Opportunity Marketplace</t>
        </is>
      </c>
      <c r="K245" t="inlineStr">
        <is>
          <t>N</t>
        </is>
      </c>
      <c r="L245" t="inlineStr">
        <is>
          <t>Y</t>
        </is>
      </c>
      <c r="M245" t="inlineStr">
        <is>
          <t>N</t>
        </is>
      </c>
      <c r="N245" t="inlineStr">
        <is>
          <t>Action type: Steps to Enable. While this feature is enabled by default, you can hide the role match summary section using the Visual Studio page property, Show Career Match. Set it to **True** to show</t>
        </is>
      </c>
      <c r="O245" t="inlineStr">
        <is>
          <t>Low</t>
        </is>
      </c>
      <c r="P245" t="inlineStr">
        <is>
          <t>2025-06-20</t>
        </is>
      </c>
      <c r="Q245" t="inlineStr">
        <is>
          <t>Oracle Fusion 26C Readiness — Opportunity Marketplace</t>
        </is>
      </c>
      <c r="R245" t="inlineStr"/>
    </row>
    <row r="246">
      <c r="A246" t="inlineStr">
        <is>
          <t>CHG_IMP_0221</t>
        </is>
      </c>
      <c r="B246" t="inlineStr">
        <is>
          <t>REL_26C</t>
        </is>
      </c>
      <c r="C246" t="inlineStr">
        <is>
          <t>Express Communication Teams</t>
        </is>
      </c>
      <c r="D246" t="inlineStr">
        <is>
          <t>Express Communication Teams. Module: Oracle Me Employee Experience. Release: 26C. You can now create a simplified communication team to quickly create campaigns for events. An express communication team consists of a single branding template, sender profile, HCM lists, and eligibility profiles which you can use for employee events. As a campaign administrator, you create the expr</t>
        </is>
      </c>
      <c r="E246" t="inlineStr">
        <is>
          <t>Oracle Me Employee Experience</t>
        </is>
      </c>
      <c r="F246" t="inlineStr">
        <is>
          <t>Functional</t>
        </is>
      </c>
      <c r="G246" t="inlineStr">
        <is>
          <t>Functional</t>
        </is>
      </c>
      <c r="H246" t="inlineStr"/>
      <c r="I246" t="inlineStr"/>
      <c r="J246" t="inlineStr">
        <is>
          <t>Oracle Me Employee Experience</t>
        </is>
      </c>
      <c r="K246" t="inlineStr">
        <is>
          <t>N</t>
        </is>
      </c>
      <c r="L246" t="inlineStr">
        <is>
          <t>Y</t>
        </is>
      </c>
      <c r="M246" t="inlineStr">
        <is>
          <t>N</t>
        </is>
      </c>
      <c r="N246" t="inlineStr">
        <is>
          <t>Action type: Steps to Enable. For details, see: Set up Express Email Template and Communication Team</t>
        </is>
      </c>
      <c r="O246" t="inlineStr">
        <is>
          <t>Low</t>
        </is>
      </c>
      <c r="P246" t="inlineStr">
        <is>
          <t>2025-06-20</t>
        </is>
      </c>
      <c r="Q246" t="inlineStr">
        <is>
          <t>Oracle Fusion 26C Readiness — Oracle Me Employee Experience</t>
        </is>
      </c>
      <c r="R246" t="inlineStr"/>
    </row>
    <row r="247">
      <c r="A247" t="inlineStr">
        <is>
          <t>CHG_IMP_0222</t>
        </is>
      </c>
      <c r="B247" t="inlineStr">
        <is>
          <t>REL_26C</t>
        </is>
      </c>
      <c r="C247" t="inlineStr">
        <is>
          <t>Personalized Learning Guidance Using Grow Coach</t>
        </is>
      </c>
      <c r="D247" t="inlineStr">
        <is>
          <t>Personalized Learning Guidance Using Grow Coach. Module: Oracle Me Employee Experience. Release: 26C. Grow Coach analyzes multiple sections of the Grow page—including manager recommendations, current role gaps, skills in development, careers of interest, and current learning—to deliver personalized and prioritized upskilling advice. It supports flexible user queries to recommend courses that addre</t>
        </is>
      </c>
      <c r="E247" t="inlineStr">
        <is>
          <t>Oracle Me Employee Experience</t>
        </is>
      </c>
      <c r="F247" t="inlineStr">
        <is>
          <t>Functional</t>
        </is>
      </c>
      <c r="G247" t="inlineStr">
        <is>
          <t>Functional</t>
        </is>
      </c>
      <c r="H247" t="inlineStr"/>
      <c r="I247" t="inlineStr"/>
      <c r="J247" t="inlineStr">
        <is>
          <t>Oracle Me Employee Experience</t>
        </is>
      </c>
      <c r="K247" t="inlineStr">
        <is>
          <t>N</t>
        </is>
      </c>
      <c r="L247" t="inlineStr">
        <is>
          <t>Y</t>
        </is>
      </c>
      <c r="M247" t="inlineStr">
        <is>
          <t>N</t>
        </is>
      </c>
      <c r="N247" t="inlineStr">
        <is>
          <t xml:space="preserve">Action type: Steps to Enable. Grow Coach is a delivered agent in Oracle AI Agent Studio. You can view this on the **Agent Teams** tab. The agent code is ORA_HCM_HRT_GROW_COACH. No customization </t>
        </is>
      </c>
      <c r="O247" t="inlineStr">
        <is>
          <t>Low</t>
        </is>
      </c>
      <c r="P247" t="inlineStr">
        <is>
          <t>2025-06-20</t>
        </is>
      </c>
      <c r="Q247" t="inlineStr">
        <is>
          <t>Oracle Fusion 26C Readiness — Oracle Me Employee Experience</t>
        </is>
      </c>
      <c r="R247" t="inlineStr"/>
    </row>
    <row r="248">
      <c r="A248" t="inlineStr">
        <is>
          <t>CHG_IMP_0223</t>
        </is>
      </c>
      <c r="B248" t="inlineStr">
        <is>
          <t>REL_26C</t>
        </is>
      </c>
      <c r="C248" t="inlineStr">
        <is>
          <t>Redwood Experience: Custom Questions for Employee Events</t>
        </is>
      </c>
      <c r="D248" t="inlineStr">
        <is>
          <t>Redwood Experience: Custom Questions for Employee Events. Module: Oracle Me Employee Experience. Release: 26C. Event owners can now configure custom questions in the Employee Events registration flow, allowing them to collect additional information from participants during the registration flow. For example, perhaps you want to know the registrant's T-shirt size, or their meal preference. Question</t>
        </is>
      </c>
      <c r="E248" t="inlineStr">
        <is>
          <t>Oracle Me Employee Experience</t>
        </is>
      </c>
      <c r="F248" t="inlineStr">
        <is>
          <t>Functional</t>
        </is>
      </c>
      <c r="G248" t="inlineStr">
        <is>
          <t>Functional</t>
        </is>
      </c>
      <c r="H248" t="inlineStr"/>
      <c r="I248" t="inlineStr"/>
      <c r="J248" t="inlineStr">
        <is>
          <t>Oracle Me Employee Experience</t>
        </is>
      </c>
      <c r="K248" t="inlineStr">
        <is>
          <t>N</t>
        </is>
      </c>
      <c r="L248" t="inlineStr">
        <is>
          <t>Y</t>
        </is>
      </c>
      <c r="M248" t="inlineStr">
        <is>
          <t>N</t>
        </is>
      </c>
      <c r="N248" t="inlineStr">
        <is>
          <t>Action type: Steps to Enable. For privileges, see the Access Requirements section.</t>
        </is>
      </c>
      <c r="O248" t="inlineStr">
        <is>
          <t>Low</t>
        </is>
      </c>
      <c r="P248" t="inlineStr">
        <is>
          <t>2025-06-20</t>
        </is>
      </c>
      <c r="Q248" t="inlineStr">
        <is>
          <t>Oracle Fusion 26C Readiness — Oracle Me Employee Experience</t>
        </is>
      </c>
      <c r="R248" t="inlineStr"/>
    </row>
    <row r="249">
      <c r="A249" t="inlineStr">
        <is>
          <t>CHG_IMP_0224</t>
        </is>
      </c>
      <c r="B249" t="inlineStr">
        <is>
          <t>REL_26C</t>
        </is>
      </c>
      <c r="C249" t="inlineStr">
        <is>
          <t>Redwood Experience: Express Communication Template for Employee Event Invitations</t>
        </is>
      </c>
      <c r="D249" t="inlineStr">
        <is>
          <t>Redwood Experience: Express Communication Template for Employee Event Invitations. Module: Oracle Me Employee Experience. Release: 26C. Use the Express Communication templates to send invitations to employee event teams. This template lets you quickly select a preconfigured list of people who will work on an event, and simplifies event promotion creation by automatically including a sender profile</t>
        </is>
      </c>
      <c r="E249" t="inlineStr">
        <is>
          <t>Oracle Me Employee Experience</t>
        </is>
      </c>
      <c r="F249" t="inlineStr">
        <is>
          <t>Functional</t>
        </is>
      </c>
      <c r="G249" t="inlineStr">
        <is>
          <t>Functional</t>
        </is>
      </c>
      <c r="H249" t="inlineStr"/>
      <c r="I249" t="inlineStr"/>
      <c r="J249" t="inlineStr">
        <is>
          <t>Oracle Me Employee Experience</t>
        </is>
      </c>
      <c r="K249" t="inlineStr">
        <is>
          <t>N</t>
        </is>
      </c>
      <c r="L249" t="inlineStr">
        <is>
          <t>Y</t>
        </is>
      </c>
      <c r="M249" t="inlineStr">
        <is>
          <t>N</t>
        </is>
      </c>
      <c r="N249" t="inlineStr">
        <is>
          <t>Action type: Steps to Enable. 1. Set up an Express Email Template and Communication Team. For details see Express Communication Teams. 2. While creating an</t>
        </is>
      </c>
      <c r="O249" t="inlineStr">
        <is>
          <t>Low</t>
        </is>
      </c>
      <c r="P249" t="inlineStr">
        <is>
          <t>2025-06-20</t>
        </is>
      </c>
      <c r="Q249" t="inlineStr">
        <is>
          <t>Oracle Fusion 26C Readiness — Oracle Me Employee Experience</t>
        </is>
      </c>
      <c r="R249" t="inlineStr"/>
    </row>
    <row r="250">
      <c r="A250" t="inlineStr">
        <is>
          <t>CHG_IMP_0225</t>
        </is>
      </c>
      <c r="B250" t="inlineStr">
        <is>
          <t>REL_26C</t>
        </is>
      </c>
      <c r="C250" t="inlineStr">
        <is>
          <t>Redwood: AI Recommendations for Key Communications to Employees</t>
        </is>
      </c>
      <c r="D250" t="inlineStr">
        <is>
          <t>Redwood: AI Recommendations for Key Communications to Employees. Module: Oracle Me Employee Experience. Release: 26C. Here's how AI recommendations work in Oracle Communicate:
• The highlights carousel displays a prioritized mix of upcoming registered events, promote journey, promote learning, and collect responses campaign emails, and AI-based recommendations in any remaining slots.
• Registered</t>
        </is>
      </c>
      <c r="E250" t="inlineStr">
        <is>
          <t>Oracle Me Employee Experience</t>
        </is>
      </c>
      <c r="F250" t="inlineStr">
        <is>
          <t>Functional</t>
        </is>
      </c>
      <c r="G250" t="inlineStr">
        <is>
          <t>Functional</t>
        </is>
      </c>
      <c r="H250" t="inlineStr"/>
      <c r="I250" t="inlineStr"/>
      <c r="J250" t="inlineStr">
        <is>
          <t>Oracle Me Employee Experience</t>
        </is>
      </c>
      <c r="K250" t="inlineStr">
        <is>
          <t>N</t>
        </is>
      </c>
      <c r="L250" t="inlineStr">
        <is>
          <t>N</t>
        </is>
      </c>
      <c r="M250" t="inlineStr">
        <is>
          <t>N</t>
        </is>
      </c>
      <c r="N250" t="inlineStr">
        <is>
          <t>Auto-enabled — no action required</t>
        </is>
      </c>
      <c r="O250" t="inlineStr">
        <is>
          <t>Low</t>
        </is>
      </c>
      <c r="P250" t="inlineStr">
        <is>
          <t>2025-06-20</t>
        </is>
      </c>
      <c r="Q250" t="inlineStr">
        <is>
          <t>Oracle Fusion 26C Readiness — Oracle Me Employee Experience</t>
        </is>
      </c>
      <c r="R250" t="inlineStr"/>
    </row>
    <row r="251">
      <c r="A251" t="inlineStr">
        <is>
          <t>CHG_IMP_0226</t>
        </is>
      </c>
      <c r="B251" t="inlineStr">
        <is>
          <t>REL_26C</t>
        </is>
      </c>
      <c r="C251" t="inlineStr">
        <is>
          <t>Redwood: Create Employee Communities for Employees with Common Interests</t>
        </is>
      </c>
      <c r="D251" t="inlineStr">
        <is>
          <t xml:space="preserve">Redwood: Create Employee Communities for Employees with Common Interests. Module: Oracle Me Employee Experience. Release: 26C. Employee communities are groups for people with shared interests. They provide a space for employees to share information, to collaborate with like-minded people, and participate in events. This feature gives employees the ability to create, discover, and join communities </t>
        </is>
      </c>
      <c r="E251" t="inlineStr">
        <is>
          <t>Oracle Me Employee Experience</t>
        </is>
      </c>
      <c r="F251" t="inlineStr">
        <is>
          <t>Functional</t>
        </is>
      </c>
      <c r="G251" t="inlineStr">
        <is>
          <t>Functional</t>
        </is>
      </c>
      <c r="H251" t="inlineStr"/>
      <c r="I251" t="inlineStr"/>
      <c r="J251" t="inlineStr">
        <is>
          <t>Oracle Me Employee Experience</t>
        </is>
      </c>
      <c r="K251" t="inlineStr">
        <is>
          <t>N</t>
        </is>
      </c>
      <c r="L251" t="inlineStr">
        <is>
          <t>Y</t>
        </is>
      </c>
      <c r="M251" t="inlineStr">
        <is>
          <t>N</t>
        </is>
      </c>
      <c r="N251" t="inlineStr">
        <is>
          <t>Action type: Steps to Enable. You need to tag a category with Communities to make it available for employees when they create communities. For details, see: Configu</t>
        </is>
      </c>
      <c r="O251" t="inlineStr">
        <is>
          <t>Low</t>
        </is>
      </c>
      <c r="P251" t="inlineStr">
        <is>
          <t>2025-06-20</t>
        </is>
      </c>
      <c r="Q251" t="inlineStr">
        <is>
          <t>Oracle Fusion 26C Readiness — Oracle Me Employee Experience</t>
        </is>
      </c>
      <c r="R251" t="inlineStr"/>
    </row>
    <row r="252">
      <c r="A252" t="inlineStr">
        <is>
          <t>CHG_IMP_0227</t>
        </is>
      </c>
      <c r="B252" t="inlineStr">
        <is>
          <t>REL_26C</t>
        </is>
      </c>
      <c r="C252" t="inlineStr">
        <is>
          <t>Redwood: Integrate Slack</t>
        </is>
      </c>
      <c r="D252" t="inlineStr">
        <is>
          <t>Redwood: Integrate Slack. Module: Oracle Me Employee Experience. Release: 26C. Set up Oracle Communicate to integrate with Slack to send campaigns as messages to employees. To start the configuration, you need a Slack workspace admin to carry out these tasks:
• Create and register the Slack app and bot
• Configure the required OAuth scopes and event subscriptions
• Install th</t>
        </is>
      </c>
      <c r="E252" t="inlineStr">
        <is>
          <t>Oracle Me Employee Experience</t>
        </is>
      </c>
      <c r="F252" t="inlineStr">
        <is>
          <t>Functional</t>
        </is>
      </c>
      <c r="G252" t="inlineStr">
        <is>
          <t>Functional</t>
        </is>
      </c>
      <c r="H252" t="inlineStr"/>
      <c r="I252" t="inlineStr"/>
      <c r="J252" t="inlineStr">
        <is>
          <t>Oracle Me Employee Experience</t>
        </is>
      </c>
      <c r="K252" t="inlineStr">
        <is>
          <t>N</t>
        </is>
      </c>
      <c r="L252" t="inlineStr">
        <is>
          <t>Y</t>
        </is>
      </c>
      <c r="M252" t="inlineStr">
        <is>
          <t>N</t>
        </is>
      </c>
      <c r="N252" t="inlineStr">
        <is>
          <t>Action type: Steps to Enable. For details, see How do I enable Slack integration?</t>
        </is>
      </c>
      <c r="O252" t="inlineStr">
        <is>
          <t>Low</t>
        </is>
      </c>
      <c r="P252" t="inlineStr">
        <is>
          <t>2025-06-20</t>
        </is>
      </c>
      <c r="Q252" t="inlineStr">
        <is>
          <t>Oracle Fusion 26C Readiness — Oracle Me Employee Experience</t>
        </is>
      </c>
      <c r="R252" t="inlineStr"/>
    </row>
    <row r="253">
      <c r="A253" t="inlineStr">
        <is>
          <t>CHG_IMP_0228</t>
        </is>
      </c>
      <c r="B253" t="inlineStr">
        <is>
          <t>REL_26C</t>
        </is>
      </c>
      <c r="C253" t="inlineStr">
        <is>
          <t>Reporting on Celebrate Posted Recognitions Columns</t>
        </is>
      </c>
      <c r="D253" t="inlineStr">
        <is>
          <t xml:space="preserve">Reporting on Celebrate Posted Recognitions Columns. Module: Oracle Me Employee Experience. Release: 26C. Now you can report on new posted celebrations attributes relevant to the Celebration Fact Details in the Celebrate - Celebration Real Time subject area.
• This feature is functionally relevant only for Celebration Fact and not for Feed Summary Fact.
• A new folder called "Posted Celebrations" </t>
        </is>
      </c>
      <c r="E253" t="inlineStr">
        <is>
          <t>Oracle Me Employee Experience</t>
        </is>
      </c>
      <c r="F253" t="inlineStr">
        <is>
          <t>Functional</t>
        </is>
      </c>
      <c r="G253" t="inlineStr">
        <is>
          <t>Functional</t>
        </is>
      </c>
      <c r="H253" t="inlineStr"/>
      <c r="I253" t="inlineStr"/>
      <c r="J253" t="inlineStr">
        <is>
          <t>Oracle Me Employee Experience</t>
        </is>
      </c>
      <c r="K253" t="inlineStr">
        <is>
          <t>N</t>
        </is>
      </c>
      <c r="L253" t="inlineStr">
        <is>
          <t>N</t>
        </is>
      </c>
      <c r="M253" t="inlineStr">
        <is>
          <t>N</t>
        </is>
      </c>
      <c r="N253" t="inlineStr">
        <is>
          <t>Auto-enabled — no action required</t>
        </is>
      </c>
      <c r="O253" t="inlineStr">
        <is>
          <t>Low</t>
        </is>
      </c>
      <c r="P253" t="inlineStr">
        <is>
          <t>2025-06-20</t>
        </is>
      </c>
      <c r="Q253" t="inlineStr">
        <is>
          <t>Oracle Fusion 26C Readiness — Oracle Me Employee Experience</t>
        </is>
      </c>
      <c r="R253" t="inlineStr"/>
    </row>
    <row r="254">
      <c r="A254" t="inlineStr">
        <is>
          <t>CHG_IMP_0229</t>
        </is>
      </c>
      <c r="B254" t="inlineStr">
        <is>
          <t>REL_26C</t>
        </is>
      </c>
      <c r="C254" t="inlineStr">
        <is>
          <t>Audit Functionality for Costing Setup Pages</t>
        </is>
      </c>
      <c r="D254" t="inlineStr">
        <is>
          <t>Audit Functionality for Costing Setup Pages. Module: Payroll. Release: 26C. You can record and retrieve audit information for the creation, update, and deletion of Oracle HCM Cloud business objects, whether changes are made individually or through bulk upload. The audit functionality tracks changes across multiple costing setup levels, including payroll, element eligibility</t>
        </is>
      </c>
      <c r="E254" t="inlineStr">
        <is>
          <t>Payroll</t>
        </is>
      </c>
      <c r="F254" t="inlineStr">
        <is>
          <t>Functional</t>
        </is>
      </c>
      <c r="G254" t="inlineStr">
        <is>
          <t>Functional</t>
        </is>
      </c>
      <c r="H254" t="inlineStr"/>
      <c r="I254" t="inlineStr"/>
      <c r="J254" t="inlineStr">
        <is>
          <t>Payroll</t>
        </is>
      </c>
      <c r="K254" t="inlineStr">
        <is>
          <t>N</t>
        </is>
      </c>
      <c r="L254" t="inlineStr">
        <is>
          <t>N</t>
        </is>
      </c>
      <c r="M254" t="inlineStr">
        <is>
          <t>N</t>
        </is>
      </c>
      <c r="N254" t="inlineStr">
        <is>
          <t>Auto-enabled — no action required</t>
        </is>
      </c>
      <c r="O254" t="inlineStr">
        <is>
          <t>Low</t>
        </is>
      </c>
      <c r="P254" t="inlineStr">
        <is>
          <t>2025-06-20</t>
        </is>
      </c>
      <c r="Q254" t="inlineStr">
        <is>
          <t>Oracle Fusion 26C Readiness — Payroll</t>
        </is>
      </c>
      <c r="R254" t="inlineStr"/>
    </row>
    <row r="255">
      <c r="A255" t="inlineStr">
        <is>
          <t>CHG_IMP_0230</t>
        </is>
      </c>
      <c r="B255" t="inlineStr">
        <is>
          <t>REL_26C</t>
        </is>
      </c>
      <c r="C255" t="inlineStr">
        <is>
          <t>Automated Notifications for Investment Proof Lifecycle Events</t>
        </is>
      </c>
      <c r="D255" t="inlineStr">
        <is>
          <t>Automated Notifications for Investment Proof Lifecycle Events. Module: Payroll. Release: 26C. You can now leverage the Oracle Alert Notification functionality to deliver configurable event-driven, and organization-level notifications through both worklist and email channels. The Payroll Administrators can enable and manage predefined alert templates based on organizational requirements, help</t>
        </is>
      </c>
      <c r="E255" t="inlineStr">
        <is>
          <t>Payroll</t>
        </is>
      </c>
      <c r="F255" t="inlineStr">
        <is>
          <t>Functional</t>
        </is>
      </c>
      <c r="G255" t="inlineStr">
        <is>
          <t>Functional</t>
        </is>
      </c>
      <c r="H255" t="inlineStr"/>
      <c r="I255" t="inlineStr"/>
      <c r="J255" t="inlineStr">
        <is>
          <t>Payroll</t>
        </is>
      </c>
      <c r="K255" t="inlineStr">
        <is>
          <t>N</t>
        </is>
      </c>
      <c r="L255" t="inlineStr">
        <is>
          <t>N</t>
        </is>
      </c>
      <c r="M255" t="inlineStr">
        <is>
          <t>N</t>
        </is>
      </c>
      <c r="N255" t="inlineStr">
        <is>
          <t>Auto-enabled — no action required</t>
        </is>
      </c>
      <c r="O255" t="inlineStr">
        <is>
          <t>Low</t>
        </is>
      </c>
      <c r="P255" t="inlineStr">
        <is>
          <t>2025-06-20</t>
        </is>
      </c>
      <c r="Q255" t="inlineStr">
        <is>
          <t>Oracle Fusion 26C Readiness — Payroll</t>
        </is>
      </c>
      <c r="R255" t="inlineStr"/>
    </row>
    <row r="256">
      <c r="A256" t="inlineStr">
        <is>
          <t>CHG_IMP_0231</t>
        </is>
      </c>
      <c r="B256" t="inlineStr">
        <is>
          <t>REL_26C</t>
        </is>
      </c>
      <c r="C256" t="inlineStr">
        <is>
          <t>Carer's Leave Entitlement</t>
        </is>
      </c>
      <c r="D256" t="inlineStr">
        <is>
          <t>Carer's Leave Entitlement. Module: Payroll. Release: 26C. Use Carer's leave to record extended unpaid leave for employees who need to provide full-time care and attention. The absence setup enforces the entitlement conditions defined for Ireland, including maximum duration, minimum duration, and the minimum gap required between periods of leave.
Improve l</t>
        </is>
      </c>
      <c r="E256" t="inlineStr">
        <is>
          <t>Payroll</t>
        </is>
      </c>
      <c r="F256" t="inlineStr">
        <is>
          <t>Functional</t>
        </is>
      </c>
      <c r="G256" t="inlineStr">
        <is>
          <t>Functional</t>
        </is>
      </c>
      <c r="H256" t="inlineStr"/>
      <c r="I256" t="inlineStr"/>
      <c r="J256" t="inlineStr">
        <is>
          <t>Payroll</t>
        </is>
      </c>
      <c r="K256" t="inlineStr">
        <is>
          <t>N</t>
        </is>
      </c>
      <c r="L256" t="inlineStr">
        <is>
          <t>Y</t>
        </is>
      </c>
      <c r="M256" t="inlineStr">
        <is>
          <t>N</t>
        </is>
      </c>
      <c r="N256" t="inlineStr">
        <is>
          <t xml:space="preserve">Action type: Steps to Enable. 1. Create the Carer’s Leave validation formula: • Go to the fast formula setup area and create a Global Absence Entry Validation formula ORA_HRX_IE_CARE_VALIDATION based </t>
        </is>
      </c>
      <c r="O256" t="inlineStr">
        <is>
          <t>Critical</t>
        </is>
      </c>
      <c r="P256" t="inlineStr">
        <is>
          <t>2025-06-20</t>
        </is>
      </c>
      <c r="Q256" t="inlineStr">
        <is>
          <t>Oracle Fusion 26C Readiness — Payroll</t>
        </is>
      </c>
      <c r="R256" t="inlineStr"/>
    </row>
    <row r="257">
      <c r="A257" t="inlineStr">
        <is>
          <t>CHG_IMP_0232</t>
        </is>
      </c>
      <c r="B257" t="inlineStr">
        <is>
          <t>REL_26C</t>
        </is>
      </c>
      <c r="C257" t="inlineStr">
        <is>
          <t>Consolidated Costing Configuration View on Redwood Costing Setup Pages</t>
        </is>
      </c>
      <c r="D257" t="inlineStr">
        <is>
          <t>Consolidated Costing Configuration View on Redwood Costing Setup Pages. Module: Payroll. Release: 26C. You can now view costing segment enablement details directly on the Redwood costing setup pages. This enhancement shows which costing segments are enabled at each costing level, helping you quickly determine where specific segments are available for data entry. Where applicable, the pages also di</t>
        </is>
      </c>
      <c r="E257" t="inlineStr">
        <is>
          <t>Payroll</t>
        </is>
      </c>
      <c r="F257" t="inlineStr">
        <is>
          <t>Functional</t>
        </is>
      </c>
      <c r="G257" t="inlineStr">
        <is>
          <t>Functional</t>
        </is>
      </c>
      <c r="H257" t="inlineStr"/>
      <c r="I257" t="inlineStr"/>
      <c r="J257" t="inlineStr">
        <is>
          <t>Payroll</t>
        </is>
      </c>
      <c r="K257" t="inlineStr">
        <is>
          <t>N</t>
        </is>
      </c>
      <c r="L257" t="inlineStr">
        <is>
          <t>N</t>
        </is>
      </c>
      <c r="M257" t="inlineStr">
        <is>
          <t>N</t>
        </is>
      </c>
      <c r="N257" t="inlineStr">
        <is>
          <t>Auto-enabled — no action required</t>
        </is>
      </c>
      <c r="O257" t="inlineStr">
        <is>
          <t>Low</t>
        </is>
      </c>
      <c r="P257" t="inlineStr">
        <is>
          <t>2025-06-20</t>
        </is>
      </c>
      <c r="Q257" t="inlineStr">
        <is>
          <t>Oracle Fusion 26C Readiness — Payroll</t>
        </is>
      </c>
      <c r="R257" t="inlineStr"/>
    </row>
    <row r="258">
      <c r="A258" t="inlineStr">
        <is>
          <t>CHG_IMP_0233</t>
        </is>
      </c>
      <c r="B258" t="inlineStr">
        <is>
          <t>REL_26C</t>
        </is>
      </c>
      <c r="C258" t="inlineStr">
        <is>
          <t>Domestic Violence Leave and Payment</t>
        </is>
      </c>
      <c r="D258" t="inlineStr">
        <is>
          <t>Domestic Violence Leave and Payment. Module: Payroll. Release: 26C. Use Domestic Violence leave to record and pay eligible absences for employees who need time away from work to address urgent matters related to domestic violence.
Improve compliance with Ireland's family leave laws by providing paid domestic violence leave from the first day of absence. Streamline</t>
        </is>
      </c>
      <c r="E258" t="inlineStr">
        <is>
          <t>Payroll</t>
        </is>
      </c>
      <c r="F258" t="inlineStr">
        <is>
          <t>Functional</t>
        </is>
      </c>
      <c r="G258" t="inlineStr">
        <is>
          <t>Functional</t>
        </is>
      </c>
      <c r="H258" t="inlineStr"/>
      <c r="I258" t="inlineStr"/>
      <c r="J258" t="inlineStr">
        <is>
          <t>Payroll</t>
        </is>
      </c>
      <c r="K258" t="inlineStr">
        <is>
          <t>N</t>
        </is>
      </c>
      <c r="L258" t="inlineStr">
        <is>
          <t>Y</t>
        </is>
      </c>
      <c r="M258" t="inlineStr">
        <is>
          <t>N</t>
        </is>
      </c>
      <c r="N258" t="inlineStr">
        <is>
          <t xml:space="preserve">Action type: Steps to Enable. 1. Set up earnings elements. • Do not select Allow multiple entries in the same period. • Ensure earnings elements used in rate definitions have higher priority, meaning </t>
        </is>
      </c>
      <c r="O258" t="inlineStr">
        <is>
          <t>Critical</t>
        </is>
      </c>
      <c r="P258" t="inlineStr">
        <is>
          <t>2025-06-20</t>
        </is>
      </c>
      <c r="Q258" t="inlineStr">
        <is>
          <t>Oracle Fusion 26C Readiness — Payroll</t>
        </is>
      </c>
      <c r="R258" t="inlineStr"/>
    </row>
    <row r="259">
      <c r="A259" t="inlineStr">
        <is>
          <t>CHG_IMP_0234</t>
        </is>
      </c>
      <c r="B259" t="inlineStr">
        <is>
          <t>REL_26C</t>
        </is>
      </c>
      <c r="C259" t="inlineStr">
        <is>
          <t>Download Payslips Enhancement</t>
        </is>
      </c>
      <c r="D259" t="inlineStr">
        <is>
          <t>Download Payslips Enhancement. Module: Payroll. Release: 26C. The Download Payslips flow is enhanced to provide flexible submission options, enabling organizations to control how payslip access is secured. You can now choose to run the flow either as a **System Elevated User** or as a **Logged-in User**:
1. System elevated user:  
 • Any user with access to</t>
        </is>
      </c>
      <c r="E259" t="inlineStr">
        <is>
          <t>Payroll</t>
        </is>
      </c>
      <c r="F259" t="inlineStr">
        <is>
          <t>Functional</t>
        </is>
      </c>
      <c r="G259" t="inlineStr">
        <is>
          <t>Functional</t>
        </is>
      </c>
      <c r="H259" t="inlineStr"/>
      <c r="I259" t="inlineStr"/>
      <c r="J259" t="inlineStr">
        <is>
          <t>Payroll</t>
        </is>
      </c>
      <c r="K259" t="inlineStr">
        <is>
          <t>N</t>
        </is>
      </c>
      <c r="L259" t="inlineStr">
        <is>
          <t>Y</t>
        </is>
      </c>
      <c r="M259" t="inlineStr">
        <is>
          <t>N</t>
        </is>
      </c>
      <c r="N259" t="inlineStr">
        <is>
          <t>Action type: Steps to Enable. To submit the **Download Payslips** flow as a logged in user: 1. Navigate to **My Client Groups &gt; Payroll &gt; Payroll Flow Patterns**. 2. Search for the **Download Payslips</t>
        </is>
      </c>
      <c r="O259" t="inlineStr">
        <is>
          <t>Critical</t>
        </is>
      </c>
      <c r="P259" t="inlineStr">
        <is>
          <t>2025-06-20</t>
        </is>
      </c>
      <c r="Q259" t="inlineStr">
        <is>
          <t>Oracle Fusion 26C Readiness — Payroll</t>
        </is>
      </c>
      <c r="R259" t="inlineStr"/>
    </row>
    <row r="260">
      <c r="A260" t="inlineStr">
        <is>
          <t>CHG_IMP_0235</t>
        </is>
      </c>
      <c r="B260" t="inlineStr">
        <is>
          <t>REL_26C</t>
        </is>
      </c>
      <c r="C260" t="inlineStr">
        <is>
          <t>Dynamic Federal and Provincial Tax Exemption</t>
        </is>
      </c>
      <c r="D260" t="inlineStr">
        <is>
          <t>Dynamic Federal and Provincial Tax Exemption. Module: Payroll. Release: 26C. This enhancement introduces support for exempting Federal and/or Quebec Provincial Income Tax calculations through template formula configuration.
To support this functionality, the following Work Storage Area (WSA) variables are now available during payroll processing:
• CA_DYN_FIT_EXEMPT – Exemp</t>
        </is>
      </c>
      <c r="E260" t="inlineStr">
        <is>
          <t>Payroll</t>
        </is>
      </c>
      <c r="F260" t="inlineStr">
        <is>
          <t>Functional</t>
        </is>
      </c>
      <c r="G260" t="inlineStr">
        <is>
          <t>Functional</t>
        </is>
      </c>
      <c r="H260" t="inlineStr"/>
      <c r="I260" t="inlineStr"/>
      <c r="J260" t="inlineStr">
        <is>
          <t>Payroll</t>
        </is>
      </c>
      <c r="K260" t="inlineStr">
        <is>
          <t>N</t>
        </is>
      </c>
      <c r="L260" t="inlineStr">
        <is>
          <t>N</t>
        </is>
      </c>
      <c r="M260" t="inlineStr">
        <is>
          <t>N</t>
        </is>
      </c>
      <c r="N260" t="inlineStr">
        <is>
          <t>Auto-enabled — no action required</t>
        </is>
      </c>
      <c r="O260" t="inlineStr">
        <is>
          <t>Low</t>
        </is>
      </c>
      <c r="P260" t="inlineStr">
        <is>
          <t>2025-06-20</t>
        </is>
      </c>
      <c r="Q260" t="inlineStr">
        <is>
          <t>Oracle Fusion 26C Readiness — Payroll</t>
        </is>
      </c>
      <c r="R260" t="inlineStr"/>
    </row>
    <row r="261">
      <c r="A261" t="inlineStr">
        <is>
          <t>CHG_IMP_0236</t>
        </is>
      </c>
      <c r="B261" t="inlineStr">
        <is>
          <t>REL_26C</t>
        </is>
      </c>
      <c r="C261" t="inlineStr">
        <is>
          <t>Enhanced Deferred Compensation Employer Matching for SUI Taxable Wages</t>
        </is>
      </c>
      <c r="D261" t="inlineStr">
        <is>
          <t>Enhanced Deferred Compensation Employer Matching for SUI Taxable Wages. Module: Payroll. Release: 26C. We have enhanced our deferred-compensation contributions processing with the addition of elements that support state unemployment insurance (SUI) wage treatment for states where employer-matching contributions must be included in SUI taxable wages. We have updated the deferred compensation plan e</t>
        </is>
      </c>
      <c r="E261" t="inlineStr">
        <is>
          <t>Payroll</t>
        </is>
      </c>
      <c r="F261" t="inlineStr">
        <is>
          <t>Functional</t>
        </is>
      </c>
      <c r="G261" t="inlineStr">
        <is>
          <t>Functional</t>
        </is>
      </c>
      <c r="H261" t="inlineStr"/>
      <c r="I261" t="inlineStr"/>
      <c r="J261" t="inlineStr">
        <is>
          <t>Payroll</t>
        </is>
      </c>
      <c r="K261" t="inlineStr">
        <is>
          <t>N</t>
        </is>
      </c>
      <c r="L261" t="inlineStr">
        <is>
          <t>N</t>
        </is>
      </c>
      <c r="M261" t="inlineStr">
        <is>
          <t>N</t>
        </is>
      </c>
      <c r="N261" t="inlineStr">
        <is>
          <t>Auto-enabled — no action required</t>
        </is>
      </c>
      <c r="O261" t="inlineStr">
        <is>
          <t>Low</t>
        </is>
      </c>
      <c r="P261" t="inlineStr">
        <is>
          <t>2025-06-20</t>
        </is>
      </c>
      <c r="Q261" t="inlineStr">
        <is>
          <t>Oracle Fusion 26C Readiness — Payroll</t>
        </is>
      </c>
      <c r="R261" t="inlineStr"/>
    </row>
    <row r="262">
      <c r="A262" t="inlineStr">
        <is>
          <t>CHG_IMP_0237</t>
        </is>
      </c>
      <c r="B262" t="inlineStr">
        <is>
          <t>REL_26C</t>
        </is>
      </c>
      <c r="C262" t="inlineStr">
        <is>
          <t>Enhanced TDS Challan Mapping Process</t>
        </is>
      </c>
      <c r="D262" t="inlineStr">
        <is>
          <t>Enhanced TDS Challan Mapping Process. Module: Payroll. Release: 26C. You can now use the enhanced flow for TDS challan mapping using configurable parameters such as Financial Year, Payroll Month, Tax Reporting Unit (TRU), Payroll, Legal Employer, and Payroll Relationship Group. This flow automatically maps the challan and dates based on the parameter input and popula</t>
        </is>
      </c>
      <c r="E262" t="inlineStr">
        <is>
          <t>Payroll</t>
        </is>
      </c>
      <c r="F262" t="inlineStr">
        <is>
          <t>Functional</t>
        </is>
      </c>
      <c r="G262" t="inlineStr">
        <is>
          <t>Functional</t>
        </is>
      </c>
      <c r="H262" t="inlineStr"/>
      <c r="I262" t="inlineStr"/>
      <c r="J262" t="inlineStr">
        <is>
          <t>Payroll</t>
        </is>
      </c>
      <c r="K262" t="inlineStr">
        <is>
          <t>N</t>
        </is>
      </c>
      <c r="L262" t="inlineStr">
        <is>
          <t>N</t>
        </is>
      </c>
      <c r="M262" t="inlineStr">
        <is>
          <t>N</t>
        </is>
      </c>
      <c r="N262" t="inlineStr">
        <is>
          <t>Auto-enabled — no action required</t>
        </is>
      </c>
      <c r="O262" t="inlineStr">
        <is>
          <t>Low</t>
        </is>
      </c>
      <c r="P262" t="inlineStr">
        <is>
          <t>2025-06-20</t>
        </is>
      </c>
      <c r="Q262" t="inlineStr">
        <is>
          <t>Oracle Fusion 26C Readiness — Payroll</t>
        </is>
      </c>
      <c r="R262" t="inlineStr"/>
    </row>
    <row r="263">
      <c r="A263" t="inlineStr">
        <is>
          <t>CHG_IMP_0238</t>
        </is>
      </c>
      <c r="B263" t="inlineStr">
        <is>
          <t>REL_26C</t>
        </is>
      </c>
      <c r="C263" t="inlineStr">
        <is>
          <t>Enhancements for Flexible Benefits Plan</t>
        </is>
      </c>
      <c r="D263" t="inlineStr">
        <is>
          <t>Enhancements for Flexible Benefits Plan. Module: Payroll. Release: 26C. The Flexible Benefits Plan (FBP) is enhanced to help streamline the administrative workflows and improve the user experience when setting up their flexible benefits plan.
**Lookup Values for Component Choice**
Using the Manage Values Task in Setup and Maintenance, create individual value sets that</t>
        </is>
      </c>
      <c r="E263" t="inlineStr">
        <is>
          <t>Payroll</t>
        </is>
      </c>
      <c r="F263" t="inlineStr">
        <is>
          <t>Functional</t>
        </is>
      </c>
      <c r="G263" t="inlineStr">
        <is>
          <t>Functional</t>
        </is>
      </c>
      <c r="H263" t="inlineStr"/>
      <c r="I263" t="inlineStr"/>
      <c r="J263" t="inlineStr">
        <is>
          <t>Payroll</t>
        </is>
      </c>
      <c r="K263" t="inlineStr">
        <is>
          <t>N</t>
        </is>
      </c>
      <c r="L263" t="inlineStr">
        <is>
          <t>Y</t>
        </is>
      </c>
      <c r="M263" t="inlineStr">
        <is>
          <t>N</t>
        </is>
      </c>
      <c r="N263" t="inlineStr">
        <is>
          <t>Action type: Steps to Enable. See How do I set up flexible benefit plans for India? to set up the flexible benefits plans in your organization.</t>
        </is>
      </c>
      <c r="O263" t="inlineStr">
        <is>
          <t>Critical</t>
        </is>
      </c>
      <c r="P263" t="inlineStr">
        <is>
          <t>2025-06-20</t>
        </is>
      </c>
      <c r="Q263" t="inlineStr">
        <is>
          <t>Oracle Fusion 26C Readiness — Payroll</t>
        </is>
      </c>
      <c r="R263" t="inlineStr"/>
    </row>
    <row r="264">
      <c r="A264" t="inlineStr">
        <is>
          <t>CHG_IMP_0239</t>
        </is>
      </c>
      <c r="B264" t="inlineStr">
        <is>
          <t>REL_26C</t>
        </is>
      </c>
      <c r="C264" t="inlineStr">
        <is>
          <t>Enhancements to Costing Setup Pages</t>
        </is>
      </c>
      <c r="D264" t="inlineStr">
        <is>
          <t>Enhancements to Costing Setup Pages. Module: Payroll. Release: 26C. The Redwood Costing Setup pages now retain key page context to streamline navigation and reduce repetitive data entry.
When you perform **Update** or **End Date** actions, the application retains the selected **Effective As-of Date** if it's valid for the selected costing record. If the selected **</t>
        </is>
      </c>
      <c r="E264" t="inlineStr">
        <is>
          <t>Payroll</t>
        </is>
      </c>
      <c r="F264" t="inlineStr">
        <is>
          <t>Functional</t>
        </is>
      </c>
      <c r="G264" t="inlineStr">
        <is>
          <t>Functional</t>
        </is>
      </c>
      <c r="H264" t="inlineStr"/>
      <c r="I264" t="inlineStr"/>
      <c r="J264" t="inlineStr">
        <is>
          <t>Payroll</t>
        </is>
      </c>
      <c r="K264" t="inlineStr">
        <is>
          <t>N</t>
        </is>
      </c>
      <c r="L264" t="inlineStr">
        <is>
          <t>N</t>
        </is>
      </c>
      <c r="M264" t="inlineStr">
        <is>
          <t>N</t>
        </is>
      </c>
      <c r="N264" t="inlineStr">
        <is>
          <t>Auto-enabled — no action required</t>
        </is>
      </c>
      <c r="O264" t="inlineStr">
        <is>
          <t>Low</t>
        </is>
      </c>
      <c r="P264" t="inlineStr">
        <is>
          <t>2025-06-20</t>
        </is>
      </c>
      <c r="Q264" t="inlineStr">
        <is>
          <t>Oracle Fusion 26C Readiness — Payroll</t>
        </is>
      </c>
      <c r="R264" t="inlineStr"/>
    </row>
    <row r="265">
      <c r="A265" t="inlineStr">
        <is>
          <t>CHG_IMP_0240</t>
        </is>
      </c>
      <c r="B265" t="inlineStr">
        <is>
          <t>REL_26C</t>
        </is>
      </c>
      <c r="C265" t="inlineStr">
        <is>
          <t>Enhancements to Investment Declaration Flows</t>
        </is>
      </c>
      <c r="D265" t="inlineStr">
        <is>
          <t>Enhancements to Investment Declaration Flows. Module: Payroll. Release: 26C. The Investment Declaration, Proof Submission and Approval flows are now enhanced to provide greater flexibility and streamline the approval processing for administrators and employees. You can now select the cutoff month to include investment declaration information, display the proof submission flo</t>
        </is>
      </c>
      <c r="E265" t="inlineStr">
        <is>
          <t>Payroll</t>
        </is>
      </c>
      <c r="F265" t="inlineStr">
        <is>
          <t>Functional</t>
        </is>
      </c>
      <c r="G265" t="inlineStr">
        <is>
          <t>Functional</t>
        </is>
      </c>
      <c r="H265" t="inlineStr"/>
      <c r="I265" t="inlineStr"/>
      <c r="J265" t="inlineStr">
        <is>
          <t>Payroll</t>
        </is>
      </c>
      <c r="K265" t="inlineStr">
        <is>
          <t>N</t>
        </is>
      </c>
      <c r="L265" t="inlineStr">
        <is>
          <t>N</t>
        </is>
      </c>
      <c r="M265" t="inlineStr">
        <is>
          <t>N</t>
        </is>
      </c>
      <c r="N265" t="inlineStr">
        <is>
          <t>Auto-enabled — no action required</t>
        </is>
      </c>
      <c r="O265" t="inlineStr">
        <is>
          <t>Low</t>
        </is>
      </c>
      <c r="P265" t="inlineStr">
        <is>
          <t>2025-06-20</t>
        </is>
      </c>
      <c r="Q265" t="inlineStr">
        <is>
          <t>Oracle Fusion 26C Readiness — Payroll</t>
        </is>
      </c>
      <c r="R265" t="inlineStr"/>
    </row>
    <row r="266">
      <c r="A266" t="inlineStr">
        <is>
          <t>CHG_IMP_0241</t>
        </is>
      </c>
      <c r="B266" t="inlineStr">
        <is>
          <t>REL_26C</t>
        </is>
      </c>
      <c r="C266" t="inlineStr">
        <is>
          <t>GLOBAL UPTAKE: RETROACTIVE OVERPAYMENT AND RECOVERY FOR TIMECARD AND ABSENCE ELEMENTS</t>
        </is>
      </c>
      <c r="D266" t="inlineStr">
        <is>
          <t>GLOBAL UPTAKE: RETROACTIVE OVERPAYMENT AND RECOVERY FOR TIMECARD AND ABSENCE ELEMENTS. Module: Payroll. Release: 26C. The Retroactive Overpayment and Recoveries feature has been extended to support US Timecard and Absence elements. This feature was first introduced in Update 25D for Standard Earnings elements and later extended to include Supplemental Earnings elements.
With this enhancement, you</t>
        </is>
      </c>
      <c r="E266" t="inlineStr">
        <is>
          <t>Payroll</t>
        </is>
      </c>
      <c r="F266" t="inlineStr">
        <is>
          <t>Functional</t>
        </is>
      </c>
      <c r="G266" t="inlineStr">
        <is>
          <t>Functional</t>
        </is>
      </c>
      <c r="H266" t="inlineStr"/>
      <c r="I266" t="inlineStr"/>
      <c r="J266" t="inlineStr">
        <is>
          <t>Payroll</t>
        </is>
      </c>
      <c r="K266" t="inlineStr">
        <is>
          <t>N</t>
        </is>
      </c>
      <c r="L266" t="inlineStr">
        <is>
          <t>N</t>
        </is>
      </c>
      <c r="M266" t="inlineStr">
        <is>
          <t>N</t>
        </is>
      </c>
      <c r="N266" t="inlineStr">
        <is>
          <t>Auto-enabled — no action required</t>
        </is>
      </c>
      <c r="O266" t="inlineStr">
        <is>
          <t>Low</t>
        </is>
      </c>
      <c r="P266" t="inlineStr">
        <is>
          <t>2025-06-20</t>
        </is>
      </c>
      <c r="Q266" t="inlineStr">
        <is>
          <t>Oracle Fusion 26C Readiness — Payroll</t>
        </is>
      </c>
      <c r="R266" t="inlineStr"/>
    </row>
    <row r="267">
      <c r="A267" t="inlineStr">
        <is>
          <t>CHG_IMP_0242</t>
        </is>
      </c>
      <c r="B267" t="inlineStr">
        <is>
          <t>REL_26C</t>
        </is>
      </c>
      <c r="C267" t="inlineStr">
        <is>
          <t>Global Uptake: Read Only Employee Tax Card</t>
        </is>
      </c>
      <c r="D267" t="inlineStr">
        <is>
          <t>Global Uptake: Read Only Employee Tax Card. Module: Payroll. Release: 26C. This feature introduces read-only access to calculation cards for users who require view only visibility to card data. In this release, read-only access is available for the Employee Tax Card for the professional user.
A new aggregate privilege, View Payroll Calculation Cards **(ORA_PAY_VIEW_PAYROL</t>
        </is>
      </c>
      <c r="E267" t="inlineStr">
        <is>
          <t>Payroll</t>
        </is>
      </c>
      <c r="F267" t="inlineStr">
        <is>
          <t>Functional</t>
        </is>
      </c>
      <c r="G267" t="inlineStr">
        <is>
          <t>Functional</t>
        </is>
      </c>
      <c r="H267" t="inlineStr"/>
      <c r="I267" t="inlineStr"/>
      <c r="J267" t="inlineStr">
        <is>
          <t>Payroll</t>
        </is>
      </c>
      <c r="K267" t="inlineStr">
        <is>
          <t>N</t>
        </is>
      </c>
      <c r="L267" t="inlineStr">
        <is>
          <t>N</t>
        </is>
      </c>
      <c r="M267" t="inlineStr">
        <is>
          <t>N</t>
        </is>
      </c>
      <c r="N267" t="inlineStr">
        <is>
          <t>Auto-enabled — no action required</t>
        </is>
      </c>
      <c r="O267" t="inlineStr">
        <is>
          <t>Low</t>
        </is>
      </c>
      <c r="P267" t="inlineStr">
        <is>
          <t>2025-06-20</t>
        </is>
      </c>
      <c r="Q267" t="inlineStr">
        <is>
          <t>Oracle Fusion 26C Readiness — Payroll</t>
        </is>
      </c>
      <c r="R267" t="inlineStr"/>
    </row>
    <row r="268">
      <c r="A268" t="inlineStr">
        <is>
          <t>CHG_IMP_0243</t>
        </is>
      </c>
      <c r="B268" t="inlineStr">
        <is>
          <t>REL_26C</t>
        </is>
      </c>
      <c r="C268" t="inlineStr">
        <is>
          <t>Global Uptake: Retroactive Overpayment and Recovery for Absence Elements</t>
        </is>
      </c>
      <c r="D268" t="inlineStr">
        <is>
          <t>Global Uptake: Retroactive Overpayment and Recovery for Absence Elements. Module: Payroll. Release: 26C. The Retro Overpayment Processing feature has been extended to support Entitlement absence elements. This feature was first introduced in Update 26A for Standard Earnings elements and extended in Update 26B to include Supplemental Earnings elements and Time Card elements.
With this enhancement,</t>
        </is>
      </c>
      <c r="E268" t="inlineStr">
        <is>
          <t>Payroll</t>
        </is>
      </c>
      <c r="F268" t="inlineStr">
        <is>
          <t>Functional</t>
        </is>
      </c>
      <c r="G268" t="inlineStr">
        <is>
          <t>Functional</t>
        </is>
      </c>
      <c r="H268" t="inlineStr"/>
      <c r="I268" t="inlineStr"/>
      <c r="J268" t="inlineStr">
        <is>
          <t>Payroll</t>
        </is>
      </c>
      <c r="K268" t="inlineStr">
        <is>
          <t>N</t>
        </is>
      </c>
      <c r="L268" t="inlineStr">
        <is>
          <t>Y</t>
        </is>
      </c>
      <c r="M268" t="inlineStr">
        <is>
          <t>N</t>
        </is>
      </c>
      <c r="N268" t="inlineStr">
        <is>
          <t>Action type: Steps to Enable. To use this feature, you must configure the payroll action parameter, **Overpayment Recovery Process Enabling the Over payment for Recovery Process.Default:</t>
        </is>
      </c>
      <c r="O268" t="inlineStr">
        <is>
          <t>Critical</t>
        </is>
      </c>
      <c r="P268" t="inlineStr">
        <is>
          <t>2025-06-20</t>
        </is>
      </c>
      <c r="Q268" t="inlineStr">
        <is>
          <t>Oracle Fusion 26C Readiness — Payroll</t>
        </is>
      </c>
      <c r="R268" t="inlineStr"/>
    </row>
    <row r="269">
      <c r="A269" t="inlineStr">
        <is>
          <t>CHG_IMP_0244</t>
        </is>
      </c>
      <c r="B269" t="inlineStr">
        <is>
          <t>REL_26C</t>
        </is>
      </c>
      <c r="C269" t="inlineStr">
        <is>
          <t>LGPS Stringer Days</t>
        </is>
      </c>
      <c r="D269" t="inlineStr">
        <is>
          <t>LGPS Stringer Days. Module: Payroll. Release: 26C. With the LGPS Stringer Days which apply during a period of sickness, you can:
• Configure Stringer Days as a vacation-like accrual absence plan and generic absence type,
• Identify the absence type with the UK Stringer Days legislative grouping,
• Enable concurrent entitlement,
• Process Stringer D</t>
        </is>
      </c>
      <c r="E269" t="inlineStr">
        <is>
          <t>Payroll</t>
        </is>
      </c>
      <c r="F269" t="inlineStr">
        <is>
          <t>Functional</t>
        </is>
      </c>
      <c r="G269" t="inlineStr">
        <is>
          <t>Functional</t>
        </is>
      </c>
      <c r="H269" t="inlineStr"/>
      <c r="I269" t="inlineStr"/>
      <c r="J269" t="inlineStr">
        <is>
          <t>Payroll</t>
        </is>
      </c>
      <c r="K269" t="inlineStr">
        <is>
          <t>N</t>
        </is>
      </c>
      <c r="L269" t="inlineStr">
        <is>
          <t>N</t>
        </is>
      </c>
      <c r="M269" t="inlineStr">
        <is>
          <t>N</t>
        </is>
      </c>
      <c r="N269" t="inlineStr">
        <is>
          <t>Auto-enabled — no action required</t>
        </is>
      </c>
      <c r="O269" t="inlineStr">
        <is>
          <t>Low</t>
        </is>
      </c>
      <c r="P269" t="inlineStr">
        <is>
          <t>2025-06-20</t>
        </is>
      </c>
      <c r="Q269" t="inlineStr">
        <is>
          <t>Oracle Fusion 26C Readiness — Payroll</t>
        </is>
      </c>
      <c r="R269" t="inlineStr"/>
    </row>
    <row r="270">
      <c r="A270" t="inlineStr">
        <is>
          <t>CHG_IMP_0245</t>
        </is>
      </c>
      <c r="B270" t="inlineStr">
        <is>
          <t>REL_26C</t>
        </is>
      </c>
      <c r="C270" t="inlineStr">
        <is>
          <t>Legislative Updates for the Tax Year 2026 – 2027</t>
        </is>
      </c>
      <c r="D270" t="inlineStr">
        <is>
          <t>Legislative Updates for the Tax Year 2026 – 2027. Module: Payroll. Release: 26C. The legislative changes for India for the tax year 2026-2027 include changes to perquisites, allowances, new metro cities for calculating the house rent allowance (HRA), and changes in exemption conditions for leave travel assistance (LTA),
Here’s the summary of legislative changes for India for th</t>
        </is>
      </c>
      <c r="E270" t="inlineStr">
        <is>
          <t>Payroll</t>
        </is>
      </c>
      <c r="F270" t="inlineStr">
        <is>
          <t>Functional</t>
        </is>
      </c>
      <c r="G270" t="inlineStr">
        <is>
          <t>Functional</t>
        </is>
      </c>
      <c r="H270" t="inlineStr"/>
      <c r="I270" t="inlineStr"/>
      <c r="J270" t="inlineStr">
        <is>
          <t>Payroll</t>
        </is>
      </c>
      <c r="K270" t="inlineStr">
        <is>
          <t>N</t>
        </is>
      </c>
      <c r="L270" t="inlineStr">
        <is>
          <t>N</t>
        </is>
      </c>
      <c r="M270" t="inlineStr">
        <is>
          <t>N</t>
        </is>
      </c>
      <c r="N270" t="inlineStr">
        <is>
          <t>Auto-enabled — no action required</t>
        </is>
      </c>
      <c r="O270" t="inlineStr">
        <is>
          <t>Low</t>
        </is>
      </c>
      <c r="P270" t="inlineStr">
        <is>
          <t>2025-06-20</t>
        </is>
      </c>
      <c r="Q270" t="inlineStr">
        <is>
          <t>Oracle Fusion 26C Readiness — Payroll</t>
        </is>
      </c>
      <c r="R270" t="inlineStr"/>
    </row>
    <row r="271">
      <c r="A271" t="inlineStr">
        <is>
          <t>CHG_IMP_0246</t>
        </is>
      </c>
      <c r="B271" t="inlineStr">
        <is>
          <t>REL_26C</t>
        </is>
      </c>
      <c r="C271" t="inlineStr">
        <is>
          <t>Manage Pension and Welfare Enrollments in Redwood</t>
        </is>
      </c>
      <c r="D271" t="inlineStr">
        <is>
          <t>Manage Pension and Welfare Enrollments in Redwood. Module: Payroll. Release: 26C. Use a France-specific Redwood experience to review Pension and Welfare enrollments, add eligible optional enrollments, and maintain beneficiary information for each employment contract.
This Redwood page replaces the current Global Retirement Plan UI for France. It uses Pension and Welfare cards cr</t>
        </is>
      </c>
      <c r="E271" t="inlineStr">
        <is>
          <t>Payroll</t>
        </is>
      </c>
      <c r="F271" t="inlineStr">
        <is>
          <t>Functional</t>
        </is>
      </c>
      <c r="G271" t="inlineStr">
        <is>
          <t>Functional</t>
        </is>
      </c>
      <c r="H271" t="inlineStr"/>
      <c r="I271" t="inlineStr"/>
      <c r="J271" t="inlineStr">
        <is>
          <t>Payroll</t>
        </is>
      </c>
      <c r="K271" t="inlineStr">
        <is>
          <t>N</t>
        </is>
      </c>
      <c r="L271" t="inlineStr">
        <is>
          <t>Y</t>
        </is>
      </c>
      <c r="M271" t="inlineStr">
        <is>
          <t>N</t>
        </is>
      </c>
      <c r="N271" t="inlineStr">
        <is>
          <t xml:space="preserve">Action type: Steps to Enable. • Open Calculation Entries or Earnings and Deductions for the employee's employment contract to access the France Pension and Welfare Redwood page. • Run the Pension and </t>
        </is>
      </c>
      <c r="O271" t="inlineStr">
        <is>
          <t>Critical</t>
        </is>
      </c>
      <c r="P271" t="inlineStr">
        <is>
          <t>2025-06-20</t>
        </is>
      </c>
      <c r="Q271" t="inlineStr">
        <is>
          <t>Oracle Fusion 26C Readiness — Payroll</t>
        </is>
      </c>
      <c r="R271" t="inlineStr"/>
    </row>
    <row r="272">
      <c r="A272" t="inlineStr">
        <is>
          <t>CHG_IMP_0247</t>
        </is>
      </c>
      <c r="B272" t="inlineStr">
        <is>
          <t>REL_26C</t>
        </is>
      </c>
      <c r="C272" t="inlineStr">
        <is>
          <t>P45 Document Type in Document of Record (DoR)</t>
        </is>
      </c>
      <c r="D272" t="inlineStr">
        <is>
          <t>P45 Document Type in Document of Record (DoR). Module: Payroll. Release: 26C. Publishing P45 documents to an employee's document of record reduces reliance on paper distribution and centralizes access for leavers and payroll staff, improving record availability and traceability. This is important for payroll administrators and human resources teams who need reliable distribut</t>
        </is>
      </c>
      <c r="E272" t="inlineStr">
        <is>
          <t>Payroll</t>
        </is>
      </c>
      <c r="F272" t="inlineStr">
        <is>
          <t>Functional</t>
        </is>
      </c>
      <c r="G272" t="inlineStr">
        <is>
          <t>Functional</t>
        </is>
      </c>
      <c r="H272" t="inlineStr"/>
      <c r="I272" t="inlineStr"/>
      <c r="J272" t="inlineStr">
        <is>
          <t>Payroll</t>
        </is>
      </c>
      <c r="K272" t="inlineStr">
        <is>
          <t>N</t>
        </is>
      </c>
      <c r="L272" t="inlineStr">
        <is>
          <t>Y</t>
        </is>
      </c>
      <c r="M272" t="inlineStr">
        <is>
          <t>N</t>
        </is>
      </c>
      <c r="N272" t="inlineStr">
        <is>
          <t xml:space="preserve">Action type: Steps to Enable. 1. Configure the new P45 document type in document of record. 2. Set delivery preferences at the organization-level Optionally, you can override by department, location, </t>
        </is>
      </c>
      <c r="O272" t="inlineStr">
        <is>
          <t>Critical</t>
        </is>
      </c>
      <c r="P272" t="inlineStr">
        <is>
          <t>2025-06-20</t>
        </is>
      </c>
      <c r="Q272" t="inlineStr">
        <is>
          <t>Oracle Fusion 26C Readiness — Payroll</t>
        </is>
      </c>
      <c r="R272" t="inlineStr"/>
    </row>
    <row r="273">
      <c r="A273" t="inlineStr">
        <is>
          <t>CHG_IMP_0248</t>
        </is>
      </c>
      <c r="B273" t="inlineStr">
        <is>
          <t>REL_26C</t>
        </is>
      </c>
      <c r="C273" t="inlineStr">
        <is>
          <t>PRSI Exemption Changes</t>
        </is>
      </c>
      <c r="D273" t="inlineStr">
        <is>
          <t>PRSI Exemption Changes. Module: Payroll. Release: 26C. • The PRSI exempt list is refined so it keeps only the three pure exemption categories: A1 Portable Document from EU Member State, Certificate of coverage under Social Security Bilateral Agreement, and Notification of exemption for posted workers.
• Employment of certain family members, Under 16 yea</t>
        </is>
      </c>
      <c r="E273" t="inlineStr">
        <is>
          <t>Payroll</t>
        </is>
      </c>
      <c r="F273" t="inlineStr">
        <is>
          <t>Functional</t>
        </is>
      </c>
      <c r="G273" t="inlineStr">
        <is>
          <t>Functional</t>
        </is>
      </c>
      <c r="H273" t="inlineStr"/>
      <c r="I273" t="inlineStr"/>
      <c r="J273" t="inlineStr">
        <is>
          <t>Payroll</t>
        </is>
      </c>
      <c r="K273" t="inlineStr">
        <is>
          <t>N</t>
        </is>
      </c>
      <c r="L273" t="inlineStr">
        <is>
          <t>Y</t>
        </is>
      </c>
      <c r="M273" t="inlineStr">
        <is>
          <t>N</t>
        </is>
      </c>
      <c r="N273" t="inlineStr">
        <is>
          <t>Action type: Steps to Enable. • Review employments that currently use Employment of certain family members, Under 16 years of age, Employment on certain social welfare schemes, or Other as PRSI exempt</t>
        </is>
      </c>
      <c r="O273" t="inlineStr">
        <is>
          <t>Critical</t>
        </is>
      </c>
      <c r="P273" t="inlineStr">
        <is>
          <t>2025-06-20</t>
        </is>
      </c>
      <c r="Q273" t="inlineStr">
        <is>
          <t>Oracle Fusion 26C Readiness — Payroll</t>
        </is>
      </c>
      <c r="R273" t="inlineStr"/>
    </row>
    <row r="274">
      <c r="A274" t="inlineStr">
        <is>
          <t>CHG_IMP_0249</t>
        </is>
      </c>
      <c r="B274" t="inlineStr">
        <is>
          <t>REL_26C</t>
        </is>
      </c>
      <c r="C274" t="inlineStr">
        <is>
          <t>Pay Analyst Enhanced with Payroll Policy Guidance</t>
        </is>
      </c>
      <c r="D274" t="inlineStr">
        <is>
          <t>Pay Analyst Enhanced with Payroll Policy Guidance. Module: Payroll. Release: 26C. The **Pay Analyst** has been enhanced to combine its existing payslip information capabilities with those of the **Pay Policy Advisor**, providing employees with a single AI-powered assistant for payroll-related questions.
In addition to providing secure access to payslip details, the enhanced Pay</t>
        </is>
      </c>
      <c r="E274" t="inlineStr">
        <is>
          <t>Payroll</t>
        </is>
      </c>
      <c r="F274" t="inlineStr">
        <is>
          <t>AI Feature</t>
        </is>
      </c>
      <c r="G274" t="inlineStr">
        <is>
          <t>AI Feature</t>
        </is>
      </c>
      <c r="H274" t="inlineStr"/>
      <c r="I274" t="inlineStr"/>
      <c r="J274" t="inlineStr">
        <is>
          <t>Payroll</t>
        </is>
      </c>
      <c r="K274" t="inlineStr">
        <is>
          <t>N</t>
        </is>
      </c>
      <c r="L274" t="inlineStr">
        <is>
          <t>Y</t>
        </is>
      </c>
      <c r="M274" t="inlineStr">
        <is>
          <t>N</t>
        </is>
      </c>
      <c r="N274" t="inlineStr">
        <is>
          <t>Action type: Steps to Enable. • Your environment must have the appropriate services for Oracle Applications Platform deployed. For more information, see FAQ2521 on My Oracle Cloud Support • Set the **</t>
        </is>
      </c>
      <c r="O274" t="inlineStr">
        <is>
          <t>Critical</t>
        </is>
      </c>
      <c r="P274" t="inlineStr">
        <is>
          <t>2025-06-20</t>
        </is>
      </c>
      <c r="Q274" t="inlineStr">
        <is>
          <t>Oracle Fusion 26C Readiness — Payroll</t>
        </is>
      </c>
      <c r="R274" t="inlineStr"/>
    </row>
    <row r="275">
      <c r="A275" t="inlineStr">
        <is>
          <t>CHG_IMP_0250</t>
        </is>
      </c>
      <c r="B275" t="inlineStr">
        <is>
          <t>REL_26C</t>
        </is>
      </c>
      <c r="C275" t="inlineStr">
        <is>
          <t>Payments based on ISO 20022 standard</t>
        </is>
      </c>
      <c r="D275" t="inlineStr">
        <is>
          <t>Payments based on ISO 20022 standard. Module: Payroll. Release: 26C. Use the ISO 20022 (version 2019) payment template to generate International EFT payment files for employees working abroad. The template is enabled through the existing Make EFT process.
Payroll has updated ISO 20022 (2019) compliant template for International EFT payments in UK. When you run Make</t>
        </is>
      </c>
      <c r="E275" t="inlineStr">
        <is>
          <t>Payroll</t>
        </is>
      </c>
      <c r="F275" t="inlineStr">
        <is>
          <t>Functional</t>
        </is>
      </c>
      <c r="G275" t="inlineStr">
        <is>
          <t>Functional</t>
        </is>
      </c>
      <c r="H275" t="inlineStr"/>
      <c r="I275" t="inlineStr"/>
      <c r="J275" t="inlineStr">
        <is>
          <t>Payroll</t>
        </is>
      </c>
      <c r="K275" t="inlineStr">
        <is>
          <t>N</t>
        </is>
      </c>
      <c r="L275" t="inlineStr">
        <is>
          <t>N</t>
        </is>
      </c>
      <c r="M275" t="inlineStr">
        <is>
          <t>N</t>
        </is>
      </c>
      <c r="N275" t="inlineStr">
        <is>
          <t>Auto-enabled — no action required</t>
        </is>
      </c>
      <c r="O275" t="inlineStr">
        <is>
          <t>Low</t>
        </is>
      </c>
      <c r="P275" t="inlineStr">
        <is>
          <t>2025-06-20</t>
        </is>
      </c>
      <c r="Q275" t="inlineStr">
        <is>
          <t>Oracle Fusion 26C Readiness — Payroll</t>
        </is>
      </c>
      <c r="R275" t="inlineStr"/>
    </row>
    <row r="276">
      <c r="A276" t="inlineStr">
        <is>
          <t>CHG_IMP_0251</t>
        </is>
      </c>
      <c r="B276" t="inlineStr">
        <is>
          <t>REL_26C</t>
        </is>
      </c>
      <c r="C276" t="inlineStr">
        <is>
          <t>Payroll Run Analyst AI Agent Enhanced to Support the Tax Calculation Statement</t>
        </is>
      </c>
      <c r="D276" t="inlineStr">
        <is>
          <t>Payroll Run Analyst AI Agent Enhanced to Support the Tax Calculation Statement. Module: Payroll. Release: 26C. The **Payroll Run Analyst** agent was enhanced to support the Tax Calculation Statement functionality. It allows payroll administrators to ask natural-language questions about an employee's payroll tax deductions for a selected payroll run and get clear, context-aware answers. The AI agen</t>
        </is>
      </c>
      <c r="E276" t="inlineStr">
        <is>
          <t>Payroll</t>
        </is>
      </c>
      <c r="F276" t="inlineStr">
        <is>
          <t>AI Feature</t>
        </is>
      </c>
      <c r="G276" t="inlineStr">
        <is>
          <t>AI Feature</t>
        </is>
      </c>
      <c r="H276" t="inlineStr"/>
      <c r="I276" t="inlineStr"/>
      <c r="J276" t="inlineStr">
        <is>
          <t>Payroll</t>
        </is>
      </c>
      <c r="K276" t="inlineStr">
        <is>
          <t>N</t>
        </is>
      </c>
      <c r="L276" t="inlineStr">
        <is>
          <t>Y</t>
        </is>
      </c>
      <c r="M276" t="inlineStr">
        <is>
          <t>N</t>
        </is>
      </c>
      <c r="N276" t="inlineStr">
        <is>
          <t>Action type: Steps to Enable. If not done already, you must configure the Agent Guided Journey and extend the Person Results page with the Agent Guided Journey. For details, see th</t>
        </is>
      </c>
      <c r="O276" t="inlineStr">
        <is>
          <t>Critical</t>
        </is>
      </c>
      <c r="P276" t="inlineStr">
        <is>
          <t>2025-06-20</t>
        </is>
      </c>
      <c r="Q276" t="inlineStr">
        <is>
          <t>Oracle Fusion 26C Readiness — Payroll</t>
        </is>
      </c>
      <c r="R276" t="inlineStr"/>
    </row>
    <row r="277">
      <c r="A277" t="inlineStr">
        <is>
          <t>CHG_IMP_0252</t>
        </is>
      </c>
      <c r="B277" t="inlineStr">
        <is>
          <t>REL_26C</t>
        </is>
      </c>
      <c r="C277" t="inlineStr">
        <is>
          <t>Read Only Calculation Cards</t>
        </is>
      </c>
      <c r="D277" t="inlineStr">
        <is>
          <t>Read Only Calculation Cards. Module: Payroll. Release: 26C. This feature introduces read-only access to calculation cards for users who require view only visibility to card data. In this release, read-only access is available for the following calculation cards:
• Tax Credit Information (Admin)
• Reporting Information
A new aggregate privilege, View Payrol</t>
        </is>
      </c>
      <c r="E277" t="inlineStr">
        <is>
          <t>Payroll</t>
        </is>
      </c>
      <c r="F277" t="inlineStr">
        <is>
          <t>Functional</t>
        </is>
      </c>
      <c r="G277" t="inlineStr">
        <is>
          <t>Functional</t>
        </is>
      </c>
      <c r="H277" t="inlineStr"/>
      <c r="I277" t="inlineStr"/>
      <c r="J277" t="inlineStr">
        <is>
          <t>Payroll</t>
        </is>
      </c>
      <c r="K277" t="inlineStr">
        <is>
          <t>N</t>
        </is>
      </c>
      <c r="L277" t="inlineStr">
        <is>
          <t>N</t>
        </is>
      </c>
      <c r="M277" t="inlineStr">
        <is>
          <t>N</t>
        </is>
      </c>
      <c r="N277" t="inlineStr">
        <is>
          <t>Auto-enabled — no action required</t>
        </is>
      </c>
      <c r="O277" t="inlineStr">
        <is>
          <t>Low</t>
        </is>
      </c>
      <c r="P277" t="inlineStr">
        <is>
          <t>2025-06-20</t>
        </is>
      </c>
      <c r="Q277" t="inlineStr">
        <is>
          <t>Oracle Fusion 26C Readiness — Payroll</t>
        </is>
      </c>
      <c r="R277" t="inlineStr"/>
    </row>
    <row r="278">
      <c r="A278" t="inlineStr">
        <is>
          <t>CHG_IMP_0253</t>
        </is>
      </c>
      <c r="B278" t="inlineStr">
        <is>
          <t>REL_26C</t>
        </is>
      </c>
      <c r="C278" t="inlineStr">
        <is>
          <t>Real Time Information - Encryption for Security Compliance</t>
        </is>
      </c>
      <c r="D278" t="inlineStr">
        <is>
          <t>Real Time Information - Encryption for Security Compliance. Module: Payroll. Release: 26C. The latest encryption method has been adopted to protect RTI authentication details. Oracle supports both existing and enhanced encryption methods, enabling customers to use the latest standards for secure RTI data processing.
Enhances data protection through the adoption of the latest encryption m</t>
        </is>
      </c>
      <c r="E278" t="inlineStr">
        <is>
          <t>Payroll</t>
        </is>
      </c>
      <c r="F278" t="inlineStr">
        <is>
          <t>Functional</t>
        </is>
      </c>
      <c r="G278" t="inlineStr">
        <is>
          <t>Functional</t>
        </is>
      </c>
      <c r="H278" t="inlineStr"/>
      <c r="I278" t="inlineStr"/>
      <c r="J278" t="inlineStr">
        <is>
          <t>Payroll</t>
        </is>
      </c>
      <c r="K278" t="inlineStr">
        <is>
          <t>N</t>
        </is>
      </c>
      <c r="L278" t="inlineStr">
        <is>
          <t>Y</t>
        </is>
      </c>
      <c r="M278" t="inlineStr">
        <is>
          <t>N</t>
        </is>
      </c>
      <c r="N278" t="inlineStr">
        <is>
          <t>Action type: Steps to Enable. You need to run the feature upgrade process to update all existing records. To do this: 1. Go to **My Client Groups****-&gt; Payroll -&gt;****Submit a Flow.** 2. Select the app</t>
        </is>
      </c>
      <c r="O278" t="inlineStr">
        <is>
          <t>Critical</t>
        </is>
      </c>
      <c r="P278" t="inlineStr">
        <is>
          <t>2025-06-20</t>
        </is>
      </c>
      <c r="Q278" t="inlineStr">
        <is>
          <t>Oracle Fusion 26C Readiness — Payroll</t>
        </is>
      </c>
      <c r="R278" t="inlineStr"/>
    </row>
    <row r="279">
      <c r="A279" t="inlineStr">
        <is>
          <t>CHG_IMP_0254</t>
        </is>
      </c>
      <c r="B279" t="inlineStr">
        <is>
          <t>REL_26C</t>
        </is>
      </c>
      <c r="C279" t="inlineStr">
        <is>
          <t>Redwood Enabled by Default for UK Payroll</t>
        </is>
      </c>
      <c r="D279" t="inlineStr">
        <is>
          <t>Redwood Enabled by Default for UK Payroll. Module: Payroll. Release: 26C. Enhance the user experience by letting users directly access Pension Enrollment and New Starter Declaration Redwood-enabled HCM pages where the Redwood profile option is turned on by default in 26C.
This table shows the Redwood pages where the profile option will be enabled by default from update 2</t>
        </is>
      </c>
      <c r="E279" t="inlineStr">
        <is>
          <t>Payroll</t>
        </is>
      </c>
      <c r="F279" t="inlineStr">
        <is>
          <t>Functional</t>
        </is>
      </c>
      <c r="G279" t="inlineStr">
        <is>
          <t>Functional</t>
        </is>
      </c>
      <c r="H279" t="inlineStr"/>
      <c r="I279" t="inlineStr"/>
      <c r="J279" t="inlineStr">
        <is>
          <t>Payroll</t>
        </is>
      </c>
      <c r="K279" t="inlineStr">
        <is>
          <t>N</t>
        </is>
      </c>
      <c r="L279" t="inlineStr">
        <is>
          <t>N</t>
        </is>
      </c>
      <c r="M279" t="inlineStr">
        <is>
          <t>N</t>
        </is>
      </c>
      <c r="N279" t="inlineStr">
        <is>
          <t>Auto-enabled — no action required</t>
        </is>
      </c>
      <c r="O279" t="inlineStr">
        <is>
          <t>Low</t>
        </is>
      </c>
      <c r="P279" t="inlineStr">
        <is>
          <t>2025-06-20</t>
        </is>
      </c>
      <c r="Q279" t="inlineStr">
        <is>
          <t>Oracle Fusion 26C Readiness — Payroll</t>
        </is>
      </c>
      <c r="R279" t="inlineStr"/>
    </row>
    <row r="280">
      <c r="A280" t="inlineStr">
        <is>
          <t>CHG_IMP_0255</t>
        </is>
      </c>
      <c r="B280" t="inlineStr">
        <is>
          <t>REL_26C</t>
        </is>
      </c>
      <c r="C280" t="inlineStr">
        <is>
          <t>Redwood Experience for Calculation Cards Enabled by Default for Professional Users</t>
        </is>
      </c>
      <c r="D280" t="inlineStr">
        <is>
          <t>Redwood Experience for Calculation Cards Enabled by Default for Professional Users. Module: Payroll. Release: 26C. In this release, Redwood profile option is now enabled by default for the following calculation cards:
Calculation Card | Profile Option
Tax Credit Information for professional users | ORA_HRX_CA_ADMIN_TAXCREDITINFORMATION_VBCS_ENABLED
Reporting Information | ORA_HRX_CA_REPORTINGINFO</t>
        </is>
      </c>
      <c r="E280" t="inlineStr">
        <is>
          <t>Payroll</t>
        </is>
      </c>
      <c r="F280" t="inlineStr">
        <is>
          <t>Functional</t>
        </is>
      </c>
      <c r="G280" t="inlineStr">
        <is>
          <t>Functional</t>
        </is>
      </c>
      <c r="H280" t="inlineStr"/>
      <c r="I280" t="inlineStr"/>
      <c r="J280" t="inlineStr">
        <is>
          <t>Payroll</t>
        </is>
      </c>
      <c r="K280" t="inlineStr">
        <is>
          <t>N</t>
        </is>
      </c>
      <c r="L280" t="inlineStr">
        <is>
          <t>N</t>
        </is>
      </c>
      <c r="M280" t="inlineStr">
        <is>
          <t>N</t>
        </is>
      </c>
      <c r="N280" t="inlineStr">
        <is>
          <t>Auto-enabled — no action required</t>
        </is>
      </c>
      <c r="O280" t="inlineStr">
        <is>
          <t>Low</t>
        </is>
      </c>
      <c r="P280" t="inlineStr">
        <is>
          <t>2025-06-20</t>
        </is>
      </c>
      <c r="Q280" t="inlineStr">
        <is>
          <t>Oracle Fusion 26C Readiness — Payroll</t>
        </is>
      </c>
      <c r="R280" t="inlineStr"/>
    </row>
    <row r="281">
      <c r="A281" t="inlineStr">
        <is>
          <t>CHG_IMP_0256</t>
        </is>
      </c>
      <c r="B281" t="inlineStr">
        <is>
          <t>REL_26C</t>
        </is>
      </c>
      <c r="C281" t="inlineStr">
        <is>
          <t>Redwood Experience for Calculation Cards Enabled by Default for Professional Users</t>
        </is>
      </c>
      <c r="D281" t="inlineStr">
        <is>
          <t>Redwood Experience for Calculation Cards Enabled by Default for Professional Users. Module: Payroll. Release: 26C. The Redwood profile option is now enabled by default for the Employee Tax Card for the professional user. The **ORA_HRX_MX_ADMIN_EMPLOYEETAXCARD_VBCS_ENABLED** profile option is now set to **Yes**.
The pages aren't displayed in Redwood by default. The following core profile options n</t>
        </is>
      </c>
      <c r="E281" t="inlineStr">
        <is>
          <t>Payroll</t>
        </is>
      </c>
      <c r="F281" t="inlineStr">
        <is>
          <t>Functional</t>
        </is>
      </c>
      <c r="G281" t="inlineStr">
        <is>
          <t>Functional</t>
        </is>
      </c>
      <c r="H281" t="inlineStr"/>
      <c r="I281" t="inlineStr"/>
      <c r="J281" t="inlineStr">
        <is>
          <t>Payroll</t>
        </is>
      </c>
      <c r="K281" t="inlineStr">
        <is>
          <t>N</t>
        </is>
      </c>
      <c r="L281" t="inlineStr">
        <is>
          <t>N</t>
        </is>
      </c>
      <c r="M281" t="inlineStr">
        <is>
          <t>N</t>
        </is>
      </c>
      <c r="N281" t="inlineStr">
        <is>
          <t>Auto-enabled — no action required</t>
        </is>
      </c>
      <c r="O281" t="inlineStr">
        <is>
          <t>Low</t>
        </is>
      </c>
      <c r="P281" t="inlineStr">
        <is>
          <t>2025-06-20</t>
        </is>
      </c>
      <c r="Q281" t="inlineStr">
        <is>
          <t>Oracle Fusion 26C Readiness — Payroll</t>
        </is>
      </c>
      <c r="R281" t="inlineStr"/>
    </row>
    <row r="282">
      <c r="A282" t="inlineStr">
        <is>
          <t>CHG_IMP_0257</t>
        </is>
      </c>
      <c r="B282" t="inlineStr">
        <is>
          <t>REL_26C</t>
        </is>
      </c>
      <c r="C282" t="inlineStr">
        <is>
          <t>Redwood Experience for Payroll Setup Pages</t>
        </is>
      </c>
      <c r="D282" t="inlineStr">
        <is>
          <t>Redwood Experience for Payroll Setup Pages. Module: Payroll. Release: 26C. The following Payroll setup pages are now available in the Redwood user experience:
• Element Classifications
• Consolidation Group
• Payment Methods Preferences
Oracle Search for HCM is now integrated within these setup pages.
Get the most out of the new Redwood user experience with its modern d</t>
        </is>
      </c>
      <c r="E282" t="inlineStr">
        <is>
          <t>Payroll</t>
        </is>
      </c>
      <c r="F282" t="inlineStr">
        <is>
          <t>Functional</t>
        </is>
      </c>
      <c r="G282" t="inlineStr">
        <is>
          <t>Functional</t>
        </is>
      </c>
      <c r="H282" t="inlineStr"/>
      <c r="I282" t="inlineStr"/>
      <c r="J282" t="inlineStr">
        <is>
          <t>Payroll</t>
        </is>
      </c>
      <c r="K282" t="inlineStr">
        <is>
          <t>N</t>
        </is>
      </c>
      <c r="L282" t="inlineStr">
        <is>
          <t>N</t>
        </is>
      </c>
      <c r="M282" t="inlineStr">
        <is>
          <t>N</t>
        </is>
      </c>
      <c r="N282" t="inlineStr">
        <is>
          <t>Auto-enabled — no action required</t>
        </is>
      </c>
      <c r="O282" t="inlineStr">
        <is>
          <t>Low</t>
        </is>
      </c>
      <c r="P282" t="inlineStr">
        <is>
          <t>2025-06-20</t>
        </is>
      </c>
      <c r="Q282" t="inlineStr">
        <is>
          <t>Oracle Fusion 26C Readiness — Payroll</t>
        </is>
      </c>
      <c r="R282" t="inlineStr"/>
    </row>
    <row r="283">
      <c r="A283" t="inlineStr">
        <is>
          <t>CHG_IMP_0258</t>
        </is>
      </c>
      <c r="B283" t="inlineStr">
        <is>
          <t>REL_26C</t>
        </is>
      </c>
      <c r="C283" t="inlineStr">
        <is>
          <t>Redwood Experience: Personal Payment Methods Enhancement</t>
        </is>
      </c>
      <c r="D283" t="inlineStr">
        <is>
          <t>Redwood Experience: Personal Payment Methods Enhancement. Module: Payroll. Release: 26C. You can now update the account holder’s name in a bank account even after the account has been used in a payment process. You can edit the account holder’s name and save the changes, while all other fields remain disabled after payments are processed. This enhancement is available in both the self-s</t>
        </is>
      </c>
      <c r="E283" t="inlineStr">
        <is>
          <t>Payroll</t>
        </is>
      </c>
      <c r="F283" t="inlineStr">
        <is>
          <t>Functional</t>
        </is>
      </c>
      <c r="G283" t="inlineStr">
        <is>
          <t>Functional</t>
        </is>
      </c>
      <c r="H283" t="inlineStr"/>
      <c r="I283" t="inlineStr"/>
      <c r="J283" t="inlineStr">
        <is>
          <t>Payroll</t>
        </is>
      </c>
      <c r="K283" t="inlineStr">
        <is>
          <t>N</t>
        </is>
      </c>
      <c r="L283" t="inlineStr">
        <is>
          <t>Y</t>
        </is>
      </c>
      <c r="M283" t="inlineStr">
        <is>
          <t>N</t>
        </is>
      </c>
      <c r="N283" t="inlineStr">
        <is>
          <t>Action type: Steps to Enable. An administrator can set up this feature by enabling the switch: 1. Go to **Setup and Maintenance &gt; Tasks panel &gt; Search &gt; Manage Standard Lookups**. 2. Search for the **</t>
        </is>
      </c>
      <c r="O283" t="inlineStr">
        <is>
          <t>Critical</t>
        </is>
      </c>
      <c r="P283" t="inlineStr">
        <is>
          <t>2025-06-20</t>
        </is>
      </c>
      <c r="Q283" t="inlineStr">
        <is>
          <t>Oracle Fusion 26C Readiness — Payroll</t>
        </is>
      </c>
      <c r="R283" t="inlineStr"/>
    </row>
    <row r="284">
      <c r="A284" t="inlineStr">
        <is>
          <t>CHG_IMP_0259</t>
        </is>
      </c>
      <c r="B284" t="inlineStr">
        <is>
          <t>REL_26C</t>
        </is>
      </c>
      <c r="C284" t="inlineStr">
        <is>
          <t>Retroactive Overpayment and Recovery for Absence Elements</t>
        </is>
      </c>
      <c r="D284" t="inlineStr">
        <is>
          <t>Retroactive Overpayment and Recovery for Absence Elements. Module: Payroll. Release: 26C. The Retro Overpayment Processing feature has been extended to support Entitlement absence elements. This feature was first introduced in Update 25D for Standard Earnings elements and extended in Update 26B to include Supplemental Earnings elements and Time Card elements.
With this enhancement, retr</t>
        </is>
      </c>
      <c r="E284" t="inlineStr">
        <is>
          <t>Payroll</t>
        </is>
      </c>
      <c r="F284" t="inlineStr">
        <is>
          <t>Functional</t>
        </is>
      </c>
      <c r="G284" t="inlineStr">
        <is>
          <t>Functional</t>
        </is>
      </c>
      <c r="H284" t="inlineStr"/>
      <c r="I284" t="inlineStr"/>
      <c r="J284" t="inlineStr">
        <is>
          <t>Payroll</t>
        </is>
      </c>
      <c r="K284" t="inlineStr">
        <is>
          <t>N</t>
        </is>
      </c>
      <c r="L284" t="inlineStr">
        <is>
          <t>Y</t>
        </is>
      </c>
      <c r="M284" t="inlineStr">
        <is>
          <t>N</t>
        </is>
      </c>
      <c r="N284" t="inlineStr">
        <is>
          <t>Action type: Steps to Enable. To use this feature, you must configure the payroll action parameter, **Overpayment Recovery Process Enabling the Over payment for Recovery Process.Default:N**. To change</t>
        </is>
      </c>
      <c r="O284" t="inlineStr">
        <is>
          <t>Critical</t>
        </is>
      </c>
      <c r="P284" t="inlineStr">
        <is>
          <t>2025-06-20</t>
        </is>
      </c>
      <c r="Q284" t="inlineStr">
        <is>
          <t>Oracle Fusion 26C Readiness — Payroll</t>
        </is>
      </c>
      <c r="R284" t="inlineStr"/>
    </row>
    <row r="285">
      <c r="A285" t="inlineStr">
        <is>
          <t>CHG_IMP_0260</t>
        </is>
      </c>
      <c r="B285" t="inlineStr">
        <is>
          <t>REL_26C</t>
        </is>
      </c>
      <c r="C285" t="inlineStr">
        <is>
          <t>Review Tax Compliance Updates</t>
        </is>
      </c>
      <c r="D285" t="inlineStr">
        <is>
          <t>Review Tax Compliance Updates. Module: Payroll. Release: 26C. We have made it easier for you to review the changes made to tax info used by the US Oracle Tax Engine (USOPTE) during payroll processing. The Compliance Updates feature helps you review the changes delivered through the Legislative Data Updates process, including:
• Number of employees affected
•</t>
        </is>
      </c>
      <c r="E285" t="inlineStr">
        <is>
          <t>Payroll</t>
        </is>
      </c>
      <c r="F285" t="inlineStr">
        <is>
          <t>Functional</t>
        </is>
      </c>
      <c r="G285" t="inlineStr">
        <is>
          <t>Functional</t>
        </is>
      </c>
      <c r="H285" t="inlineStr"/>
      <c r="I285" t="inlineStr"/>
      <c r="J285" t="inlineStr">
        <is>
          <t>Payroll</t>
        </is>
      </c>
      <c r="K285" t="inlineStr">
        <is>
          <t>N</t>
        </is>
      </c>
      <c r="L285" t="inlineStr">
        <is>
          <t>N</t>
        </is>
      </c>
      <c r="M285" t="inlineStr">
        <is>
          <t>N</t>
        </is>
      </c>
      <c r="N285" t="inlineStr">
        <is>
          <t>Auto-enabled — no action required</t>
        </is>
      </c>
      <c r="O285" t="inlineStr">
        <is>
          <t>Low</t>
        </is>
      </c>
      <c r="P285" t="inlineStr">
        <is>
          <t>2025-06-20</t>
        </is>
      </c>
      <c r="Q285" t="inlineStr">
        <is>
          <t>Oracle Fusion 26C Readiness — Payroll</t>
        </is>
      </c>
      <c r="R285" t="inlineStr"/>
    </row>
    <row r="286">
      <c r="A286" t="inlineStr">
        <is>
          <t>CHG_IMP_0261</t>
        </is>
      </c>
      <c r="B286" t="inlineStr">
        <is>
          <t>REL_26C</t>
        </is>
      </c>
      <c r="C286" t="inlineStr">
        <is>
          <t>Review USOPTE Statutory Tax Rules</t>
        </is>
      </c>
      <c r="D286" t="inlineStr">
        <is>
          <t>Review USOPTE Statutory Tax Rules. Module: Payroll. Release: 26C. We have made it easier for you to review the tax info used by the US Oracle Tax Engine (USOPTE) during payroll processing. Use the Statutory Rules task to view federal, state, and local details in read-only format. Use the Statutory Rules task in My Client Groups to view federal, state, and local de</t>
        </is>
      </c>
      <c r="E286" t="inlineStr">
        <is>
          <t>Payroll</t>
        </is>
      </c>
      <c r="F286" t="inlineStr">
        <is>
          <t>Functional</t>
        </is>
      </c>
      <c r="G286" t="inlineStr">
        <is>
          <t>Functional</t>
        </is>
      </c>
      <c r="H286" t="inlineStr"/>
      <c r="I286" t="inlineStr"/>
      <c r="J286" t="inlineStr">
        <is>
          <t>Payroll</t>
        </is>
      </c>
      <c r="K286" t="inlineStr">
        <is>
          <t>N</t>
        </is>
      </c>
      <c r="L286" t="inlineStr">
        <is>
          <t>N</t>
        </is>
      </c>
      <c r="M286" t="inlineStr">
        <is>
          <t>N</t>
        </is>
      </c>
      <c r="N286" t="inlineStr">
        <is>
          <t>Auto-enabled — no action required</t>
        </is>
      </c>
      <c r="O286" t="inlineStr">
        <is>
          <t>Low</t>
        </is>
      </c>
      <c r="P286" t="inlineStr">
        <is>
          <t>2025-06-20</t>
        </is>
      </c>
      <c r="Q286" t="inlineStr">
        <is>
          <t>Oracle Fusion 26C Readiness — Payroll</t>
        </is>
      </c>
      <c r="R286" t="inlineStr"/>
    </row>
    <row r="287">
      <c r="A287" t="inlineStr">
        <is>
          <t>CHG_IMP_0262</t>
        </is>
      </c>
      <c r="B287" t="inlineStr">
        <is>
          <t>REL_26C</t>
        </is>
      </c>
      <c r="C287" t="inlineStr">
        <is>
          <t>Submit Ireland NAERSA Contribution Submission Request Through Send File Submission</t>
        </is>
      </c>
      <c r="D287" t="inlineStr">
        <is>
          <t>Submit Ireland NAERSA Contribution Submission Request Through Send File Submission. Module: Payroll. Release: 26C. Use the Ireland Payroll Send File Submission flow to send generated contribution files to NAERSA, monitor processing status, retrieve detailed errors and warnings, and support controlled rollback when needed. Use this feature to:
• Submit generated contribution JSON files to NAERSA f</t>
        </is>
      </c>
      <c r="E287" t="inlineStr">
        <is>
          <t>Payroll</t>
        </is>
      </c>
      <c r="F287" t="inlineStr">
        <is>
          <t>Functional</t>
        </is>
      </c>
      <c r="G287" t="inlineStr">
        <is>
          <t>Functional</t>
        </is>
      </c>
      <c r="H287" t="inlineStr"/>
      <c r="I287" t="inlineStr"/>
      <c r="J287" t="inlineStr">
        <is>
          <t>Payroll</t>
        </is>
      </c>
      <c r="K287" t="inlineStr">
        <is>
          <t>N</t>
        </is>
      </c>
      <c r="L287" t="inlineStr">
        <is>
          <t>Y</t>
        </is>
      </c>
      <c r="M287" t="inlineStr">
        <is>
          <t>N</t>
        </is>
      </c>
      <c r="N287" t="inlineStr">
        <is>
          <t xml:space="preserve">Action type: Steps to Enable. 1. Ensure you've configured the Ireland Revenue web service connection in the process configuration group for production (live) 2. If operational </t>
        </is>
      </c>
      <c r="O287" t="inlineStr">
        <is>
          <t>Critical</t>
        </is>
      </c>
      <c r="P287" t="inlineStr">
        <is>
          <t>2025-06-20</t>
        </is>
      </c>
      <c r="Q287" t="inlineStr">
        <is>
          <t>Oracle Fusion 26C Readiness — Payroll</t>
        </is>
      </c>
      <c r="R287" t="inlineStr"/>
    </row>
    <row r="288">
      <c r="A288" t="inlineStr">
        <is>
          <t>CHG_IMP_0263</t>
        </is>
      </c>
      <c r="B288" t="inlineStr">
        <is>
          <t>REL_26C</t>
        </is>
      </c>
      <c r="C288" t="inlineStr">
        <is>
          <t>Tax Calculation Statement Page</t>
        </is>
      </c>
      <c r="D288" t="inlineStr">
        <is>
          <t>Tax Calculation Statement Page. Module: Payroll. Release: 26C. This feature delivers a detailed **online**tax calculation statement for a specific employee and payroll run. Access the content using the new **Tax Calculation Statement** tab on the **Person Results** page. This gives payroll administrators a run-specific view of how each selected tax type was cal</t>
        </is>
      </c>
      <c r="E288" t="inlineStr">
        <is>
          <t>Payroll</t>
        </is>
      </c>
      <c r="F288" t="inlineStr">
        <is>
          <t>Functional</t>
        </is>
      </c>
      <c r="G288" t="inlineStr">
        <is>
          <t>Functional</t>
        </is>
      </c>
      <c r="H288" t="inlineStr"/>
      <c r="I288" t="inlineStr"/>
      <c r="J288" t="inlineStr">
        <is>
          <t>Payroll</t>
        </is>
      </c>
      <c r="K288" t="inlineStr">
        <is>
          <t>N</t>
        </is>
      </c>
      <c r="L288" t="inlineStr">
        <is>
          <t>N</t>
        </is>
      </c>
      <c r="M288" t="inlineStr">
        <is>
          <t>N</t>
        </is>
      </c>
      <c r="N288" t="inlineStr">
        <is>
          <t>Auto-enabled — no action required</t>
        </is>
      </c>
      <c r="O288" t="inlineStr">
        <is>
          <t>Low</t>
        </is>
      </c>
      <c r="P288" t="inlineStr">
        <is>
          <t>2025-06-20</t>
        </is>
      </c>
      <c r="Q288" t="inlineStr">
        <is>
          <t>Oracle Fusion 26C Readiness — Payroll</t>
        </is>
      </c>
      <c r="R288" t="inlineStr"/>
    </row>
    <row r="289">
      <c r="A289" t="inlineStr">
        <is>
          <t>CHG_IMP_0264</t>
        </is>
      </c>
      <c r="B289" t="inlineStr">
        <is>
          <t>REL_26C</t>
        </is>
      </c>
      <c r="C289" t="inlineStr">
        <is>
          <t>Tax Credit Information Enhancements</t>
        </is>
      </c>
      <c r="D289" t="inlineStr">
        <is>
          <t>Tax Credit Information Enhancements. Module: Payroll. Release: 26C. Enhancements were made to the Tax Credit Information pages to support additional fields for the federal and provincial forms. These enhancements impact both the employee self-service and the professional Tax Credit Information pages.
**Federal and Provincial Form Enhancements**
The Tax Credit Info</t>
        </is>
      </c>
      <c r="E289" t="inlineStr">
        <is>
          <t>Payroll</t>
        </is>
      </c>
      <c r="F289" t="inlineStr">
        <is>
          <t>Functional</t>
        </is>
      </c>
      <c r="G289" t="inlineStr">
        <is>
          <t>Functional</t>
        </is>
      </c>
      <c r="H289" t="inlineStr"/>
      <c r="I289" t="inlineStr"/>
      <c r="J289" t="inlineStr">
        <is>
          <t>Payroll</t>
        </is>
      </c>
      <c r="K289" t="inlineStr">
        <is>
          <t>N</t>
        </is>
      </c>
      <c r="L289" t="inlineStr">
        <is>
          <t>N</t>
        </is>
      </c>
      <c r="M289" t="inlineStr">
        <is>
          <t>N</t>
        </is>
      </c>
      <c r="N289" t="inlineStr">
        <is>
          <t>Auto-enabled — no action required</t>
        </is>
      </c>
      <c r="O289" t="inlineStr">
        <is>
          <t>Low</t>
        </is>
      </c>
      <c r="P289" t="inlineStr">
        <is>
          <t>2025-06-20</t>
        </is>
      </c>
      <c r="Q289" t="inlineStr">
        <is>
          <t>Oracle Fusion 26C Readiness — Payroll</t>
        </is>
      </c>
      <c r="R289" t="inlineStr"/>
    </row>
    <row r="290">
      <c r="A290" t="inlineStr">
        <is>
          <t>CHG_IMP_0265</t>
        </is>
      </c>
      <c r="B290" t="inlineStr">
        <is>
          <t>REL_26C</t>
        </is>
      </c>
      <c r="C290" t="inlineStr">
        <is>
          <t>Time Saving Plan</t>
        </is>
      </c>
      <c r="D290" t="inlineStr">
        <is>
          <t>Time Saving Plan. Module: Payroll. Release: 26C. France Payroll time saving plan (Compte Epargne Temps - CET) support is now available. Now you can:
• Transfer days from Vacation or RTT plans into a time saving plan.
• Take time saving plan days and process payment at current salary rate.
• Process termination payouts for remaining time saving pl</t>
        </is>
      </c>
      <c r="E290" t="inlineStr">
        <is>
          <t>Payroll</t>
        </is>
      </c>
      <c r="F290" t="inlineStr">
        <is>
          <t>Functional</t>
        </is>
      </c>
      <c r="G290" t="inlineStr">
        <is>
          <t>Functional</t>
        </is>
      </c>
      <c r="H290" t="inlineStr"/>
      <c r="I290" t="inlineStr"/>
      <c r="J290" t="inlineStr">
        <is>
          <t>Payroll</t>
        </is>
      </c>
      <c r="K290" t="inlineStr">
        <is>
          <t>N</t>
        </is>
      </c>
      <c r="L290" t="inlineStr">
        <is>
          <t>Y</t>
        </is>
      </c>
      <c r="M290" t="inlineStr">
        <is>
          <t>N</t>
        </is>
      </c>
      <c r="N290" t="inlineStr">
        <is>
          <t>Action type: Steps to Enable. • Configure and use a CET legislative grouping code for time saving plan absences. • Create required customer absence types under CET so employees can take CET days in se</t>
        </is>
      </c>
      <c r="O290" t="inlineStr">
        <is>
          <t>Critical</t>
        </is>
      </c>
      <c r="P290" t="inlineStr">
        <is>
          <t>2025-06-20</t>
        </is>
      </c>
      <c r="Q290" t="inlineStr">
        <is>
          <t>Oracle Fusion 26C Readiness — Payroll</t>
        </is>
      </c>
      <c r="R290" t="inlineStr"/>
    </row>
    <row r="291">
      <c r="A291" t="inlineStr">
        <is>
          <t>CHG_IMP_0266</t>
        </is>
      </c>
      <c r="B291" t="inlineStr">
        <is>
          <t>REL_26C</t>
        </is>
      </c>
      <c r="C291" t="inlineStr">
        <is>
          <t>Unemployment Insurance for Employees Working in Bahrain</t>
        </is>
      </c>
      <c r="D291" t="inlineStr">
        <is>
          <t>Unemployment Insurance for Employees Working in Bahrain. Module: Payroll. Release: 26C. Calculate employee and employer unemployment insurance contributions for eligible employees working in Bahrain's government sector.
Bahrain payroll now supports updated unemployment insurance calculations for all employees who are citizens of countries other than Bahrain, work in the government sec</t>
        </is>
      </c>
      <c r="E291" t="inlineStr">
        <is>
          <t>Payroll</t>
        </is>
      </c>
      <c r="F291" t="inlineStr">
        <is>
          <t>Functional</t>
        </is>
      </c>
      <c r="G291" t="inlineStr">
        <is>
          <t>Functional</t>
        </is>
      </c>
      <c r="H291" t="inlineStr"/>
      <c r="I291" t="inlineStr"/>
      <c r="J291" t="inlineStr">
        <is>
          <t>Payroll</t>
        </is>
      </c>
      <c r="K291" t="inlineStr">
        <is>
          <t>N</t>
        </is>
      </c>
      <c r="L291" t="inlineStr">
        <is>
          <t>N</t>
        </is>
      </c>
      <c r="M291" t="inlineStr">
        <is>
          <t>N</t>
        </is>
      </c>
      <c r="N291" t="inlineStr">
        <is>
          <t>Auto-enabled — no action required</t>
        </is>
      </c>
      <c r="O291" t="inlineStr">
        <is>
          <t>Low</t>
        </is>
      </c>
      <c r="P291" t="inlineStr">
        <is>
          <t>2025-06-20</t>
        </is>
      </c>
      <c r="Q291" t="inlineStr">
        <is>
          <t>Oracle Fusion 26C Readiness — Payroll</t>
        </is>
      </c>
      <c r="R291" t="inlineStr"/>
    </row>
    <row r="292">
      <c r="A292" t="inlineStr">
        <is>
          <t>CHG_IMP_0267</t>
        </is>
      </c>
      <c r="B292" t="inlineStr">
        <is>
          <t>REL_26C</t>
        </is>
      </c>
      <c r="C292" t="inlineStr">
        <is>
          <t>Usability Enhancement for Organization Calculation Cards</t>
        </is>
      </c>
      <c r="D292" t="inlineStr">
        <is>
          <t>Usability Enhancement for Organization Calculation Cards. Module: Payroll. Release: 26C. We have made it easier for you to manage the info in your organization calculation cards, including:
• Definingfederal and regional tax rules in a consolidated user interface
• Managing enforcement of pretax deduction annual compensation limit
• Defining tax groups and managing TRU associations
Fo</t>
        </is>
      </c>
      <c r="E292" t="inlineStr">
        <is>
          <t>Payroll</t>
        </is>
      </c>
      <c r="F292" t="inlineStr">
        <is>
          <t>Functional</t>
        </is>
      </c>
      <c r="G292" t="inlineStr">
        <is>
          <t>Functional</t>
        </is>
      </c>
      <c r="H292" t="inlineStr"/>
      <c r="I292" t="inlineStr"/>
      <c r="J292" t="inlineStr">
        <is>
          <t>Payroll</t>
        </is>
      </c>
      <c r="K292" t="inlineStr">
        <is>
          <t>N</t>
        </is>
      </c>
      <c r="L292" t="inlineStr">
        <is>
          <t>Y</t>
        </is>
      </c>
      <c r="M292" t="inlineStr">
        <is>
          <t>N</t>
        </is>
      </c>
      <c r="N292" t="inlineStr">
        <is>
          <t>Action type: Steps to Enable. To enable any Redwood page in 26C, set the **ORA_HCM_VBCS_PWA_ENABLED** central profile option to **Y** (Enable VBCS Progressive Web Application User Interfaces across HC</t>
        </is>
      </c>
      <c r="O292" t="inlineStr">
        <is>
          <t>Critical</t>
        </is>
      </c>
      <c r="P292" t="inlineStr">
        <is>
          <t>2025-06-20</t>
        </is>
      </c>
      <c r="Q292" t="inlineStr">
        <is>
          <t>Oracle Fusion 26C Readiness — Payroll</t>
        </is>
      </c>
      <c r="R292" t="inlineStr"/>
    </row>
    <row r="293">
      <c r="A293" t="inlineStr">
        <is>
          <t>CHG_IMP_0268</t>
        </is>
      </c>
      <c r="B293" t="inlineStr">
        <is>
          <t>REL_26C</t>
        </is>
      </c>
      <c r="C293" t="inlineStr">
        <is>
          <t>Activity Centers: Automatically Launch AI Agents from Activities</t>
        </is>
      </c>
      <c r="D293" t="inlineStr">
        <is>
          <t>Activity Centers: Automatically Launch AI Agents from Activities. Module: Recruiting. Release: 26C. You can configure published HCM workflow agents to perform actions on behalf of users and send notifications when activities are generated in activity centers. This is available for all activity centers: Recruiting Activity Center, Sourcing Activity Center, and Interview Activity Center.
**Business</t>
        </is>
      </c>
      <c r="E293" t="inlineStr">
        <is>
          <t>Recruiting</t>
        </is>
      </c>
      <c r="F293" t="inlineStr">
        <is>
          <t>AI Feature</t>
        </is>
      </c>
      <c r="G293" t="inlineStr">
        <is>
          <t>AI Feature</t>
        </is>
      </c>
      <c r="H293" t="inlineStr"/>
      <c r="I293" t="inlineStr"/>
      <c r="J293" t="inlineStr">
        <is>
          <t>Recruiting</t>
        </is>
      </c>
      <c r="K293" t="inlineStr">
        <is>
          <t>N</t>
        </is>
      </c>
      <c r="L293" t="inlineStr">
        <is>
          <t>N</t>
        </is>
      </c>
      <c r="M293" t="inlineStr">
        <is>
          <t>N</t>
        </is>
      </c>
      <c r="N293" t="inlineStr">
        <is>
          <t>Auto-enabled — no action required</t>
        </is>
      </c>
      <c r="O293" t="inlineStr">
        <is>
          <t>Low</t>
        </is>
      </c>
      <c r="P293" t="inlineStr">
        <is>
          <t>2025-06-20</t>
        </is>
      </c>
      <c r="Q293" t="inlineStr">
        <is>
          <t>Oracle Fusion 26C Readiness — Recruiting</t>
        </is>
      </c>
      <c r="R293" t="inlineStr"/>
    </row>
    <row r="294">
      <c r="A294" t="inlineStr">
        <is>
          <t>CHG_IMP_0269</t>
        </is>
      </c>
      <c r="B294" t="inlineStr">
        <is>
          <t>REL_26C</t>
        </is>
      </c>
      <c r="C294" t="inlineStr">
        <is>
          <t>Activity Centers: Initiate Sourcing Efforts Using AI Agent</t>
        </is>
      </c>
      <c r="D294" t="inlineStr">
        <is>
          <t>Activity Centers: Initiate Sourcing Efforts Using AI Agent. Module: Recruiting. Release: 26C. Use an AI Agent to initiate sourcing efforts when requisition activities in the Activity Center are generated. This agent is built specifically to be deployed into recruiting activities in the Activity Center.
Here's how it works:
A new agent template is available in AI Agent Studio: **Recruiting</t>
        </is>
      </c>
      <c r="E294" t="inlineStr">
        <is>
          <t>Recruiting</t>
        </is>
      </c>
      <c r="F294" t="inlineStr">
        <is>
          <t>AI Feature</t>
        </is>
      </c>
      <c r="G294" t="inlineStr">
        <is>
          <t>AI Feature</t>
        </is>
      </c>
      <c r="H294" t="inlineStr"/>
      <c r="I294" t="inlineStr"/>
      <c r="J294" t="inlineStr">
        <is>
          <t>Recruiting</t>
        </is>
      </c>
      <c r="K294" t="inlineStr">
        <is>
          <t>N</t>
        </is>
      </c>
      <c r="L294" t="inlineStr">
        <is>
          <t>N</t>
        </is>
      </c>
      <c r="M294" t="inlineStr">
        <is>
          <t>N</t>
        </is>
      </c>
      <c r="N294" t="inlineStr">
        <is>
          <t>Auto-enabled — no action required</t>
        </is>
      </c>
      <c r="O294" t="inlineStr">
        <is>
          <t>Low</t>
        </is>
      </c>
      <c r="P294" t="inlineStr">
        <is>
          <t>2025-06-20</t>
        </is>
      </c>
      <c r="Q294" t="inlineStr">
        <is>
          <t>Oracle Fusion 26C Readiness — Recruiting</t>
        </is>
      </c>
      <c r="R294" t="inlineStr"/>
    </row>
    <row r="295">
      <c r="A295" t="inlineStr">
        <is>
          <t>CHG_IMP_0270</t>
        </is>
      </c>
      <c r="B295" t="inlineStr">
        <is>
          <t>REL_26C</t>
        </is>
      </c>
      <c r="C295" t="inlineStr">
        <is>
          <t>Add Country Code and Area Code in Reports</t>
        </is>
      </c>
      <c r="D295" t="inlineStr">
        <is>
          <t>Add Country Code and Area Code in Reports. Module: Recruiting. Release: 26C. Use the country code and area code to obtain complete primary phone numbers in your recruiting reports for all user types and from all subject areas.
Here’s the list of new entries in the Recruiting - Recruiting Real Time subject area. You'll find similar entries in all Recruiting subject areas.
•</t>
        </is>
      </c>
      <c r="E295" t="inlineStr">
        <is>
          <t>Recruiting</t>
        </is>
      </c>
      <c r="F295" t="inlineStr">
        <is>
          <t>Functional</t>
        </is>
      </c>
      <c r="G295" t="inlineStr">
        <is>
          <t>Functional</t>
        </is>
      </c>
      <c r="H295" t="inlineStr"/>
      <c r="I295" t="inlineStr"/>
      <c r="J295" t="inlineStr">
        <is>
          <t>Recruiting</t>
        </is>
      </c>
      <c r="K295" t="inlineStr">
        <is>
          <t>N</t>
        </is>
      </c>
      <c r="L295" t="inlineStr">
        <is>
          <t>N</t>
        </is>
      </c>
      <c r="M295" t="inlineStr">
        <is>
          <t>N</t>
        </is>
      </c>
      <c r="N295" t="inlineStr">
        <is>
          <t>Auto-enabled — no action required</t>
        </is>
      </c>
      <c r="O295" t="inlineStr">
        <is>
          <t>Low</t>
        </is>
      </c>
      <c r="P295" t="inlineStr">
        <is>
          <t>2025-06-20</t>
        </is>
      </c>
      <c r="Q295" t="inlineStr">
        <is>
          <t>Oracle Fusion 26C Readiness — Recruiting</t>
        </is>
      </c>
      <c r="R295" t="inlineStr"/>
    </row>
    <row r="296">
      <c r="A296" t="inlineStr">
        <is>
          <t>CHG_IMP_0271</t>
        </is>
      </c>
      <c r="B296" t="inlineStr">
        <is>
          <t>REL_26C</t>
        </is>
      </c>
      <c r="C296" t="inlineStr">
        <is>
          <t>Add New Attachment Fields in Reports</t>
        </is>
      </c>
      <c r="D296" t="inlineStr">
        <is>
          <t>Add New Attachment Fields in Reports. Module: Recruiting. Release: 26C. You can add these new attachment fields in your reports:
• Category Active Flag
• Category Active Flag Code
• Category Verification Required Flag
• Category Verification Required Flag Code
• Attachment Status Code
These new fields are available in:
• Recruiting – Recruiting Real Time &gt; Job Applic</t>
        </is>
      </c>
      <c r="E296" t="inlineStr">
        <is>
          <t>Recruiting</t>
        </is>
      </c>
      <c r="F296" t="inlineStr">
        <is>
          <t>Functional</t>
        </is>
      </c>
      <c r="G296" t="inlineStr">
        <is>
          <t>Functional</t>
        </is>
      </c>
      <c r="H296" t="inlineStr"/>
      <c r="I296" t="inlineStr"/>
      <c r="J296" t="inlineStr">
        <is>
          <t>Recruiting</t>
        </is>
      </c>
      <c r="K296" t="inlineStr">
        <is>
          <t>N</t>
        </is>
      </c>
      <c r="L296" t="inlineStr">
        <is>
          <t>N</t>
        </is>
      </c>
      <c r="M296" t="inlineStr">
        <is>
          <t>N</t>
        </is>
      </c>
      <c r="N296" t="inlineStr">
        <is>
          <t>Auto-enabled — no action required</t>
        </is>
      </c>
      <c r="O296" t="inlineStr">
        <is>
          <t>Low</t>
        </is>
      </c>
      <c r="P296" t="inlineStr">
        <is>
          <t>2025-06-20</t>
        </is>
      </c>
      <c r="Q296" t="inlineStr">
        <is>
          <t>Oracle Fusion 26C Readiness — Recruiting</t>
        </is>
      </c>
      <c r="R296" t="inlineStr"/>
    </row>
    <row r="297">
      <c r="A297" t="inlineStr">
        <is>
          <t>CHG_IMP_0272</t>
        </is>
      </c>
      <c r="B297" t="inlineStr">
        <is>
          <t>REL_26C</t>
        </is>
      </c>
      <c r="C297" t="inlineStr">
        <is>
          <t>Add Pool Status in Candidate Pool Reports</t>
        </is>
      </c>
      <c r="D297" t="inlineStr">
        <is>
          <t>Add Pool Status in Candidate Pool Reports. Module: Recruiting. Release: 26C. You can add Pool Status and Pool Status Code in your candidate pool reports to know which pools are active or inactive. These new fields are available in:
• Recruiting – Recruiting Real Time &gt; Candidate Pool &gt; Candidate Pool – Basic Information
**Business benefit:** Users have a way to identify ac</t>
        </is>
      </c>
      <c r="E297" t="inlineStr">
        <is>
          <t>Recruiting</t>
        </is>
      </c>
      <c r="F297" t="inlineStr">
        <is>
          <t>Functional</t>
        </is>
      </c>
      <c r="G297" t="inlineStr">
        <is>
          <t>Functional</t>
        </is>
      </c>
      <c r="H297" t="inlineStr"/>
      <c r="I297" t="inlineStr"/>
      <c r="J297" t="inlineStr">
        <is>
          <t>Recruiting</t>
        </is>
      </c>
      <c r="K297" t="inlineStr">
        <is>
          <t>N</t>
        </is>
      </c>
      <c r="L297" t="inlineStr">
        <is>
          <t>N</t>
        </is>
      </c>
      <c r="M297" t="inlineStr">
        <is>
          <t>N</t>
        </is>
      </c>
      <c r="N297" t="inlineStr">
        <is>
          <t>Auto-enabled — no action required</t>
        </is>
      </c>
      <c r="O297" t="inlineStr">
        <is>
          <t>Low</t>
        </is>
      </c>
      <c r="P297" t="inlineStr">
        <is>
          <t>2025-06-20</t>
        </is>
      </c>
      <c r="Q297" t="inlineStr">
        <is>
          <t>Oracle Fusion 26C Readiness — Recruiting</t>
        </is>
      </c>
      <c r="R297" t="inlineStr"/>
    </row>
    <row r="298">
      <c r="A298" t="inlineStr">
        <is>
          <t>CHG_IMP_0273</t>
        </is>
      </c>
      <c r="B298" t="inlineStr">
        <is>
          <t>REL_26C</t>
        </is>
      </c>
      <c r="C298" t="inlineStr">
        <is>
          <t>Allow Nonlibrary Skills During Job Application</t>
        </is>
      </c>
      <c r="D298" t="inlineStr">
        <is>
          <t>Allow Nonlibrary Skills During Job Application. Module: Recruiting. Release: 26C. When Skills Center is enabled, you can control whether external candidates who apply for jobs can add custom non-library skills in their job applications.
**Business benefit:** This enhancement help you prevent the capture of inappropriate data.</t>
        </is>
      </c>
      <c r="E298" t="inlineStr">
        <is>
          <t>Recruiting</t>
        </is>
      </c>
      <c r="F298" t="inlineStr">
        <is>
          <t>Functional</t>
        </is>
      </c>
      <c r="G298" t="inlineStr">
        <is>
          <t>Functional</t>
        </is>
      </c>
      <c r="H298" t="inlineStr"/>
      <c r="I298" t="inlineStr"/>
      <c r="J298" t="inlineStr">
        <is>
          <t>Recruiting</t>
        </is>
      </c>
      <c r="K298" t="inlineStr">
        <is>
          <t>N</t>
        </is>
      </c>
      <c r="L298" t="inlineStr">
        <is>
          <t>Y</t>
        </is>
      </c>
      <c r="M298" t="inlineStr">
        <is>
          <t>N</t>
        </is>
      </c>
      <c r="N298" t="inlineStr">
        <is>
          <t xml:space="preserve">Action type: Steps to Enable. Select the **Allow adding nonlibrary skills** checkbox for **Skills center**to indicate whether external candidates can add custom non-library skills when they apply for </t>
        </is>
      </c>
      <c r="O298" t="inlineStr">
        <is>
          <t>Medium</t>
        </is>
      </c>
      <c r="P298" t="inlineStr">
        <is>
          <t>2025-06-20</t>
        </is>
      </c>
      <c r="Q298" t="inlineStr">
        <is>
          <t>Oracle Fusion 26C Readiness — Recruiting</t>
        </is>
      </c>
      <c r="R298" t="inlineStr"/>
    </row>
    <row r="299">
      <c r="A299" t="inlineStr">
        <is>
          <t>CHG_IMP_0274</t>
        </is>
      </c>
      <c r="B299" t="inlineStr">
        <is>
          <t>REL_26C</t>
        </is>
      </c>
      <c r="C299" t="inlineStr">
        <is>
          <t>Apply with Indeed Scheduled for Discontinuation in 27A</t>
        </is>
      </c>
      <c r="D299" t="inlineStr">
        <is>
          <t>Apply with Indeed Scheduled for Discontinuation in 27A. Module: Recruiting. Release: 26C. Starting in release 27A, the Apply with Indeed feature will be phased out, which means candidates won't be able to use their Indeed profile while applying on Oracle career sites. This change is driven by Indeed’s update to their integration model, which includes the retirement of the APIs currently</t>
        </is>
      </c>
      <c r="E299" t="inlineStr">
        <is>
          <t>Recruiting</t>
        </is>
      </c>
      <c r="F299" t="inlineStr">
        <is>
          <t>Functional</t>
        </is>
      </c>
      <c r="G299" t="inlineStr">
        <is>
          <t>Functional</t>
        </is>
      </c>
      <c r="H299" t="inlineStr"/>
      <c r="I299" t="inlineStr"/>
      <c r="J299" t="inlineStr">
        <is>
          <t>Recruiting</t>
        </is>
      </c>
      <c r="K299" t="inlineStr">
        <is>
          <t>N</t>
        </is>
      </c>
      <c r="L299" t="inlineStr">
        <is>
          <t>Y</t>
        </is>
      </c>
      <c r="M299" t="inlineStr">
        <is>
          <t>N</t>
        </is>
      </c>
      <c r="N299" t="inlineStr">
        <is>
          <t>Action type: Steps to Enable. For details, see Integration with Direct Apply.</t>
        </is>
      </c>
      <c r="O299" t="inlineStr">
        <is>
          <t>Medium</t>
        </is>
      </c>
      <c r="P299" t="inlineStr">
        <is>
          <t>2025-06-20</t>
        </is>
      </c>
      <c r="Q299" t="inlineStr">
        <is>
          <t>Oracle Fusion 26C Readiness — Recruiting</t>
        </is>
      </c>
      <c r="R299" t="inlineStr"/>
    </row>
    <row r="300">
      <c r="A300" t="inlineStr">
        <is>
          <t>CHG_IMP_0275</t>
        </is>
      </c>
      <c r="B300" t="inlineStr">
        <is>
          <t>REL_26C</t>
        </is>
      </c>
      <c r="C300" t="inlineStr">
        <is>
          <t>Candidate Selection Process: Automatically Launch AI Agents</t>
        </is>
      </c>
      <c r="D300" t="inlineStr">
        <is>
          <t>Candidate Selection Process: Automatically Launch AI Agents. Module: Recruiting. Release: 26C. You can configure a candidate selection process automated action so that it launches a published HCM workflow agent automatically when a selected process event or state occurs and defined conditions are met.
**Business benefit:** This feature helps organizations automate follow-up actions in the ca</t>
        </is>
      </c>
      <c r="E300" t="inlineStr">
        <is>
          <t>Recruiting</t>
        </is>
      </c>
      <c r="F300" t="inlineStr">
        <is>
          <t>AI Feature</t>
        </is>
      </c>
      <c r="G300" t="inlineStr">
        <is>
          <t>AI Feature</t>
        </is>
      </c>
      <c r="H300" t="inlineStr"/>
      <c r="I300" t="inlineStr"/>
      <c r="J300" t="inlineStr">
        <is>
          <t>Recruiting</t>
        </is>
      </c>
      <c r="K300" t="inlineStr">
        <is>
          <t>N</t>
        </is>
      </c>
      <c r="L300" t="inlineStr">
        <is>
          <t>N</t>
        </is>
      </c>
      <c r="M300" t="inlineStr">
        <is>
          <t>N</t>
        </is>
      </c>
      <c r="N300" t="inlineStr">
        <is>
          <t>Auto-enabled — no action required</t>
        </is>
      </c>
      <c r="O300" t="inlineStr">
        <is>
          <t>Low</t>
        </is>
      </c>
      <c r="P300" t="inlineStr">
        <is>
          <t>2025-06-20</t>
        </is>
      </c>
      <c r="Q300" t="inlineStr">
        <is>
          <t>Oracle Fusion 26C Readiness — Recruiting</t>
        </is>
      </c>
      <c r="R300" t="inlineStr"/>
    </row>
    <row r="301">
      <c r="A301" t="inlineStr">
        <is>
          <t>CHG_IMP_0276</t>
        </is>
      </c>
      <c r="B301" t="inlineStr">
        <is>
          <t>REL_26C</t>
        </is>
      </c>
      <c r="C301" t="inlineStr">
        <is>
          <t>Display Optional Regions in Compact Guided Process Redwood Template Pages</t>
        </is>
      </c>
      <c r="D301" t="inlineStr">
        <is>
          <t>Display Optional Regions in Compact Guided Process Redwood Template Pages. Module: Recruiting. Release: 26C. The behavior of the Redwood Compact Guided Process (CGP) template pages is now aligned with that of responsive CGP template pages to improve the **handling of optional regions** **when Info to include is hidden**.
In processes such as Hire an Employee or Add Assignment, optional regions ca</t>
        </is>
      </c>
      <c r="E301" t="inlineStr">
        <is>
          <t>Recruiting</t>
        </is>
      </c>
      <c r="F301" t="inlineStr">
        <is>
          <t>Functional</t>
        </is>
      </c>
      <c r="G301" t="inlineStr">
        <is>
          <t>Functional</t>
        </is>
      </c>
      <c r="H301" t="inlineStr"/>
      <c r="I301" t="inlineStr"/>
      <c r="J301" t="inlineStr">
        <is>
          <t>Recruiting</t>
        </is>
      </c>
      <c r="K301" t="inlineStr">
        <is>
          <t>N</t>
        </is>
      </c>
      <c r="L301" t="inlineStr">
        <is>
          <t>Y</t>
        </is>
      </c>
      <c r="M301" t="inlineStr">
        <is>
          <t>N</t>
        </is>
      </c>
      <c r="N301" t="inlineStr">
        <is>
          <t>Action type: Steps to Enable. You must enable the following profile option: In **Manage Administrator Profile Values**, set the following profile option to **Yes**: • **Profile Displ</t>
        </is>
      </c>
      <c r="O301" t="inlineStr">
        <is>
          <t>Medium</t>
        </is>
      </c>
      <c r="P301" t="inlineStr">
        <is>
          <t>2025-06-20</t>
        </is>
      </c>
      <c r="Q301" t="inlineStr">
        <is>
          <t>Oracle Fusion 26C Readiness — Recruiting</t>
        </is>
      </c>
      <c r="R301" t="inlineStr"/>
    </row>
    <row r="302">
      <c r="A302" t="inlineStr">
        <is>
          <t>CHG_IMP_0277</t>
        </is>
      </c>
      <c r="B302" t="inlineStr">
        <is>
          <t>REL_26C</t>
        </is>
      </c>
      <c r="C302" t="inlineStr">
        <is>
          <t>Enhanced Candidate Search When Composing Messages in Message Center</t>
        </is>
      </c>
      <c r="D302" t="inlineStr">
        <is>
          <t>Enhanced Candidate Search When Composing Messages in Message Center. Module: Recruiting. Release: 26C. When composing a message in Message Center, you can now search for candidates based on their name or email address.
You can enter partial or full words in the candidate search list.
Candidate Search Based on Email Address
This enhancement applies only to the Compose action in Message Center an</t>
        </is>
      </c>
      <c r="E302" t="inlineStr">
        <is>
          <t>Recruiting</t>
        </is>
      </c>
      <c r="F302" t="inlineStr">
        <is>
          <t>Functional</t>
        </is>
      </c>
      <c r="G302" t="inlineStr">
        <is>
          <t>Functional</t>
        </is>
      </c>
      <c r="H302" t="inlineStr"/>
      <c r="I302" t="inlineStr"/>
      <c r="J302" t="inlineStr">
        <is>
          <t>Recruiting</t>
        </is>
      </c>
      <c r="K302" t="inlineStr">
        <is>
          <t>N</t>
        </is>
      </c>
      <c r="L302" t="inlineStr">
        <is>
          <t>N</t>
        </is>
      </c>
      <c r="M302" t="inlineStr">
        <is>
          <t>N</t>
        </is>
      </c>
      <c r="N302" t="inlineStr">
        <is>
          <t>Auto-enabled — no action required</t>
        </is>
      </c>
      <c r="O302" t="inlineStr">
        <is>
          <t>Low</t>
        </is>
      </c>
      <c r="P302" t="inlineStr">
        <is>
          <t>2025-06-20</t>
        </is>
      </c>
      <c r="Q302" t="inlineStr">
        <is>
          <t>Oracle Fusion 26C Readiness — Recruiting</t>
        </is>
      </c>
      <c r="R302" t="inlineStr"/>
    </row>
    <row r="303">
      <c r="A303" t="inlineStr">
        <is>
          <t>CHG_IMP_0278</t>
        </is>
      </c>
      <c r="B303" t="inlineStr">
        <is>
          <t>REL_26C</t>
        </is>
      </c>
      <c r="C303" t="inlineStr">
        <is>
          <t>Hiring Workspace for Store Managers</t>
        </is>
      </c>
      <c r="D303" t="inlineStr">
        <is>
          <t>Hiring Workspace for Store Managers. Module: Recruiting. Release: 26C. Store managers often spend valuable time navigating multiple dashboards, inboxes, and recruiting tasks while trying to fill open positions. The Hiring Workspace for Store Managers brings hiring activities into a single, intelligent workspace that helps managers identify priorities, engage top candid</t>
        </is>
      </c>
      <c r="E303" t="inlineStr">
        <is>
          <t>Recruiting</t>
        </is>
      </c>
      <c r="F303" t="inlineStr">
        <is>
          <t>Functional</t>
        </is>
      </c>
      <c r="G303" t="inlineStr">
        <is>
          <t>Functional</t>
        </is>
      </c>
      <c r="H303" t="inlineStr"/>
      <c r="I303" t="inlineStr"/>
      <c r="J303" t="inlineStr">
        <is>
          <t>Recruiting</t>
        </is>
      </c>
      <c r="K303" t="inlineStr">
        <is>
          <t>N</t>
        </is>
      </c>
      <c r="L303" t="inlineStr">
        <is>
          <t>Y</t>
        </is>
      </c>
      <c r="M303" t="inlineStr">
        <is>
          <t>N</t>
        </is>
      </c>
      <c r="N303" t="inlineStr">
        <is>
          <t>Action type: Steps to Enable. 1. Enable the Redwood Experience in Recruiting. For details, see Set profile options for Redwood pages. 2. Enable candidate and job application indexes.For details, see R</t>
        </is>
      </c>
      <c r="O303" t="inlineStr">
        <is>
          <t>Medium</t>
        </is>
      </c>
      <c r="P303" t="inlineStr">
        <is>
          <t>2025-06-20</t>
        </is>
      </c>
      <c r="Q303" t="inlineStr">
        <is>
          <t>Oracle Fusion 26C Readiness — Recruiting</t>
        </is>
      </c>
      <c r="R303" t="inlineStr"/>
    </row>
    <row r="304">
      <c r="A304" t="inlineStr">
        <is>
          <t>CHG_IMP_0279</t>
        </is>
      </c>
      <c r="B304" t="inlineStr">
        <is>
          <t>REL_26C</t>
        </is>
      </c>
      <c r="C304" t="inlineStr">
        <is>
          <t>New Blocks Added to Talent Community Sign-Up</t>
        </is>
      </c>
      <c r="D304" t="inlineStr">
        <is>
          <t>New Blocks Added to Talent Community Sign-Up. Module: Recruiting. Release: 26C. The talent community signup flow now supports adding Extra Information, Sensitive Personal Information, and Work Preferences blocks, aligning it with the job application experience. Candidates provide detailed data during signup. The data is stored at the candidate level and prefilled in future appl</t>
        </is>
      </c>
      <c r="E304" t="inlineStr">
        <is>
          <t>Recruiting</t>
        </is>
      </c>
      <c r="F304" t="inlineStr">
        <is>
          <t>Functional</t>
        </is>
      </c>
      <c r="G304" t="inlineStr">
        <is>
          <t>Functional</t>
        </is>
      </c>
      <c r="H304" t="inlineStr"/>
      <c r="I304" t="inlineStr"/>
      <c r="J304" t="inlineStr">
        <is>
          <t>Recruiting</t>
        </is>
      </c>
      <c r="K304" t="inlineStr">
        <is>
          <t>N</t>
        </is>
      </c>
      <c r="L304" t="inlineStr">
        <is>
          <t>Y</t>
        </is>
      </c>
      <c r="M304" t="inlineStr">
        <is>
          <t>N</t>
        </is>
      </c>
      <c r="N304" t="inlineStr">
        <is>
          <t>Action type: Steps to Enable. Add the Extra Information, Sensitive Personal Information, and Work Preferences blocks when configuring a talent community flow. For details, see Set Up Talent Community.</t>
        </is>
      </c>
      <c r="O304" t="inlineStr">
        <is>
          <t>Medium</t>
        </is>
      </c>
      <c r="P304" t="inlineStr">
        <is>
          <t>2025-06-20</t>
        </is>
      </c>
      <c r="Q304" t="inlineStr">
        <is>
          <t>Oracle Fusion 26C Readiness — Recruiting</t>
        </is>
      </c>
      <c r="R304" t="inlineStr"/>
    </row>
    <row r="305">
      <c r="A305" t="inlineStr">
        <is>
          <t>CHG_IMP_0280</t>
        </is>
      </c>
      <c r="B305" t="inlineStr">
        <is>
          <t>REL_26C</t>
        </is>
      </c>
      <c r="C305" t="inlineStr">
        <is>
          <t>Recruiting Activity Center: Message Team Action</t>
        </is>
      </c>
      <c r="D305" t="inlineStr">
        <is>
          <t>Recruiting Activity Center: Message Team Action. Module: Recruiting. Release: 26C. You can send messages to the hiring team for specific activity items using the Message Team action available in Recruiting Activity Center. When you select the Message Team action, a panel opens where you can define the message content and recipients (you’re no longer redirected to the responsive UI</t>
        </is>
      </c>
      <c r="E305" t="inlineStr">
        <is>
          <t>Recruiting</t>
        </is>
      </c>
      <c r="F305" t="inlineStr">
        <is>
          <t>Functional</t>
        </is>
      </c>
      <c r="G305" t="inlineStr">
        <is>
          <t>Functional</t>
        </is>
      </c>
      <c r="H305" t="inlineStr"/>
      <c r="I305" t="inlineStr"/>
      <c r="J305" t="inlineStr">
        <is>
          <t>Recruiting</t>
        </is>
      </c>
      <c r="K305" t="inlineStr">
        <is>
          <t>N</t>
        </is>
      </c>
      <c r="L305" t="inlineStr">
        <is>
          <t>Y</t>
        </is>
      </c>
      <c r="M305" t="inlineStr">
        <is>
          <t>N</t>
        </is>
      </c>
      <c r="N305" t="inlineStr">
        <is>
          <t>Action type: Steps to Enable. You can control the display of fields in the Send message to team panel. In Visual Builder Studio, go to Hiring &gt; Activity Center &gt; Message Team Action and create busines</t>
        </is>
      </c>
      <c r="O305" t="inlineStr">
        <is>
          <t>Medium</t>
        </is>
      </c>
      <c r="P305" t="inlineStr">
        <is>
          <t>2025-06-20</t>
        </is>
      </c>
      <c r="Q305" t="inlineStr">
        <is>
          <t>Oracle Fusion 26C Readiness — Recruiting</t>
        </is>
      </c>
      <c r="R305" t="inlineStr"/>
    </row>
    <row r="306">
      <c r="A306" t="inlineStr">
        <is>
          <t>CHG_IMP_0281</t>
        </is>
      </c>
      <c r="B306" t="inlineStr">
        <is>
          <t>REL_26C</t>
        </is>
      </c>
      <c r="C306" t="inlineStr">
        <is>
          <t>Redwood Experience: Additional Person Types Considered as Candidates</t>
        </is>
      </c>
      <c r="D306" t="inlineStr">
        <is>
          <t>Redwood Experience: Additional Person Types Considered as Candidates. Module: Recruiting. Release: 26C. Global Human Resources (GHR) currently supports several system person types such as contacts, non-workers, volunteers, beneficiaries. For Recruiting to support additional person types available in GHR, new person types were added in Recruiting.
After new person types are enabled and migrated in</t>
        </is>
      </c>
      <c r="E306" t="inlineStr">
        <is>
          <t>Recruiting</t>
        </is>
      </c>
      <c r="F306" t="inlineStr">
        <is>
          <t>Functional</t>
        </is>
      </c>
      <c r="G306" t="inlineStr">
        <is>
          <t>Functional</t>
        </is>
      </c>
      <c r="H306" t="inlineStr"/>
      <c r="I306" t="inlineStr"/>
      <c r="J306" t="inlineStr">
        <is>
          <t>Recruiting</t>
        </is>
      </c>
      <c r="K306" t="inlineStr">
        <is>
          <t>N</t>
        </is>
      </c>
      <c r="L306" t="inlineStr">
        <is>
          <t>Y</t>
        </is>
      </c>
      <c r="M306" t="inlineStr">
        <is>
          <t>N</t>
        </is>
      </c>
      <c r="N306" t="inlineStr">
        <is>
          <t>Action type: Steps to Enable. **Step 1: Set up the ORA_IRC_PERSON_TYPE LOOKUP lookup** These person types are supported and enabled by default in Recruiting: • ORA_CANDIDATE • EMP • CWK •</t>
        </is>
      </c>
      <c r="O306" t="inlineStr">
        <is>
          <t>Medium</t>
        </is>
      </c>
      <c r="P306" t="inlineStr">
        <is>
          <t>2025-06-20</t>
        </is>
      </c>
      <c r="Q306" t="inlineStr">
        <is>
          <t>Oracle Fusion 26C Readiness — Recruiting</t>
        </is>
      </c>
      <c r="R306" t="inlineStr"/>
    </row>
    <row r="307">
      <c r="A307" t="inlineStr">
        <is>
          <t>CHG_IMP_0282</t>
        </is>
      </c>
      <c r="B307" t="inlineStr">
        <is>
          <t>REL_26C</t>
        </is>
      </c>
      <c r="C307" t="inlineStr">
        <is>
          <t>Redwood Experience: Advanced Search for Position Selector</t>
        </is>
      </c>
      <c r="D307" t="inlineStr">
        <is>
          <t>Redwood Experience: Advanced Search for Position Selector. Module: Recruiting. Release: 26C. When you select a position from the Position selector, you can now use advanced search features. Start typing in the selector to reveal the **More search options** link. Click this link to open a drawer panel, where you can apply filters to refine the list of positions. After locating the desired po</t>
        </is>
      </c>
      <c r="E307" t="inlineStr">
        <is>
          <t>Recruiting</t>
        </is>
      </c>
      <c r="F307" t="inlineStr">
        <is>
          <t>Functional</t>
        </is>
      </c>
      <c r="G307" t="inlineStr">
        <is>
          <t>Functional</t>
        </is>
      </c>
      <c r="H307" t="inlineStr"/>
      <c r="I307" t="inlineStr"/>
      <c r="J307" t="inlineStr">
        <is>
          <t>Recruiting</t>
        </is>
      </c>
      <c r="K307" t="inlineStr">
        <is>
          <t>N</t>
        </is>
      </c>
      <c r="L307" t="inlineStr">
        <is>
          <t>Y</t>
        </is>
      </c>
      <c r="M307" t="inlineStr">
        <is>
          <t>N</t>
        </is>
      </c>
      <c r="N307" t="inlineStr">
        <is>
          <t xml:space="preserve">Action type: Steps to Enable. To enable advanced search in the Position selector, set the site profile value to Y for the ORA_PER_LOV_ADVANCED_SEARCH_ENABLED profile option. For details, see How do </t>
        </is>
      </c>
      <c r="O307" t="inlineStr">
        <is>
          <t>Medium</t>
        </is>
      </c>
      <c r="P307" t="inlineStr">
        <is>
          <t>2025-06-20</t>
        </is>
      </c>
      <c r="Q307" t="inlineStr">
        <is>
          <t>Oracle Fusion 26C Readiness — Recruiting</t>
        </is>
      </c>
      <c r="R307" t="inlineStr"/>
    </row>
    <row r="308">
      <c r="A308" t="inlineStr">
        <is>
          <t>CHG_IMP_0283</t>
        </is>
      </c>
      <c r="B308" t="inlineStr">
        <is>
          <t>REL_26C</t>
        </is>
      </c>
      <c r="C308" t="inlineStr">
        <is>
          <t>Redwood Experience: Associate Requisitions with Events</t>
        </is>
      </c>
      <c r="D308" t="inlineStr">
        <is>
          <t>Redwood Experience: Associate Requisitions with Events. Module: Recruiting. Release: 26C. Hiring events now supports the ability to associate one or more requisitions with events. As an event owner, you can use this functionality to to align candidate pools with specific job requirements efficiently.
Associate Requisition with Event
You can also move seamlessly from Events to Requisiti</t>
        </is>
      </c>
      <c r="E308" t="inlineStr">
        <is>
          <t>Recruiting</t>
        </is>
      </c>
      <c r="F308" t="inlineStr">
        <is>
          <t>Functional</t>
        </is>
      </c>
      <c r="G308" t="inlineStr">
        <is>
          <t>Functional</t>
        </is>
      </c>
      <c r="H308" t="inlineStr"/>
      <c r="I308" t="inlineStr"/>
      <c r="J308" t="inlineStr">
        <is>
          <t>Recruiting</t>
        </is>
      </c>
      <c r="K308" t="inlineStr">
        <is>
          <t>N</t>
        </is>
      </c>
      <c r="L308" t="inlineStr">
        <is>
          <t>Y</t>
        </is>
      </c>
      <c r="M308" t="inlineStr">
        <is>
          <t>N</t>
        </is>
      </c>
      <c r="N308" t="inlineStr">
        <is>
          <t>Action type: Steps to Enable. For privileges, see the **Access Requirements** section.</t>
        </is>
      </c>
      <c r="O308" t="inlineStr">
        <is>
          <t>Medium</t>
        </is>
      </c>
      <c r="P308" t="inlineStr">
        <is>
          <t>2025-06-20</t>
        </is>
      </c>
      <c r="Q308" t="inlineStr">
        <is>
          <t>Oracle Fusion 26C Readiness — Recruiting</t>
        </is>
      </c>
      <c r="R308" t="inlineStr"/>
    </row>
    <row r="309">
      <c r="A309" t="inlineStr">
        <is>
          <t>CHG_IMP_0284</t>
        </is>
      </c>
      <c r="B309" t="inlineStr">
        <is>
          <t>REL_26C</t>
        </is>
      </c>
      <c r="C309" t="inlineStr">
        <is>
          <t>Redwood Experience: Bulk Actions on the Job Requisitions List</t>
        </is>
      </c>
      <c r="D309" t="inlineStr">
        <is>
          <t>Redwood Experience: Bulk Actions on the Job Requisitions List. Module: Recruiting. Release: 26C. You can select multiple requisitions on the Job Requisitions list page and carry out the following actions in bulk.
• Submit Job Requisition
• Change Hiring Team (New)
• Suspend Job Requisition
• Resume Job Requisition
• Open for Sourcing
• Move to Posting
• Link to Pipeline Requisition
• Fill Job</t>
        </is>
      </c>
      <c r="E309" t="inlineStr">
        <is>
          <t>Recruiting</t>
        </is>
      </c>
      <c r="F309" t="inlineStr">
        <is>
          <t>Functional</t>
        </is>
      </c>
      <c r="G309" t="inlineStr">
        <is>
          <t>Functional</t>
        </is>
      </c>
      <c r="H309" t="inlineStr"/>
      <c r="I309" t="inlineStr"/>
      <c r="J309" t="inlineStr">
        <is>
          <t>Recruiting</t>
        </is>
      </c>
      <c r="K309" t="inlineStr">
        <is>
          <t>N</t>
        </is>
      </c>
      <c r="L309" t="inlineStr">
        <is>
          <t>Y</t>
        </is>
      </c>
      <c r="M309" t="inlineStr">
        <is>
          <t>N</t>
        </is>
      </c>
      <c r="N309" t="inlineStr">
        <is>
          <t>Action type: Steps to Enable. By default, the More Actions button is disabled. To enable it, use the page property of the Requisition List Page in Visual Builder Studio. To use Redwood experienc</t>
        </is>
      </c>
      <c r="O309" t="inlineStr">
        <is>
          <t>Medium</t>
        </is>
      </c>
      <c r="P309" t="inlineStr">
        <is>
          <t>2025-06-20</t>
        </is>
      </c>
      <c r="Q309" t="inlineStr">
        <is>
          <t>Oracle Fusion 26C Readiness — Recruiting</t>
        </is>
      </c>
      <c r="R309" t="inlineStr"/>
    </row>
    <row r="310">
      <c r="A310" t="inlineStr">
        <is>
          <t>CHG_IMP_0285</t>
        </is>
      </c>
      <c r="B310" t="inlineStr">
        <is>
          <t>REL_26C</t>
        </is>
      </c>
      <c r="C310" t="inlineStr">
        <is>
          <t>Redwood Experience: Bulk Candidate Creation by Uploading Resumes</t>
        </is>
      </c>
      <c r="D310" t="inlineStr">
        <is>
          <t>Redwood Experience: Bulk Candidate Creation by Uploading Resumes. Module: Recruiting. Release: 26C. You can create multiple candidates at the same time by uploading resume attachments. Select the Create Candidate action and upload multiple resumes. Info from the resumes is entered into the fields and available for your review on the candidate details page once the candidate is created.
Uploading</t>
        </is>
      </c>
      <c r="E310" t="inlineStr">
        <is>
          <t>Recruiting</t>
        </is>
      </c>
      <c r="F310" t="inlineStr">
        <is>
          <t>Functional</t>
        </is>
      </c>
      <c r="G310" t="inlineStr">
        <is>
          <t>Functional</t>
        </is>
      </c>
      <c r="H310" t="inlineStr"/>
      <c r="I310" t="inlineStr"/>
      <c r="J310" t="inlineStr">
        <is>
          <t>Recruiting</t>
        </is>
      </c>
      <c r="K310" t="inlineStr">
        <is>
          <t>N</t>
        </is>
      </c>
      <c r="L310" t="inlineStr">
        <is>
          <t>Y</t>
        </is>
      </c>
      <c r="M310" t="inlineStr">
        <is>
          <t>N</t>
        </is>
      </c>
      <c r="N310" t="inlineStr">
        <is>
          <t xml:space="preserve">Action type: Steps to Enable. To enable bulk candidate creation using resumes, set the site profile value to Y for the ORA_IRC_BULK_CREATE_CANDIDATE_USING_RESUME profile option. For details, </t>
        </is>
      </c>
      <c r="O310" t="inlineStr">
        <is>
          <t>Medium</t>
        </is>
      </c>
      <c r="P310" t="inlineStr">
        <is>
          <t>2025-06-20</t>
        </is>
      </c>
      <c r="Q310" t="inlineStr">
        <is>
          <t>Oracle Fusion 26C Readiness — Recruiting</t>
        </is>
      </c>
      <c r="R310" t="inlineStr"/>
    </row>
    <row r="311">
      <c r="A311" t="inlineStr">
        <is>
          <t>CHG_IMP_0286</t>
        </is>
      </c>
      <c r="B311" t="inlineStr">
        <is>
          <t>REL_26C</t>
        </is>
      </c>
      <c r="C311" t="inlineStr">
        <is>
          <t>Redwood Experience: Candidate Outreach</t>
        </is>
      </c>
      <c r="D311" t="inlineStr">
        <is>
          <t>Redwood Experience: Candidate Outreach. Module: Recruiting. Release: 26C. Candidate Outreach helps recruiters to efficiently engage prospects and candidates through AI-generated email communication that's personalized and context-specific for the purpose of attracting them to the organization and to specific jobs. Outreaches are individualized, one-on-one nurturing of pro</t>
        </is>
      </c>
      <c r="E311" t="inlineStr">
        <is>
          <t>Recruiting</t>
        </is>
      </c>
      <c r="F311" t="inlineStr">
        <is>
          <t>Functional</t>
        </is>
      </c>
      <c r="G311" t="inlineStr">
        <is>
          <t>Functional</t>
        </is>
      </c>
      <c r="H311" t="inlineStr"/>
      <c r="I311" t="inlineStr"/>
      <c r="J311" t="inlineStr">
        <is>
          <t>Recruiting</t>
        </is>
      </c>
      <c r="K311" t="inlineStr">
        <is>
          <t>N</t>
        </is>
      </c>
      <c r="L311" t="inlineStr">
        <is>
          <t>Y</t>
        </is>
      </c>
      <c r="M311" t="inlineStr">
        <is>
          <t>N</t>
        </is>
      </c>
      <c r="N311" t="inlineStr">
        <is>
          <t>Action type: Steps to Enable. This feature relies on and invokes several AI Agents. For details on how to configure, use and schedule the agents and processes refer to the **Key Resources** section. T</t>
        </is>
      </c>
      <c r="O311" t="inlineStr">
        <is>
          <t>Medium</t>
        </is>
      </c>
      <c r="P311" t="inlineStr">
        <is>
          <t>2025-06-20</t>
        </is>
      </c>
      <c r="Q311" t="inlineStr">
        <is>
          <t>Oracle Fusion 26C Readiness — Recruiting</t>
        </is>
      </c>
      <c r="R311" t="inlineStr"/>
    </row>
    <row r="312">
      <c r="A312" t="inlineStr">
        <is>
          <t>CHG_IMP_0287</t>
        </is>
      </c>
      <c r="B312" t="inlineStr">
        <is>
          <t>REL_26C</t>
        </is>
      </c>
      <c r="C312" t="inlineStr">
        <is>
          <t>Redwood Experience: Capture Electronic Signature on Multiple Offer Documents</t>
        </is>
      </c>
      <c r="D312" t="inlineStr">
        <is>
          <t>Redwood Experience: Capture Electronic Signature on Multiple Offer Documents. Module: Recruiting. Release: 26C. You can choose which documents a candidate must sign as part of the offer letter package. When you create or edit a job offer, you can select the **Add candidate signature documents** checkbox then add the documents that require the candidate's signature.
Add Candidate Signature Documen</t>
        </is>
      </c>
      <c r="E312" t="inlineStr">
        <is>
          <t>Recruiting</t>
        </is>
      </c>
      <c r="F312" t="inlineStr">
        <is>
          <t>Functional</t>
        </is>
      </c>
      <c r="G312" t="inlineStr">
        <is>
          <t>Functional</t>
        </is>
      </c>
      <c r="H312" t="inlineStr"/>
      <c r="I312" t="inlineStr"/>
      <c r="J312" t="inlineStr">
        <is>
          <t>Recruiting</t>
        </is>
      </c>
      <c r="K312" t="inlineStr">
        <is>
          <t>N</t>
        </is>
      </c>
      <c r="L312" t="inlineStr">
        <is>
          <t>Y</t>
        </is>
      </c>
      <c r="M312" t="inlineStr">
        <is>
          <t>N</t>
        </is>
      </c>
      <c r="N312" t="inlineStr">
        <is>
          <t>Action type: Steps to Enable. To enable the Add candidate signature documents checkbox, set the site profile value to Y for the ORA_IRC_OFFER_MULTI_DOCUMENT_SIGNATURES profile opt</t>
        </is>
      </c>
      <c r="O312" t="inlineStr">
        <is>
          <t>Medium</t>
        </is>
      </c>
      <c r="P312" t="inlineStr">
        <is>
          <t>2025-06-20</t>
        </is>
      </c>
      <c r="Q312" t="inlineStr">
        <is>
          <t>Oracle Fusion 26C Readiness — Recruiting</t>
        </is>
      </c>
      <c r="R312" t="inlineStr"/>
    </row>
    <row r="313">
      <c r="A313" t="inlineStr">
        <is>
          <t>CHG_IMP_0288</t>
        </is>
      </c>
      <c r="B313" t="inlineStr">
        <is>
          <t>REL_26C</t>
        </is>
      </c>
      <c r="C313" t="inlineStr">
        <is>
          <t>Redwood Experience: Categorize and Save Email Attachments Using AI Agent</t>
        </is>
      </c>
      <c r="D313" t="inlineStr">
        <is>
          <t>Redwood Experience: Categorize and Save Email Attachments Using AI Agent. Module: Recruiting. Release: 26C. This feature introduces the Recruiting Inbox Document Processing Agent, which automatically processes attachments received from candidate emails, categorizes them into appropriate document types, and saves them to the candidate profile or job application depending on the email context. The R</t>
        </is>
      </c>
      <c r="E313" t="inlineStr">
        <is>
          <t>Recruiting</t>
        </is>
      </c>
      <c r="F313" t="inlineStr">
        <is>
          <t>AI Feature</t>
        </is>
      </c>
      <c r="G313" t="inlineStr">
        <is>
          <t>AI Feature</t>
        </is>
      </c>
      <c r="H313" t="inlineStr"/>
      <c r="I313" t="inlineStr"/>
      <c r="J313" t="inlineStr">
        <is>
          <t>Recruiting</t>
        </is>
      </c>
      <c r="K313" t="inlineStr">
        <is>
          <t>N</t>
        </is>
      </c>
      <c r="L313" t="inlineStr">
        <is>
          <t>Y</t>
        </is>
      </c>
      <c r="M313" t="inlineStr">
        <is>
          <t>N</t>
        </is>
      </c>
      <c r="N313" t="inlineStr">
        <is>
          <t>Action type: Steps to Enable. To use this feature, complete these prerequisites: 1. Enable two-way email communications. 2. Enable email attachments. 3. Set up document categories and</t>
        </is>
      </c>
      <c r="O313" t="inlineStr">
        <is>
          <t>Medium</t>
        </is>
      </c>
      <c r="P313" t="inlineStr">
        <is>
          <t>2025-06-20</t>
        </is>
      </c>
      <c r="Q313" t="inlineStr">
        <is>
          <t>Oracle Fusion 26C Readiness — Recruiting</t>
        </is>
      </c>
      <c r="R313" t="inlineStr"/>
    </row>
    <row r="314">
      <c r="A314" t="inlineStr">
        <is>
          <t>CHG_IMP_0289</t>
        </is>
      </c>
      <c r="B314" t="inlineStr">
        <is>
          <t>REL_26C</t>
        </is>
      </c>
      <c r="C314" t="inlineStr">
        <is>
          <t>Redwood Experience: Change Posting Locations of Non-Draft Job Requisitions</t>
        </is>
      </c>
      <c r="D314" t="inlineStr">
        <is>
          <t>Redwood Experience: Change Posting Locations of Non-Draft Job Requisitions. Module: Recruiting. Release: 26C. You can change the Primary Location and Other Locations fields even when requisitions aren't in the Draft state.
Previously, these fields could only be modified when:
• The requisition was in Draft, or
• The requisition was Open - Posted and had job applications
With this update, you ca</t>
        </is>
      </c>
      <c r="E314" t="inlineStr">
        <is>
          <t>Recruiting</t>
        </is>
      </c>
      <c r="F314" t="inlineStr">
        <is>
          <t>Functional</t>
        </is>
      </c>
      <c r="G314" t="inlineStr">
        <is>
          <t>Functional</t>
        </is>
      </c>
      <c r="H314" t="inlineStr"/>
      <c r="I314" t="inlineStr"/>
      <c r="J314" t="inlineStr">
        <is>
          <t>Recruiting</t>
        </is>
      </c>
      <c r="K314" t="inlineStr">
        <is>
          <t>N</t>
        </is>
      </c>
      <c r="L314" t="inlineStr">
        <is>
          <t>Y</t>
        </is>
      </c>
      <c r="M314" t="inlineStr">
        <is>
          <t>N</t>
        </is>
      </c>
      <c r="N314" t="inlineStr">
        <is>
          <t>Action type: Steps to Enable. To use Redwood experience, you need to enable the Recruiting Redwood pages profile options. For details, see Set profile options for Redwood pages. For</t>
        </is>
      </c>
      <c r="O314" t="inlineStr">
        <is>
          <t>Medium</t>
        </is>
      </c>
      <c r="P314" t="inlineStr">
        <is>
          <t>2025-06-20</t>
        </is>
      </c>
      <c r="Q314" t="inlineStr">
        <is>
          <t>Oracle Fusion 26C Readiness — Recruiting</t>
        </is>
      </c>
      <c r="R314" t="inlineStr"/>
    </row>
    <row r="315">
      <c r="A315" t="inlineStr">
        <is>
          <t>CHG_IMP_0290</t>
        </is>
      </c>
      <c r="B315" t="inlineStr">
        <is>
          <t>REL_26C</t>
        </is>
      </c>
      <c r="C315" t="inlineStr">
        <is>
          <t>Redwood Experience: Create Interview Summary and Populate Questionnaires Using AI Agent</t>
        </is>
      </c>
      <c r="D315" t="inlineStr">
        <is>
          <t xml:space="preserve">Redwood Experience: Create Interview Summary and Populate Questionnaires Using AI Agent. Module: Recruiting. Release: 26C. Use an AI Agent to complete interview feedback requests more efficiently. Paired with the Interview Companion feature, it analyzes interview transcripts to create interview summaries and pre-populated feedback questionnaires, which are sent directly to interviewers for review </t>
        </is>
      </c>
      <c r="E315" t="inlineStr">
        <is>
          <t>Recruiting</t>
        </is>
      </c>
      <c r="F315" t="inlineStr">
        <is>
          <t>AI Feature</t>
        </is>
      </c>
      <c r="G315" t="inlineStr">
        <is>
          <t>AI Feature</t>
        </is>
      </c>
      <c r="H315" t="inlineStr"/>
      <c r="I315" t="inlineStr"/>
      <c r="J315" t="inlineStr">
        <is>
          <t>Recruiting</t>
        </is>
      </c>
      <c r="K315" t="inlineStr">
        <is>
          <t>N</t>
        </is>
      </c>
      <c r="L315" t="inlineStr">
        <is>
          <t>Y</t>
        </is>
      </c>
      <c r="M315" t="inlineStr">
        <is>
          <t>N</t>
        </is>
      </c>
      <c r="N315" t="inlineStr">
        <is>
          <t>Action type: Steps to Enable. **Step 1: Opt in to Recruiting Booster** To use the Interview Insights feature, you need to opt in to Recruiting Booster. For details, see</t>
        </is>
      </c>
      <c r="O315" t="inlineStr">
        <is>
          <t>Medium</t>
        </is>
      </c>
      <c r="P315" t="inlineStr">
        <is>
          <t>2025-06-20</t>
        </is>
      </c>
      <c r="Q315" t="inlineStr">
        <is>
          <t>Oracle Fusion 26C Readiness — Recruiting</t>
        </is>
      </c>
      <c r="R315" t="inlineStr"/>
    </row>
    <row r="316">
      <c r="A316" t="inlineStr">
        <is>
          <t>CHG_IMP_0291</t>
        </is>
      </c>
      <c r="B316" t="inlineStr">
        <is>
          <t>REL_26C</t>
        </is>
      </c>
      <c r="C316" t="inlineStr">
        <is>
          <t>Redwood Experience: Customize Payroll Section in the Create and Edit Job Offer Flows</t>
        </is>
      </c>
      <c r="D316" t="inlineStr">
        <is>
          <t>Redwood Experience: Customize Payroll Section in the Create and Edit Job Offer Flows. Module: Recruiting. Release: 26C. Using Visual Builder Studio, you can customize the Payroll region in Redwood create and edit job offer flows.
**Business benefits:**
• Stronger payroll data integrity: Restricting edits to payroll fields under specific business conditions helps ensure that critical compensation</t>
        </is>
      </c>
      <c r="E316" t="inlineStr">
        <is>
          <t>Recruiting</t>
        </is>
      </c>
      <c r="F316" t="inlineStr">
        <is>
          <t>Functional</t>
        </is>
      </c>
      <c r="G316" t="inlineStr">
        <is>
          <t>Functional</t>
        </is>
      </c>
      <c r="H316" t="inlineStr"/>
      <c r="I316" t="inlineStr"/>
      <c r="J316" t="inlineStr">
        <is>
          <t>Recruiting</t>
        </is>
      </c>
      <c r="K316" t="inlineStr">
        <is>
          <t>N</t>
        </is>
      </c>
      <c r="L316" t="inlineStr">
        <is>
          <t>Y</t>
        </is>
      </c>
      <c r="M316" t="inlineStr">
        <is>
          <t>N</t>
        </is>
      </c>
      <c r="N316" t="inlineStr">
        <is>
          <t xml:space="preserve">Action type: Steps to Enable. To customize the Payroll region, in Visual Builder Studio, go to Hiring &gt; Create or Edit Job Offer &gt; Payroll info and create business rules. </t>
        </is>
      </c>
      <c r="O316" t="inlineStr">
        <is>
          <t>Medium</t>
        </is>
      </c>
      <c r="P316" t="inlineStr">
        <is>
          <t>2025-06-20</t>
        </is>
      </c>
      <c r="Q316" t="inlineStr">
        <is>
          <t>Oracle Fusion 26C Readiness — Recruiting</t>
        </is>
      </c>
      <c r="R316" t="inlineStr"/>
    </row>
    <row r="317">
      <c r="A317" t="inlineStr">
        <is>
          <t>CHG_IMP_0292</t>
        </is>
      </c>
      <c r="B317" t="inlineStr">
        <is>
          <t>REL_26C</t>
        </is>
      </c>
      <c r="C317" t="inlineStr">
        <is>
          <t>Redwood Experience: Dedicated Security Privilege to Invite Recruiting Agents to Submit Candidates for a Job Requisition</t>
        </is>
      </c>
      <c r="D317" t="inlineStr">
        <is>
          <t>Redwood Experience: Dedicated Security Privilege to Invite Recruiting Agents to Submit Candidates for a Job Requisition. Module: Recruiting. Release: 26C. You can control who can invite recruiting agents to submit candidates for a job requisition using a new security privilege: **Post Job Requisition to Recruiting Agents.**
Previously, the ability to invite recruiting agents from a job requisitio</t>
        </is>
      </c>
      <c r="E317" t="inlineStr">
        <is>
          <t>Recruiting</t>
        </is>
      </c>
      <c r="F317" t="inlineStr">
        <is>
          <t>Functional</t>
        </is>
      </c>
      <c r="G317" t="inlineStr">
        <is>
          <t>Functional</t>
        </is>
      </c>
      <c r="H317" t="inlineStr"/>
      <c r="I317" t="inlineStr"/>
      <c r="J317" t="inlineStr">
        <is>
          <t>Recruiting</t>
        </is>
      </c>
      <c r="K317" t="inlineStr">
        <is>
          <t>N</t>
        </is>
      </c>
      <c r="L317" t="inlineStr">
        <is>
          <t>Y</t>
        </is>
      </c>
      <c r="M317" t="inlineStr">
        <is>
          <t>N</t>
        </is>
      </c>
      <c r="N317" t="inlineStr">
        <is>
          <t>Action type: Steps to Enable. See the **Access Requirements** section. To use Redwood experience, you need to enable the Recruiting Redw</t>
        </is>
      </c>
      <c r="O317" t="inlineStr">
        <is>
          <t>Medium</t>
        </is>
      </c>
      <c r="P317" t="inlineStr">
        <is>
          <t>2025-06-20</t>
        </is>
      </c>
      <c r="Q317" t="inlineStr">
        <is>
          <t>Oracle Fusion 26C Readiness — Recruiting</t>
        </is>
      </c>
      <c r="R317" t="inlineStr"/>
    </row>
    <row r="318">
      <c r="A318" t="inlineStr">
        <is>
          <t>CHG_IMP_0293</t>
        </is>
      </c>
      <c r="B318" t="inlineStr">
        <is>
          <t>REL_26C</t>
        </is>
      </c>
      <c r="C318" t="inlineStr">
        <is>
          <t>Redwood Experience: Defaulting and Validation Rules For Job Requisition Details Section in Request New Position Flow</t>
        </is>
      </c>
      <c r="D318" t="inlineStr">
        <is>
          <t>Redwood Experience: Defaulting and Validation Rules For Job Requisition Details Section in Request New Position Flow. Module: Recruiting. Release: 26C. You can personalize the job requisition details section in Redwood Request New Position flow using new defaulting and validation rules in Visual Builder Studio.
These use cases are supported:
• Default the value of the Business Justification fiel</t>
        </is>
      </c>
      <c r="E318" t="inlineStr">
        <is>
          <t>Recruiting</t>
        </is>
      </c>
      <c r="F318" t="inlineStr">
        <is>
          <t>Functional</t>
        </is>
      </c>
      <c r="G318" t="inlineStr">
        <is>
          <t>Functional</t>
        </is>
      </c>
      <c r="H318" t="inlineStr"/>
      <c r="I318" t="inlineStr"/>
      <c r="J318" t="inlineStr">
        <is>
          <t>Recruiting</t>
        </is>
      </c>
      <c r="K318" t="inlineStr">
        <is>
          <t>N</t>
        </is>
      </c>
      <c r="L318" t="inlineStr">
        <is>
          <t>Y</t>
        </is>
      </c>
      <c r="M318" t="inlineStr">
        <is>
          <t>N</t>
        </is>
      </c>
      <c r="N318" t="inlineStr">
        <is>
          <t xml:space="preserve">Action type: Steps to Enable. To use Redwood experience, you need to enable the Recruiting Redwood pages profile options. For details, see </t>
        </is>
      </c>
      <c r="O318" t="inlineStr">
        <is>
          <t>Medium</t>
        </is>
      </c>
      <c r="P318" t="inlineStr">
        <is>
          <t>2025-06-20</t>
        </is>
      </c>
      <c r="Q318" t="inlineStr">
        <is>
          <t>Oracle Fusion 26C Readiness — Recruiting</t>
        </is>
      </c>
      <c r="R318" t="inlineStr"/>
    </row>
    <row r="319">
      <c r="A319" t="inlineStr">
        <is>
          <t>CHG_IMP_0294</t>
        </is>
      </c>
      <c r="B319" t="inlineStr">
        <is>
          <t>REL_26C</t>
        </is>
      </c>
      <c r="C319" t="inlineStr">
        <is>
          <t>Redwood Experience: Display Relationship Between Interviews and Feedback Requests</t>
        </is>
      </c>
      <c r="D319" t="inlineStr">
        <is>
          <t>Redwood Experience: Display Relationship Between Interviews and Feedback Requests. Module: Recruiting. Release: 26C. Take advantage of these interview feedback enhancements.
**Display of relationship between interviews and feedback requests**
We now clearly show the relationship between interviews and feedback requests across interview and feedback pages. In areas where interviews are displayed,</t>
        </is>
      </c>
      <c r="E319" t="inlineStr">
        <is>
          <t>Recruiting</t>
        </is>
      </c>
      <c r="F319" t="inlineStr">
        <is>
          <t>Functional</t>
        </is>
      </c>
      <c r="G319" t="inlineStr">
        <is>
          <t>Functional</t>
        </is>
      </c>
      <c r="H319" t="inlineStr"/>
      <c r="I319" t="inlineStr"/>
      <c r="J319" t="inlineStr">
        <is>
          <t>Recruiting</t>
        </is>
      </c>
      <c r="K319" t="inlineStr">
        <is>
          <t>N</t>
        </is>
      </c>
      <c r="L319" t="inlineStr">
        <is>
          <t>Y</t>
        </is>
      </c>
      <c r="M319" t="inlineStr">
        <is>
          <t>N</t>
        </is>
      </c>
      <c r="N319" t="inlineStr">
        <is>
          <t>Action type: Steps to Enable. To use Redwood experience, you need to enable the Recruiting Redwood pages profile options. For details, see Set profile options for Redwood pag</t>
        </is>
      </c>
      <c r="O319" t="inlineStr">
        <is>
          <t>Medium</t>
        </is>
      </c>
      <c r="P319" t="inlineStr">
        <is>
          <t>2025-06-20</t>
        </is>
      </c>
      <c r="Q319" t="inlineStr">
        <is>
          <t>Oracle Fusion 26C Readiness — Recruiting</t>
        </is>
      </c>
      <c r="R319" t="inlineStr"/>
    </row>
    <row r="320">
      <c r="A320" t="inlineStr">
        <is>
          <t>CHG_IMP_0295</t>
        </is>
      </c>
      <c r="B320" t="inlineStr">
        <is>
          <t>REL_26C</t>
        </is>
      </c>
      <c r="C320" t="inlineStr">
        <is>
          <t>Redwood Experience: Enhanced Editing for Private Hiring Events</t>
        </is>
      </c>
      <c r="D320" t="inlineStr">
        <is>
          <t>Redwood Experience: Enhanced Editing for Private Hiring Events. Module: Recruiting. Release: 26C. Recruiters and event owners can now edit the date, time, and location (physical address or virtual meeting link) for private hiring events, as long as an event start date and time are still in the future, and the event is still open for registration. Once the details are changed and saved, all regis</t>
        </is>
      </c>
      <c r="E320" t="inlineStr">
        <is>
          <t>Recruiting</t>
        </is>
      </c>
      <c r="F320" t="inlineStr">
        <is>
          <t>Functional</t>
        </is>
      </c>
      <c r="G320" t="inlineStr">
        <is>
          <t>Functional</t>
        </is>
      </c>
      <c r="H320" t="inlineStr"/>
      <c r="I320" t="inlineStr"/>
      <c r="J320" t="inlineStr">
        <is>
          <t>Recruiting</t>
        </is>
      </c>
      <c r="K320" t="inlineStr">
        <is>
          <t>N</t>
        </is>
      </c>
      <c r="L320" t="inlineStr">
        <is>
          <t>Y</t>
        </is>
      </c>
      <c r="M320" t="inlineStr">
        <is>
          <t>N</t>
        </is>
      </c>
      <c r="N320" t="inlineStr">
        <is>
          <t>Action type: Steps to Enable. For privileges, see the **Access Requirements** section.</t>
        </is>
      </c>
      <c r="O320" t="inlineStr">
        <is>
          <t>Medium</t>
        </is>
      </c>
      <c r="P320" t="inlineStr">
        <is>
          <t>2025-06-20</t>
        </is>
      </c>
      <c r="Q320" t="inlineStr">
        <is>
          <t>Oracle Fusion 26C Readiness — Recruiting</t>
        </is>
      </c>
      <c r="R320" t="inlineStr"/>
    </row>
    <row r="321">
      <c r="A321" t="inlineStr">
        <is>
          <t>CHG_IMP_0296</t>
        </is>
      </c>
      <c r="B321" t="inlineStr">
        <is>
          <t>REL_26C</t>
        </is>
      </c>
      <c r="C321" t="inlineStr">
        <is>
          <t>Redwood Experience: Feedback Tab in Coordinate Interviews Area</t>
        </is>
      </c>
      <c r="D321" t="inlineStr">
        <is>
          <t>Redwood Experience: Feedback Tab in Coordinate Interviews Area. Module: Recruiting. Release: 26C. Use the new Feedback tab in the Coordinate Interviews area to review interview feedback requests in one place and take quick follow-up actions to keep the hiring process moving.
*Go to My Client Groups &gt; Coordinate Interviews &gt; Feedback tab*
The Feedback tab lists feedback requests you’re involved</t>
        </is>
      </c>
      <c r="E321" t="inlineStr">
        <is>
          <t>Recruiting</t>
        </is>
      </c>
      <c r="F321" t="inlineStr">
        <is>
          <t>Functional</t>
        </is>
      </c>
      <c r="G321" t="inlineStr">
        <is>
          <t>Functional</t>
        </is>
      </c>
      <c r="H321" t="inlineStr"/>
      <c r="I321" t="inlineStr"/>
      <c r="J321" t="inlineStr">
        <is>
          <t>Recruiting</t>
        </is>
      </c>
      <c r="K321" t="inlineStr">
        <is>
          <t>N</t>
        </is>
      </c>
      <c r="L321" t="inlineStr">
        <is>
          <t>Y</t>
        </is>
      </c>
      <c r="M321" t="inlineStr">
        <is>
          <t>N</t>
        </is>
      </c>
      <c r="N321" t="inlineStr">
        <is>
          <t>Action type: Steps to Enable. To use the Coordinate Interviews feature, you need to opt in to Recruiting Booster. For details, see Opt in to Recruiting Booster. To use Redwood experience, you n</t>
        </is>
      </c>
      <c r="O321" t="inlineStr">
        <is>
          <t>Medium</t>
        </is>
      </c>
      <c r="P321" t="inlineStr">
        <is>
          <t>2025-06-20</t>
        </is>
      </c>
      <c r="Q321" t="inlineStr">
        <is>
          <t>Oracle Fusion 26C Readiness — Recruiting</t>
        </is>
      </c>
      <c r="R321" t="inlineStr"/>
    </row>
    <row r="322">
      <c r="A322" t="inlineStr">
        <is>
          <t>CHG_IMP_0297</t>
        </is>
      </c>
      <c r="B322" t="inlineStr">
        <is>
          <t>REL_26C</t>
        </is>
      </c>
      <c r="C322" t="inlineStr">
        <is>
          <t>Redwood Experience: Generate Interview Resources Using AI Agent</t>
        </is>
      </c>
      <c r="D322" t="inlineStr">
        <is>
          <t>Redwood Experience: Generate Interview Resources Using AI Agent. Module: Recruiting. Release: 26C. Take advantage of an AI agent to generate interview guidelines. The agent replaces the deprecated Prompt Lab prompts while preserving the same content-generation and regeneration experience for supported fields.
The new agent template is available in AI Agent Studio: **Recruiting Interview Resource</t>
        </is>
      </c>
      <c r="E322" t="inlineStr">
        <is>
          <t>Recruiting</t>
        </is>
      </c>
      <c r="F322" t="inlineStr">
        <is>
          <t>AI Feature</t>
        </is>
      </c>
      <c r="G322" t="inlineStr">
        <is>
          <t>AI Feature</t>
        </is>
      </c>
      <c r="H322" t="inlineStr"/>
      <c r="I322" t="inlineStr"/>
      <c r="J322" t="inlineStr">
        <is>
          <t>Recruiting</t>
        </is>
      </c>
      <c r="K322" t="inlineStr">
        <is>
          <t>N</t>
        </is>
      </c>
      <c r="L322" t="inlineStr">
        <is>
          <t>Y</t>
        </is>
      </c>
      <c r="M322" t="inlineStr">
        <is>
          <t>N</t>
        </is>
      </c>
      <c r="N322" t="inlineStr">
        <is>
          <t>Action type: Steps to Enable. You can enable the automatic generation of interview guidelines using the AI Agent. In Visual Builder Studio, go to Hiring &gt; Create Interview Schedule or Create I</t>
        </is>
      </c>
      <c r="O322" t="inlineStr">
        <is>
          <t>Medium</t>
        </is>
      </c>
      <c r="P322" t="inlineStr">
        <is>
          <t>2025-06-20</t>
        </is>
      </c>
      <c r="Q322" t="inlineStr">
        <is>
          <t>Oracle Fusion 26C Readiness — Recruiting</t>
        </is>
      </c>
      <c r="R322" t="inlineStr"/>
    </row>
    <row r="323">
      <c r="A323" t="inlineStr">
        <is>
          <t>CHG_IMP_0298</t>
        </is>
      </c>
      <c r="B323" t="inlineStr">
        <is>
          <t>REL_26C</t>
        </is>
      </c>
      <c r="C323" t="inlineStr">
        <is>
          <t>Redwood Experience: Generate Job Requisition Posting Description Using AI Agent</t>
        </is>
      </c>
      <c r="D323" t="inlineStr">
        <is>
          <t>Redwood Experience: Generate Job Requisition Posting Description Using AI Agent. Module: Recruiting. Release: 26C. Use a workflow agent to power AI Assist for generating job requisition posting descriptions, replacing the deprecated Prompt Lab prompts while keeping the same generation experience.
A new agent template is available in AI Agent Studio: **Recruiting Job Requisition Posting Descriptio</t>
        </is>
      </c>
      <c r="E323" t="inlineStr">
        <is>
          <t>Recruiting</t>
        </is>
      </c>
      <c r="F323" t="inlineStr">
        <is>
          <t>AI Feature</t>
        </is>
      </c>
      <c r="G323" t="inlineStr">
        <is>
          <t>AI Feature</t>
        </is>
      </c>
      <c r="H323" t="inlineStr"/>
      <c r="I323" t="inlineStr"/>
      <c r="J323" t="inlineStr">
        <is>
          <t>Recruiting</t>
        </is>
      </c>
      <c r="K323" t="inlineStr">
        <is>
          <t>N</t>
        </is>
      </c>
      <c r="L323" t="inlineStr">
        <is>
          <t>Y</t>
        </is>
      </c>
      <c r="M323" t="inlineStr">
        <is>
          <t>N</t>
        </is>
      </c>
      <c r="N323" t="inlineStr">
        <is>
          <t>Action type: Steps to Enable. The Qualifications and Responsibilities fields are hidden by default. To make them visible, in Visual Builder Studio go to Hiring &gt; Job Requisitio</t>
        </is>
      </c>
      <c r="O323" t="inlineStr">
        <is>
          <t>Medium</t>
        </is>
      </c>
      <c r="P323" t="inlineStr">
        <is>
          <t>2025-06-20</t>
        </is>
      </c>
      <c r="Q323" t="inlineStr">
        <is>
          <t>Oracle Fusion 26C Readiness — Recruiting</t>
        </is>
      </c>
      <c r="R323" t="inlineStr"/>
    </row>
    <row r="324">
      <c r="A324" t="inlineStr">
        <is>
          <t>CHG_IMP_0299</t>
        </is>
      </c>
      <c r="B324" t="inlineStr">
        <is>
          <t>REL_26C</t>
        </is>
      </c>
      <c r="C324" t="inlineStr">
        <is>
          <t>Redwood Experience: Internal Hiring Events</t>
        </is>
      </c>
      <c r="D324" t="inlineStr">
        <is>
          <t>Redwood Experience: Internal Hiring Events. Module: Recruiting. Release: 26C. Organizations can now create and manage internal hiring events to promote open roles to existing employees through Oracle Recruiting Hiring Events. Internal events are posted to Opportunity Marketplace.
The feature includes:
• Support for multiple audience types: internal, internal and external, a</t>
        </is>
      </c>
      <c r="E324" t="inlineStr">
        <is>
          <t>Recruiting</t>
        </is>
      </c>
      <c r="F324" t="inlineStr">
        <is>
          <t>Functional</t>
        </is>
      </c>
      <c r="G324" t="inlineStr">
        <is>
          <t>Functional</t>
        </is>
      </c>
      <c r="H324" t="inlineStr"/>
      <c r="I324" t="inlineStr"/>
      <c r="J324" t="inlineStr">
        <is>
          <t>Recruiting</t>
        </is>
      </c>
      <c r="K324" t="inlineStr">
        <is>
          <t>N</t>
        </is>
      </c>
      <c r="L324" t="inlineStr">
        <is>
          <t>Y</t>
        </is>
      </c>
      <c r="M324" t="inlineStr">
        <is>
          <t>N</t>
        </is>
      </c>
      <c r="N324" t="inlineStr">
        <is>
          <t>Action type: Steps to Enable. 1. In the Setup and Maintenance work area, enable Oracle Recruiting Hiring Events. 2. Configure recruiter security privileges. See the **Access Requirements** section. 3.</t>
        </is>
      </c>
      <c r="O324" t="inlineStr">
        <is>
          <t>Medium</t>
        </is>
      </c>
      <c r="P324" t="inlineStr">
        <is>
          <t>2025-06-20</t>
        </is>
      </c>
      <c r="Q324" t="inlineStr">
        <is>
          <t>Oracle Fusion 26C Readiness — Recruiting</t>
        </is>
      </c>
      <c r="R324" t="inlineStr"/>
    </row>
    <row r="325">
      <c r="A325" t="inlineStr">
        <is>
          <t>CHG_IMP_0300</t>
        </is>
      </c>
      <c r="B325" t="inlineStr">
        <is>
          <t>REL_26C</t>
        </is>
      </c>
      <c r="C325" t="inlineStr">
        <is>
          <t>Redwood Experience: Interview Companion</t>
        </is>
      </c>
      <c r="D325" t="inlineStr">
        <is>
          <t>Redwood Experience: Interview Companion. Module: Recruiting. Release: 26C. Interview Companion provides interviewers with a single page to access interview guidelines, review candidate details, and record notes during the interview. For interviews conducted using Zoom or Microsoft Teams, interviewers can also access the meeting transcript after the interview.
Here’s how i</t>
        </is>
      </c>
      <c r="E325" t="inlineStr">
        <is>
          <t>Recruiting</t>
        </is>
      </c>
      <c r="F325" t="inlineStr">
        <is>
          <t>Functional</t>
        </is>
      </c>
      <c r="G325" t="inlineStr">
        <is>
          <t>Functional</t>
        </is>
      </c>
      <c r="H325" t="inlineStr"/>
      <c r="I325" t="inlineStr"/>
      <c r="J325" t="inlineStr">
        <is>
          <t>Recruiting</t>
        </is>
      </c>
      <c r="K325" t="inlineStr">
        <is>
          <t>N</t>
        </is>
      </c>
      <c r="L325" t="inlineStr">
        <is>
          <t>Y</t>
        </is>
      </c>
      <c r="M325" t="inlineStr">
        <is>
          <t>N</t>
        </is>
      </c>
      <c r="N325" t="inlineStr">
        <is>
          <t>Action type: Steps to Enable. **Step 1: Opt in to Recruiting Booster** To use Interview Companion, you need to opt in to Recruiting Booster. For details, see Opt in to Recruiting Booster. **Step 2: En</t>
        </is>
      </c>
      <c r="O325" t="inlineStr">
        <is>
          <t>Medium</t>
        </is>
      </c>
      <c r="P325" t="inlineStr">
        <is>
          <t>2025-06-20</t>
        </is>
      </c>
      <c r="Q325" t="inlineStr">
        <is>
          <t>Oracle Fusion 26C Readiness — Recruiting</t>
        </is>
      </c>
      <c r="R325" t="inlineStr"/>
    </row>
    <row r="326">
      <c r="A326" t="inlineStr">
        <is>
          <t>CHG_IMP_0301</t>
        </is>
      </c>
      <c r="B326" t="inlineStr">
        <is>
          <t>REL_26C</t>
        </is>
      </c>
      <c r="C326" t="inlineStr">
        <is>
          <t>Redwood Experience: Job Application AI Overview Enhancements</t>
        </is>
      </c>
      <c r="D326" t="inlineStr">
        <is>
          <t>Redwood Experience: Job Application AI Overview Enhancements. Module: Recruiting. Release: 26C. The AI Overview for job applications now automatically generates candidate summaries for new applications. Recruiting users no longer need to manually open the Overview tab to trigger summary creation. Also, the candidate summary begins with a concise overall fit assessment, include question respons</t>
        </is>
      </c>
      <c r="E326" t="inlineStr">
        <is>
          <t>Recruiting</t>
        </is>
      </c>
      <c r="F326" t="inlineStr">
        <is>
          <t>Functional</t>
        </is>
      </c>
      <c r="G326" t="inlineStr">
        <is>
          <t>Functional</t>
        </is>
      </c>
      <c r="H326" t="inlineStr"/>
      <c r="I326" t="inlineStr"/>
      <c r="J326" t="inlineStr">
        <is>
          <t>Recruiting</t>
        </is>
      </c>
      <c r="K326" t="inlineStr">
        <is>
          <t>N</t>
        </is>
      </c>
      <c r="L326" t="inlineStr">
        <is>
          <t>Y</t>
        </is>
      </c>
      <c r="M326" t="inlineStr">
        <is>
          <t>N</t>
        </is>
      </c>
      <c r="N326" t="inlineStr">
        <is>
          <t>Action type: Steps to Enable. To use Redwood experience, you need to enable the Recruiting Redwood pages profile options. For details, see Set profile options for Redwood pages. To setup the feat</t>
        </is>
      </c>
      <c r="O326" t="inlineStr">
        <is>
          <t>Medium</t>
        </is>
      </c>
      <c r="P326" t="inlineStr">
        <is>
          <t>2025-06-20</t>
        </is>
      </c>
      <c r="Q326" t="inlineStr">
        <is>
          <t>Oracle Fusion 26C Readiness — Recruiting</t>
        </is>
      </c>
      <c r="R326" t="inlineStr"/>
    </row>
    <row r="327">
      <c r="A327" t="inlineStr">
        <is>
          <t>CHG_IMP_0302</t>
        </is>
      </c>
      <c r="B327" t="inlineStr">
        <is>
          <t>REL_26C</t>
        </is>
      </c>
      <c r="C327" t="inlineStr">
        <is>
          <t>Redwood Experience: Job Application E-Signature Section Enhancements</t>
        </is>
      </c>
      <c r="D327" t="inlineStr">
        <is>
          <t>Redwood Experience: Job Application E-Signature Section Enhancements. Module: Recruiting. Release: 26C. The E-signature section in the Progress tab of job applications has been enhanced as follows:
• Use of consistent e-signature text
• E-signatures displayed in chronological order
• Display of the name entered by the candidate
E-Signature Info
**Business benefit:** Provides a easy to review tr</t>
        </is>
      </c>
      <c r="E327" t="inlineStr">
        <is>
          <t>Recruiting</t>
        </is>
      </c>
      <c r="F327" t="inlineStr">
        <is>
          <t>Functional</t>
        </is>
      </c>
      <c r="G327" t="inlineStr">
        <is>
          <t>Functional</t>
        </is>
      </c>
      <c r="H327" t="inlineStr"/>
      <c r="I327" t="inlineStr"/>
      <c r="J327" t="inlineStr">
        <is>
          <t>Recruiting</t>
        </is>
      </c>
      <c r="K327" t="inlineStr">
        <is>
          <t>N</t>
        </is>
      </c>
      <c r="L327" t="inlineStr">
        <is>
          <t>Y</t>
        </is>
      </c>
      <c r="M327" t="inlineStr">
        <is>
          <t>N</t>
        </is>
      </c>
      <c r="N327" t="inlineStr">
        <is>
          <t>Action type: Steps to Enable. To use Redwood experience, you need to enable the Recruiting Redwood pages profile options. For details, see Set profile options for Redwood pages. For detai</t>
        </is>
      </c>
      <c r="O327" t="inlineStr">
        <is>
          <t>Medium</t>
        </is>
      </c>
      <c r="P327" t="inlineStr">
        <is>
          <t>2025-06-20</t>
        </is>
      </c>
      <c r="Q327" t="inlineStr">
        <is>
          <t>Oracle Fusion 26C Readiness — Recruiting</t>
        </is>
      </c>
      <c r="R327" t="inlineStr"/>
    </row>
    <row r="328">
      <c r="A328" t="inlineStr">
        <is>
          <t>CHG_IMP_0303</t>
        </is>
      </c>
      <c r="B328" t="inlineStr">
        <is>
          <t>REL_26C</t>
        </is>
      </c>
      <c r="C328" t="inlineStr">
        <is>
          <t>Redwood Experience: Job Offer Enhancements for Employees with Multiple Assignments</t>
        </is>
      </c>
      <c r="D328" t="inlineStr">
        <is>
          <t>Redwood Experience: Job Offer Enhancements for Employees with Multiple Assignments. Module: Recruiting. Release: 26C. Take note of the enhancements made to these scenarios when creating job offers for employees with multiple assignments.
Scenario 1: Employee with 1 work relationship and 2 assignments
• When you create a job offer for an employee whose proposed worker type and legal employer matc</t>
        </is>
      </c>
      <c r="E328" t="inlineStr">
        <is>
          <t>Recruiting</t>
        </is>
      </c>
      <c r="F328" t="inlineStr">
        <is>
          <t>Functional</t>
        </is>
      </c>
      <c r="G328" t="inlineStr">
        <is>
          <t>Functional</t>
        </is>
      </c>
      <c r="H328" t="inlineStr"/>
      <c r="I328" t="inlineStr"/>
      <c r="J328" t="inlineStr">
        <is>
          <t>Recruiting</t>
        </is>
      </c>
      <c r="K328" t="inlineStr">
        <is>
          <t>N</t>
        </is>
      </c>
      <c r="L328" t="inlineStr">
        <is>
          <t>Y</t>
        </is>
      </c>
      <c r="M328" t="inlineStr">
        <is>
          <t>N</t>
        </is>
      </c>
      <c r="N328" t="inlineStr">
        <is>
          <t>Action type: Steps to Enable. To use Redwood experience, you need to enable the Recruiting Redwood pages profile options. For details, see Set profile options for Redwood pa</t>
        </is>
      </c>
      <c r="O328" t="inlineStr">
        <is>
          <t>Medium</t>
        </is>
      </c>
      <c r="P328" t="inlineStr">
        <is>
          <t>2025-06-20</t>
        </is>
      </c>
      <c r="Q328" t="inlineStr">
        <is>
          <t>Oracle Fusion 26C Readiness — Recruiting</t>
        </is>
      </c>
      <c r="R328" t="inlineStr"/>
    </row>
    <row r="329">
      <c r="A329" t="inlineStr">
        <is>
          <t>CHG_IMP_0304</t>
        </is>
      </c>
      <c r="B329" t="inlineStr">
        <is>
          <t>REL_26C</t>
        </is>
      </c>
      <c r="C329" t="inlineStr">
        <is>
          <t>Redwood Experience: Job Offer Letter Versioning Enhancement</t>
        </is>
      </c>
      <c r="D329" t="inlineStr">
        <is>
          <t>Redwood Experience: Job Offer Letter Versioning Enhancement. Module: Recruiting. Release: 26C. This enhancement adds version control for job offer letters, ensuring consistency between the version presented to candidates and the one retained for record-keeping.
Previously, if an offer letter template was modified after an offer was extended, the system could display or store a newer version</t>
        </is>
      </c>
      <c r="E329" t="inlineStr">
        <is>
          <t>Recruiting</t>
        </is>
      </c>
      <c r="F329" t="inlineStr">
        <is>
          <t>Functional</t>
        </is>
      </c>
      <c r="G329" t="inlineStr">
        <is>
          <t>Functional</t>
        </is>
      </c>
      <c r="H329" t="inlineStr"/>
      <c r="I329" t="inlineStr"/>
      <c r="J329" t="inlineStr">
        <is>
          <t>Recruiting</t>
        </is>
      </c>
      <c r="K329" t="inlineStr">
        <is>
          <t>N</t>
        </is>
      </c>
      <c r="L329" t="inlineStr">
        <is>
          <t>Y</t>
        </is>
      </c>
      <c r="M329" t="inlineStr">
        <is>
          <t>N</t>
        </is>
      </c>
      <c r="N329" t="inlineStr">
        <is>
          <t>Action type: Steps to Enable. **Step 1: Select the Enable versioning of job offer option** Go to Setup and Maintenance &gt; Recruiting and Candidate Experience &gt; Recruiting and Candidate Experience M</t>
        </is>
      </c>
      <c r="O329" t="inlineStr">
        <is>
          <t>Medium</t>
        </is>
      </c>
      <c r="P329" t="inlineStr">
        <is>
          <t>2025-06-20</t>
        </is>
      </c>
      <c r="Q329" t="inlineStr">
        <is>
          <t>Oracle Fusion 26C Readiness — Recruiting</t>
        </is>
      </c>
      <c r="R329" t="inlineStr"/>
    </row>
    <row r="330">
      <c r="A330" t="inlineStr">
        <is>
          <t>CHG_IMP_0305</t>
        </is>
      </c>
      <c r="B330" t="inlineStr">
        <is>
          <t>REL_26C</t>
        </is>
      </c>
      <c r="C330" t="inlineStr">
        <is>
          <t>Redwood Experience: Keyword Parameter in Search URL</t>
        </is>
      </c>
      <c r="D330" t="inlineStr">
        <is>
          <t>Redwood Experience: Keyword Parameter in Search URL. Module: Recruiting. Release: 26C. A keyword search URL parameter,**?keyword=**, is available to use for keyword and natural language searches in Hiring and Candidate Sourcing.
Here’s how it works:
By following a URL with this search parameter included, you automatically arrive on the Candidate Search page. You'll see the keywords</t>
        </is>
      </c>
      <c r="E330" t="inlineStr">
        <is>
          <t>Recruiting</t>
        </is>
      </c>
      <c r="F330" t="inlineStr">
        <is>
          <t>Functional</t>
        </is>
      </c>
      <c r="G330" t="inlineStr">
        <is>
          <t>Functional</t>
        </is>
      </c>
      <c r="H330" t="inlineStr"/>
      <c r="I330" t="inlineStr"/>
      <c r="J330" t="inlineStr">
        <is>
          <t>Recruiting</t>
        </is>
      </c>
      <c r="K330" t="inlineStr">
        <is>
          <t>N</t>
        </is>
      </c>
      <c r="L330" t="inlineStr">
        <is>
          <t>N</t>
        </is>
      </c>
      <c r="M330" t="inlineStr">
        <is>
          <t>N</t>
        </is>
      </c>
      <c r="N330" t="inlineStr">
        <is>
          <t>Auto-enabled — no action required</t>
        </is>
      </c>
      <c r="O330" t="inlineStr">
        <is>
          <t>Low</t>
        </is>
      </c>
      <c r="P330" t="inlineStr">
        <is>
          <t>2025-06-20</t>
        </is>
      </c>
      <c r="Q330" t="inlineStr">
        <is>
          <t>Oracle Fusion 26C Readiness — Recruiting</t>
        </is>
      </c>
      <c r="R330" t="inlineStr"/>
    </row>
    <row r="331">
      <c r="A331" t="inlineStr">
        <is>
          <t>CHG_IMP_0306</t>
        </is>
      </c>
      <c r="B331" t="inlineStr">
        <is>
          <t>REL_26C</t>
        </is>
      </c>
      <c r="C331" t="inlineStr">
        <is>
          <t>Redwood Experience: More Use Cases for Defaulting and Validation Rules for Create Job Requisition Flow</t>
        </is>
      </c>
      <c r="D331" t="inlineStr">
        <is>
          <t>Redwood Experience: More Use Cases for Defaulting and Validation Rules for Create Job Requisition Flow. Module: Recruiting. Release: 26C. Here are additional use cases to default the value of fields when creating job requisitions:
• Default the value of the Hiring Manager field with the position's Department Manager.
• Default the value of the job requisition descriptive flexfields (DFF) with the</t>
        </is>
      </c>
      <c r="E331" t="inlineStr">
        <is>
          <t>Recruiting</t>
        </is>
      </c>
      <c r="F331" t="inlineStr">
        <is>
          <t>Functional</t>
        </is>
      </c>
      <c r="G331" t="inlineStr">
        <is>
          <t>Functional</t>
        </is>
      </c>
      <c r="H331" t="inlineStr"/>
      <c r="I331" t="inlineStr"/>
      <c r="J331" t="inlineStr">
        <is>
          <t>Recruiting</t>
        </is>
      </c>
      <c r="K331" t="inlineStr">
        <is>
          <t>N</t>
        </is>
      </c>
      <c r="L331" t="inlineStr">
        <is>
          <t>Y</t>
        </is>
      </c>
      <c r="M331" t="inlineStr">
        <is>
          <t>N</t>
        </is>
      </c>
      <c r="N331" t="inlineStr">
        <is>
          <t>Action type: Steps to Enable. To use Redwood experience, you need to enable the Recruiting Redwood pages profile options. For details, see Set profile op</t>
        </is>
      </c>
      <c r="O331" t="inlineStr">
        <is>
          <t>Medium</t>
        </is>
      </c>
      <c r="P331" t="inlineStr">
        <is>
          <t>2025-06-20</t>
        </is>
      </c>
      <c r="Q331" t="inlineStr">
        <is>
          <t>Oracle Fusion 26C Readiness — Recruiting</t>
        </is>
      </c>
      <c r="R331" t="inlineStr"/>
    </row>
    <row r="332">
      <c r="A332" t="inlineStr">
        <is>
          <t>CHG_IMP_0307</t>
        </is>
      </c>
      <c r="B332" t="inlineStr">
        <is>
          <t>REL_26C</t>
        </is>
      </c>
      <c r="C332" t="inlineStr">
        <is>
          <t>Redwood Experience: Move Action Extensibility in Hiring Section of Job Applications and Candidate Profiles</t>
        </is>
      </c>
      <c r="D332" t="inlineStr">
        <is>
          <t>Redwood Experience: Move Action Extensibility in Hiring Section of Job Applications and Candidate Profiles. Module: Recruiting. Release: 26C. You can configure the fields in the Move application panel when the action is performed from the Hiring section of the Activity tab, which is available in job applications and candidate profiles. These fields can be configured to be hidden and required:
• P</t>
        </is>
      </c>
      <c r="E332" t="inlineStr">
        <is>
          <t>Recruiting</t>
        </is>
      </c>
      <c r="F332" t="inlineStr">
        <is>
          <t>Functional</t>
        </is>
      </c>
      <c r="G332" t="inlineStr">
        <is>
          <t>Functional</t>
        </is>
      </c>
      <c r="H332" t="inlineStr"/>
      <c r="I332" t="inlineStr"/>
      <c r="J332" t="inlineStr">
        <is>
          <t>Recruiting</t>
        </is>
      </c>
      <c r="K332" t="inlineStr">
        <is>
          <t>N</t>
        </is>
      </c>
      <c r="L332" t="inlineStr">
        <is>
          <t>Y</t>
        </is>
      </c>
      <c r="M332" t="inlineStr">
        <is>
          <t>N</t>
        </is>
      </c>
      <c r="N332" t="inlineStr">
        <is>
          <t>Action type: Steps to Enable. You can control the display of fields in the Move application panel. In Visual Builder Studio, go to Hiring &gt; Job Appli</t>
        </is>
      </c>
      <c r="O332" t="inlineStr">
        <is>
          <t>Medium</t>
        </is>
      </c>
      <c r="P332" t="inlineStr">
        <is>
          <t>2025-06-20</t>
        </is>
      </c>
      <c r="Q332" t="inlineStr">
        <is>
          <t>Oracle Fusion 26C Readiness — Recruiting</t>
        </is>
      </c>
      <c r="R332" t="inlineStr"/>
    </row>
    <row r="333">
      <c r="A333" t="inlineStr">
        <is>
          <t>CHG_IMP_0308</t>
        </is>
      </c>
      <c r="B333" t="inlineStr">
        <is>
          <t>REL_26C</t>
        </is>
      </c>
      <c r="C333" t="inlineStr">
        <is>
          <t>Redwood Experience: Move and Continue Action When Moving a Job Application</t>
        </is>
      </c>
      <c r="D333" t="inlineStr">
        <is>
          <t>Redwood Experience: Move and Continue Action When Moving a Job Application. Module: Recruiting. Release: 26C. When the Move and Continue action is enabled on the job applications list or job application details page, you can move a job application multiple times consecutively.
For example, on the job applications list, select a job application then select the **Move Application** action. On the M</t>
        </is>
      </c>
      <c r="E333" t="inlineStr">
        <is>
          <t>Recruiting</t>
        </is>
      </c>
      <c r="F333" t="inlineStr">
        <is>
          <t>Functional</t>
        </is>
      </c>
      <c r="G333" t="inlineStr">
        <is>
          <t>Functional</t>
        </is>
      </c>
      <c r="H333" t="inlineStr"/>
      <c r="I333" t="inlineStr"/>
      <c r="J333" t="inlineStr">
        <is>
          <t>Recruiting</t>
        </is>
      </c>
      <c r="K333" t="inlineStr">
        <is>
          <t>N</t>
        </is>
      </c>
      <c r="L333" t="inlineStr">
        <is>
          <t>Y</t>
        </is>
      </c>
      <c r="M333" t="inlineStr">
        <is>
          <t>N</t>
        </is>
      </c>
      <c r="N333" t="inlineStr">
        <is>
          <t>Action type: Steps to Enable. You can display the Move and Continue action on the job applications list and job application details page. In Visual Builder Studio, go to Hiring &gt; Jo</t>
        </is>
      </c>
      <c r="O333" t="inlineStr">
        <is>
          <t>Medium</t>
        </is>
      </c>
      <c r="P333" t="inlineStr">
        <is>
          <t>2025-06-20</t>
        </is>
      </c>
      <c r="Q333" t="inlineStr">
        <is>
          <t>Oracle Fusion 26C Readiness — Recruiting</t>
        </is>
      </c>
      <c r="R333" t="inlineStr"/>
    </row>
    <row r="334">
      <c r="A334" t="inlineStr">
        <is>
          <t>CHG_IMP_0309</t>
        </is>
      </c>
      <c r="B334" t="inlineStr">
        <is>
          <t>REL_26C</t>
        </is>
      </c>
      <c r="C334" t="inlineStr">
        <is>
          <t>Redwood Experience: My Feedback Tab in Interviews Area</t>
        </is>
      </c>
      <c r="D334" t="inlineStr">
        <is>
          <t>Redwood Experience: My Feedback Tab in Interviews Area. Module: Recruiting. Release: 26C. Use the new My Feedback tab in the Interviews area to view your assigned feedback requests and quickly access the Provide Feedback action to complete them.
*Me &gt; Interviews &gt; My Feedback tab*
The My Feedback tab lists feedback requests for which you’re a respondent. Only requests from the past thr</t>
        </is>
      </c>
      <c r="E334" t="inlineStr">
        <is>
          <t>Recruiting</t>
        </is>
      </c>
      <c r="F334" t="inlineStr">
        <is>
          <t>Functional</t>
        </is>
      </c>
      <c r="G334" t="inlineStr">
        <is>
          <t>Functional</t>
        </is>
      </c>
      <c r="H334" t="inlineStr"/>
      <c r="I334" t="inlineStr"/>
      <c r="J334" t="inlineStr">
        <is>
          <t>Recruiting</t>
        </is>
      </c>
      <c r="K334" t="inlineStr">
        <is>
          <t>N</t>
        </is>
      </c>
      <c r="L334" t="inlineStr">
        <is>
          <t>Y</t>
        </is>
      </c>
      <c r="M334" t="inlineStr">
        <is>
          <t>N</t>
        </is>
      </c>
      <c r="N334" t="inlineStr">
        <is>
          <t xml:space="preserve">Action type: Steps to Enable. To use the Interviews feature, you need to opt in to Recruiting Booster. For details, see Opt in to Recruiting Booster. To use Redwood experience, you need to enable the </t>
        </is>
      </c>
      <c r="O334" t="inlineStr">
        <is>
          <t>Medium</t>
        </is>
      </c>
      <c r="P334" t="inlineStr">
        <is>
          <t>2025-06-20</t>
        </is>
      </c>
      <c r="Q334" t="inlineStr">
        <is>
          <t>Oracle Fusion 26C Readiness — Recruiting</t>
        </is>
      </c>
      <c r="R334" t="inlineStr"/>
    </row>
    <row r="335">
      <c r="A335" t="inlineStr">
        <is>
          <t>CHG_IMP_0310</t>
        </is>
      </c>
      <c r="B335" t="inlineStr">
        <is>
          <t>REL_26C</t>
        </is>
      </c>
      <c r="C335" t="inlineStr">
        <is>
          <t>Redwood Experience: New Notification for Unsolicited Feedback</t>
        </is>
      </c>
      <c r="D335" t="inlineStr">
        <is>
          <t>Redwood Experience: New Notification for Unsolicited Feedback. Module: Recruiting. Release: 26C. A new notification is available in Alerts Composer to inform the recruiter that unsolicited feedback was provided:
• Unsolicited Feedback Completed (IRC_Feedbk_Completed_Unsolicited)
**Business benefit:** Gives more flexibility to route these notifications to the most appropriate recipients instea</t>
        </is>
      </c>
      <c r="E335" t="inlineStr">
        <is>
          <t>Recruiting</t>
        </is>
      </c>
      <c r="F335" t="inlineStr">
        <is>
          <t>Functional</t>
        </is>
      </c>
      <c r="G335" t="inlineStr">
        <is>
          <t>Functional</t>
        </is>
      </c>
      <c r="H335" t="inlineStr"/>
      <c r="I335" t="inlineStr"/>
      <c r="J335" t="inlineStr">
        <is>
          <t>Recruiting</t>
        </is>
      </c>
      <c r="K335" t="inlineStr">
        <is>
          <t>N</t>
        </is>
      </c>
      <c r="L335" t="inlineStr">
        <is>
          <t>Y</t>
        </is>
      </c>
      <c r="M335" t="inlineStr">
        <is>
          <t>N</t>
        </is>
      </c>
      <c r="N335" t="inlineStr">
        <is>
          <t>Action type: Steps to Enable. The tokens available to be used as recipients for the new unsolicited feedback notification (IRC_Feedbk_Completed_Unsolicited) are: • RequisitionRecruiterUserName (</t>
        </is>
      </c>
      <c r="O335" t="inlineStr">
        <is>
          <t>Medium</t>
        </is>
      </c>
      <c r="P335" t="inlineStr">
        <is>
          <t>2025-06-20</t>
        </is>
      </c>
      <c r="Q335" t="inlineStr">
        <is>
          <t>Oracle Fusion 26C Readiness — Recruiting</t>
        </is>
      </c>
      <c r="R335" t="inlineStr"/>
    </row>
    <row r="336">
      <c r="A336" t="inlineStr">
        <is>
          <t>CHG_IMP_0311</t>
        </is>
      </c>
      <c r="B336" t="inlineStr">
        <is>
          <t>REL_26C</t>
        </is>
      </c>
      <c r="C336" t="inlineStr">
        <is>
          <t>Redwood Experience: Pipeline Requisitions Enhancements</t>
        </is>
      </c>
      <c r="D336" t="inlineStr">
        <is>
          <t>Redwood Experience: Pipeline Requisitions Enhancements. Module: Recruiting. Release: 26C. Take advantage of the following enhancements.
**Link a standard requisition to a pipeline requisition**
You can link a standard requisition that has job applications or prospects to a pipeline requisition when the following conditions are met:
• Both the standard and pipeline requisitions have th</t>
        </is>
      </c>
      <c r="E336" t="inlineStr">
        <is>
          <t>Recruiting</t>
        </is>
      </c>
      <c r="F336" t="inlineStr">
        <is>
          <t>Functional</t>
        </is>
      </c>
      <c r="G336" t="inlineStr">
        <is>
          <t>Functional</t>
        </is>
      </c>
      <c r="H336" t="inlineStr"/>
      <c r="I336" t="inlineStr"/>
      <c r="J336" t="inlineStr">
        <is>
          <t>Recruiting</t>
        </is>
      </c>
      <c r="K336" t="inlineStr">
        <is>
          <t>N</t>
        </is>
      </c>
      <c r="L336" t="inlineStr">
        <is>
          <t>Y</t>
        </is>
      </c>
      <c r="M336" t="inlineStr">
        <is>
          <t>N</t>
        </is>
      </c>
      <c r="N336" t="inlineStr">
        <is>
          <t>Action type: Steps to Enable. To use Redwood experience, you need to enable the Recruiting Redwood pages profile options. For details, see Set profile options for Redwood pages. For details on enablin</t>
        </is>
      </c>
      <c r="O336" t="inlineStr">
        <is>
          <t>Medium</t>
        </is>
      </c>
      <c r="P336" t="inlineStr">
        <is>
          <t>2025-06-20</t>
        </is>
      </c>
      <c r="Q336" t="inlineStr">
        <is>
          <t>Oracle Fusion 26C Readiness — Recruiting</t>
        </is>
      </c>
      <c r="R336" t="inlineStr"/>
    </row>
    <row r="337">
      <c r="A337" t="inlineStr">
        <is>
          <t>CHG_IMP_0312</t>
        </is>
      </c>
      <c r="B337" t="inlineStr">
        <is>
          <t>REL_26C</t>
        </is>
      </c>
      <c r="C337" t="inlineStr">
        <is>
          <t>Redwood Experience: View Pipeline Questions on Linked Job Applications</t>
        </is>
      </c>
      <c r="D337" t="inlineStr">
        <is>
          <t xml:space="preserve">Redwood Experience: View Pipeline Questions on Linked Job Applications. Module: Recruiting. Release: 26C. When you access a job application that was added to a linked requisition, you can now see the pipeline questions answered by the candidate. The questionnaire in the Screening tab appears first in the list of questionnaires and you can expand the view to see the questions and their responses.
</t>
        </is>
      </c>
      <c r="E337" t="inlineStr">
        <is>
          <t>Recruiting</t>
        </is>
      </c>
      <c r="F337" t="inlineStr">
        <is>
          <t>Functional</t>
        </is>
      </c>
      <c r="G337" t="inlineStr">
        <is>
          <t>Functional</t>
        </is>
      </c>
      <c r="H337" t="inlineStr"/>
      <c r="I337" t="inlineStr"/>
      <c r="J337" t="inlineStr">
        <is>
          <t>Recruiting</t>
        </is>
      </c>
      <c r="K337" t="inlineStr">
        <is>
          <t>N</t>
        </is>
      </c>
      <c r="L337" t="inlineStr">
        <is>
          <t>Y</t>
        </is>
      </c>
      <c r="M337" t="inlineStr">
        <is>
          <t>N</t>
        </is>
      </c>
      <c r="N337" t="inlineStr">
        <is>
          <t>Action type: Steps to Enable. To use Redwood experience, you need to enable the Recruiting Redwood pages profile options. For details, see Set profile options for Redwood pages. For det</t>
        </is>
      </c>
      <c r="O337" t="inlineStr">
        <is>
          <t>Medium</t>
        </is>
      </c>
      <c r="P337" t="inlineStr">
        <is>
          <t>2025-06-20</t>
        </is>
      </c>
      <c r="Q337" t="inlineStr">
        <is>
          <t>Oracle Fusion 26C Readiness — Recruiting</t>
        </is>
      </c>
      <c r="R337" t="inlineStr"/>
    </row>
    <row r="338">
      <c r="A338" t="inlineStr">
        <is>
          <t>CHG_IMP_0313</t>
        </is>
      </c>
      <c r="B338" t="inlineStr">
        <is>
          <t>REL_26C</t>
        </is>
      </c>
      <c r="C338" t="inlineStr">
        <is>
          <t>Send Email Alerts for Communication Failures</t>
        </is>
      </c>
      <c r="D338" t="inlineStr">
        <is>
          <t>Send Email Alerts for Communication Failures. Module: Recruiting. Release: 26C. Send notifications to administrators when connection errors occur in incoming or outgoing SMS, WhatsApp, and email messages. Connectivity issues could occur if the messaging provider configuration is incorrect, the client certificate has expired, or there’s a connection failure due to network or oth</t>
        </is>
      </c>
      <c r="E338" t="inlineStr">
        <is>
          <t>Recruiting</t>
        </is>
      </c>
      <c r="F338" t="inlineStr">
        <is>
          <t>Functional</t>
        </is>
      </c>
      <c r="G338" t="inlineStr">
        <is>
          <t>Functional</t>
        </is>
      </c>
      <c r="H338" t="inlineStr"/>
      <c r="I338" t="inlineStr"/>
      <c r="J338" t="inlineStr">
        <is>
          <t>Recruiting</t>
        </is>
      </c>
      <c r="K338" t="inlineStr">
        <is>
          <t>N</t>
        </is>
      </c>
      <c r="L338" t="inlineStr">
        <is>
          <t>Y</t>
        </is>
      </c>
      <c r="M338" t="inlineStr">
        <is>
          <t>N</t>
        </is>
      </c>
      <c r="N338" t="inlineStr">
        <is>
          <t>Action type: Steps to Enable. To send notifications, you can use the same email address that’s used to notify administrators for SMS and WhatsApp threshold limits using the Recruiting Messaging Config</t>
        </is>
      </c>
      <c r="O338" t="inlineStr">
        <is>
          <t>Medium</t>
        </is>
      </c>
      <c r="P338" t="inlineStr">
        <is>
          <t>2025-06-20</t>
        </is>
      </c>
      <c r="Q338" t="inlineStr">
        <is>
          <t>Oracle Fusion 26C Readiness — Recruiting</t>
        </is>
      </c>
      <c r="R338" t="inlineStr"/>
    </row>
    <row r="339">
      <c r="A339" t="inlineStr">
        <is>
          <t>CHG_IMP_0314</t>
        </is>
      </c>
      <c r="B339" t="inlineStr">
        <is>
          <t>REL_26C</t>
        </is>
      </c>
      <c r="C339" t="inlineStr">
        <is>
          <t>Smart Search Enhancements</t>
        </is>
      </c>
      <c r="D339" t="inlineStr">
        <is>
          <t>Smart Search Enhancements. Module: Recruiting. Release: 26C. Candidates can now find jobs based on proximity to any location, including their current browser location, improving search relevance for location-sensitive job seekers.
**Note:**For now, classic search remains enabled by default. In 27B, classic search will be decommissioned and Smart Search will</t>
        </is>
      </c>
      <c r="E339" t="inlineStr">
        <is>
          <t>Recruiting</t>
        </is>
      </c>
      <c r="F339" t="inlineStr">
        <is>
          <t>Functional</t>
        </is>
      </c>
      <c r="G339" t="inlineStr">
        <is>
          <t>Functional</t>
        </is>
      </c>
      <c r="H339" t="inlineStr"/>
      <c r="I339" t="inlineStr"/>
      <c r="J339" t="inlineStr">
        <is>
          <t>Recruiting</t>
        </is>
      </c>
      <c r="K339" t="inlineStr">
        <is>
          <t>N</t>
        </is>
      </c>
      <c r="L339" t="inlineStr">
        <is>
          <t>Y</t>
        </is>
      </c>
      <c r="M339" t="inlineStr">
        <is>
          <t>N</t>
        </is>
      </c>
      <c r="N339" t="inlineStr">
        <is>
          <t>Action type: Steps to Enable. You need to enable Smart Search. For details, see How do I enable smart search for candidate experience? You also need to configure the location settings for the career s</t>
        </is>
      </c>
      <c r="O339" t="inlineStr">
        <is>
          <t>Medium</t>
        </is>
      </c>
      <c r="P339" t="inlineStr">
        <is>
          <t>2025-06-20</t>
        </is>
      </c>
      <c r="Q339" t="inlineStr">
        <is>
          <t>Oracle Fusion 26C Readiness — Recruiting</t>
        </is>
      </c>
      <c r="R339" t="inlineStr"/>
    </row>
    <row r="340">
      <c r="A340" t="inlineStr">
        <is>
          <t>CHG_IMP_0315</t>
        </is>
      </c>
      <c r="B340" t="inlineStr">
        <is>
          <t>REL_26C</t>
        </is>
      </c>
      <c r="C340" t="inlineStr">
        <is>
          <t>Sourcing Activity Center: Requisition Activities in Sourcing Activity Center</t>
        </is>
      </c>
      <c r="D340" t="inlineStr">
        <is>
          <t>Sourcing Activity Center: Requisition Activities in Sourcing Activity Center. Module: Recruiting. Release: 26C. Requisitions is now available as an activity item type in the Sourcing Activity Center. Also available are Recruiter and Hiring Manager columns and Requisition and Hiring Manager filters.
The Recruiting activities available are the same as are found in the Recruiting Activity Center. Th</t>
        </is>
      </c>
      <c r="E340" t="inlineStr">
        <is>
          <t>Recruiting</t>
        </is>
      </c>
      <c r="F340" t="inlineStr">
        <is>
          <t>Functional</t>
        </is>
      </c>
      <c r="G340" t="inlineStr">
        <is>
          <t>Functional</t>
        </is>
      </c>
      <c r="H340" t="inlineStr"/>
      <c r="I340" t="inlineStr"/>
      <c r="J340" t="inlineStr">
        <is>
          <t>Recruiting</t>
        </is>
      </c>
      <c r="K340" t="inlineStr">
        <is>
          <t>N</t>
        </is>
      </c>
      <c r="L340" t="inlineStr">
        <is>
          <t>Y</t>
        </is>
      </c>
      <c r="M340" t="inlineStr">
        <is>
          <t>N</t>
        </is>
      </c>
      <c r="N340" t="inlineStr">
        <is>
          <t>Action type: Steps to Enable. The Candidate Sourcing tile appears when these profile options are enabled: • ORA_IRC_RECRUITING_REDWOOD_ENABLED • ORA_IRC_ENABLE_RAC For details, se</t>
        </is>
      </c>
      <c r="O340" t="inlineStr">
        <is>
          <t>Medium</t>
        </is>
      </c>
      <c r="P340" t="inlineStr">
        <is>
          <t>2025-06-20</t>
        </is>
      </c>
      <c r="Q340" t="inlineStr">
        <is>
          <t>Oracle Fusion 26C Readiness — Recruiting</t>
        </is>
      </c>
      <c r="R340" t="inlineStr"/>
    </row>
    <row r="341">
      <c r="A341" t="inlineStr">
        <is>
          <t>CHG_IMP_0316</t>
        </is>
      </c>
      <c r="B341" t="inlineStr">
        <is>
          <t>REL_26C</t>
        </is>
      </c>
      <c r="C341" t="inlineStr">
        <is>
          <t>Workflow Agent to Power AI Assist in External Candidate Experience</t>
        </is>
      </c>
      <c r="D341" t="inlineStr">
        <is>
          <t>Workflow Agent to Power AI Assist in External Candidate Experience. Module: Recruiting. Release: 26C. Use a workflow agent to power AI Assist features in career site pages. AI worker agents are designed to be reusable and channel agnostic for broader extensibility. This replaces deprecated Prompt Lab prompts while preserving the same content-generation and regeneration experience for supported fie</t>
        </is>
      </c>
      <c r="E341" t="inlineStr">
        <is>
          <t>Recruiting</t>
        </is>
      </c>
      <c r="F341" t="inlineStr">
        <is>
          <t>Functional</t>
        </is>
      </c>
      <c r="G341" t="inlineStr">
        <is>
          <t>Functional</t>
        </is>
      </c>
      <c r="H341" t="inlineStr"/>
      <c r="I341" t="inlineStr"/>
      <c r="J341" t="inlineStr">
        <is>
          <t>Recruiting</t>
        </is>
      </c>
      <c r="K341" t="inlineStr">
        <is>
          <t>N</t>
        </is>
      </c>
      <c r="L341" t="inlineStr">
        <is>
          <t>Y</t>
        </is>
      </c>
      <c r="M341" t="inlineStr">
        <is>
          <t>N</t>
        </is>
      </c>
      <c r="N341" t="inlineStr">
        <is>
          <t>Action type: Steps to Enable. There's no setup for this feature. For additional details, see Deprecation of AI Configurator and Transition to AI Agent Studio</t>
        </is>
      </c>
      <c r="O341" t="inlineStr">
        <is>
          <t>Medium</t>
        </is>
      </c>
      <c r="P341" t="inlineStr">
        <is>
          <t>2025-06-20</t>
        </is>
      </c>
      <c r="Q341" t="inlineStr">
        <is>
          <t>Oracle Fusion 26C Readiness — Recruiting</t>
        </is>
      </c>
      <c r="R341" t="inlineStr"/>
    </row>
    <row r="342">
      <c r="A342" t="inlineStr">
        <is>
          <t>CHG_IMP_0317</t>
        </is>
      </c>
      <c r="B342" t="inlineStr">
        <is>
          <t>REL_26C</t>
        </is>
      </c>
      <c r="C342" t="inlineStr">
        <is>
          <t>AI Agent: Intelligent Talent Profile Search</t>
        </is>
      </c>
      <c r="D342" t="inlineStr">
        <is>
          <t>AI Agent: Intelligent Talent Profile Search. Module: Talent Management. Release: 26C. Delivers Intelligent Talent Profile Search , which is a chat-based talent-finding agent for HR administrators, which uses a vectorized database to perform semantic matching. Users can use chat interface and ask questions about people, and the agent returns people that match the criteria. The people</t>
        </is>
      </c>
      <c r="E342" t="inlineStr">
        <is>
          <t>Talent Management</t>
        </is>
      </c>
      <c r="F342" t="inlineStr">
        <is>
          <t>AI Feature</t>
        </is>
      </c>
      <c r="G342" t="inlineStr">
        <is>
          <t>AI Feature</t>
        </is>
      </c>
      <c r="H342" t="inlineStr"/>
      <c r="I342" t="inlineStr"/>
      <c r="J342" t="inlineStr">
        <is>
          <t>Talent Management</t>
        </is>
      </c>
      <c r="K342" t="inlineStr">
        <is>
          <t>N</t>
        </is>
      </c>
      <c r="L342" t="inlineStr">
        <is>
          <t>Y</t>
        </is>
      </c>
      <c r="M342" t="inlineStr">
        <is>
          <t>N</t>
        </is>
      </c>
      <c r="N342" t="inlineStr">
        <is>
          <t>Action type: Steps to Enable. Enable Intelligent Talent Profile Search for person profile. For details, see How can I enable Intelligent Talent Profile Search for Talent Profile or Team Skills Center?</t>
        </is>
      </c>
      <c r="O342" t="inlineStr">
        <is>
          <t>Low</t>
        </is>
      </c>
      <c r="P342" t="inlineStr">
        <is>
          <t>2025-06-20</t>
        </is>
      </c>
      <c r="Q342" t="inlineStr">
        <is>
          <t>Oracle Fusion 26C Readiness — Talent Management</t>
        </is>
      </c>
      <c r="R342" t="inlineStr"/>
    </row>
    <row r="343">
      <c r="A343" t="inlineStr">
        <is>
          <t>CHG_IMP_0318</t>
        </is>
      </c>
      <c r="B343" t="inlineStr">
        <is>
          <t>REL_26C</t>
        </is>
      </c>
      <c r="C343" t="inlineStr">
        <is>
          <t>AI Agentic App: Team Talent Calibration and Review Workspace</t>
        </is>
      </c>
      <c r="D343" t="inlineStr">
        <is>
          <t>AI Agentic App: Team Talent Calibration and Review Workspace. Module: Talent Management. Release: 26C. The **Talent Calibration and Review Workspace** is your AI Agent-powered workspace to help managers align employee ratings with organizational targets, improving fairness, consistency, and confidence before Talent Review meetings begin.
With **Talent Calibration and Review Workspace,** you can l</t>
        </is>
      </c>
      <c r="E343" t="inlineStr">
        <is>
          <t>Talent Management</t>
        </is>
      </c>
      <c r="F343" t="inlineStr">
        <is>
          <t>AI Feature</t>
        </is>
      </c>
      <c r="G343" t="inlineStr">
        <is>
          <t>AI Feature</t>
        </is>
      </c>
      <c r="H343" t="inlineStr"/>
      <c r="I343" t="inlineStr"/>
      <c r="J343" t="inlineStr">
        <is>
          <t>Talent Management</t>
        </is>
      </c>
      <c r="K343" t="inlineStr">
        <is>
          <t>N</t>
        </is>
      </c>
      <c r="L343" t="inlineStr">
        <is>
          <t>Y</t>
        </is>
      </c>
      <c r="M343" t="inlineStr">
        <is>
          <t>N</t>
        </is>
      </c>
      <c r="N343" t="inlineStr">
        <is>
          <t>Action type: Steps to Enable. • Your environment must have certain necessary configurations. Ask your help desk to contact Oracle Support, who can verify what your environment has and addr</t>
        </is>
      </c>
      <c r="O343" t="inlineStr">
        <is>
          <t>Low</t>
        </is>
      </c>
      <c r="P343" t="inlineStr">
        <is>
          <t>2025-06-20</t>
        </is>
      </c>
      <c r="Q343" t="inlineStr">
        <is>
          <t>Oracle Fusion 26C Readiness — Talent Management</t>
        </is>
      </c>
      <c r="R343" t="inlineStr"/>
    </row>
    <row r="344">
      <c r="A344" t="inlineStr">
        <is>
          <t>CHG_IMP_0319</t>
        </is>
      </c>
      <c r="B344" t="inlineStr">
        <is>
          <t>REL_26C</t>
        </is>
      </c>
      <c r="C344" t="inlineStr">
        <is>
          <t>AI-Assisted Authoring and Skill Guidance for Profiles and Skills</t>
        </is>
      </c>
      <c r="D344" t="inlineStr">
        <is>
          <t>AI-Assisted Authoring and Skill Guidance for Profiles and Skills. Module: Talent Management. Release: 26C. Existing AI-assisted summary and description generation, as well as ESS jobs that require summarization services across profiles and skills, now use workflow automation agents. These agents support skill descriptions, capability guide descriptions, job profile and position profile authoring a</t>
        </is>
      </c>
      <c r="E344" t="inlineStr">
        <is>
          <t>Talent Management</t>
        </is>
      </c>
      <c r="F344" t="inlineStr">
        <is>
          <t>Functional</t>
        </is>
      </c>
      <c r="G344" t="inlineStr">
        <is>
          <t>Functional</t>
        </is>
      </c>
      <c r="H344" t="inlineStr"/>
      <c r="I344" t="inlineStr"/>
      <c r="J344" t="inlineStr">
        <is>
          <t>Talent Management</t>
        </is>
      </c>
      <c r="K344" t="inlineStr">
        <is>
          <t>N</t>
        </is>
      </c>
      <c r="L344" t="inlineStr">
        <is>
          <t>N</t>
        </is>
      </c>
      <c r="M344" t="inlineStr">
        <is>
          <t>N</t>
        </is>
      </c>
      <c r="N344" t="inlineStr">
        <is>
          <t>Auto-enabled — no action required</t>
        </is>
      </c>
      <c r="O344" t="inlineStr">
        <is>
          <t>Low</t>
        </is>
      </c>
      <c r="P344" t="inlineStr">
        <is>
          <t>2025-06-20</t>
        </is>
      </c>
      <c r="Q344" t="inlineStr">
        <is>
          <t>Oracle Fusion 26C Readiness — Talent Management</t>
        </is>
      </c>
      <c r="R344" t="inlineStr"/>
    </row>
    <row r="345">
      <c r="A345" t="inlineStr">
        <is>
          <t>CHG_IMP_0320</t>
        </is>
      </c>
      <c r="B345" t="inlineStr">
        <is>
          <t>REL_26C</t>
        </is>
      </c>
      <c r="C345" t="inlineStr">
        <is>
          <t>Additional Attributes Inclusion in Fast Formula</t>
        </is>
      </c>
      <c r="D345" t="inlineStr">
        <is>
          <t>Additional Attributes Inclusion in Fast Formula. Module: Talent Management. Release: 26C. From this release you can include the goal plan ID and the descriptive flexfields (DFFs) of a goal plan in fast formulas such as fast formulas used to calculate the eligibility for goal assignment. You create fast formulas using the **Manage Fast Formulas** task in the Setup and Maintenance work are</t>
        </is>
      </c>
      <c r="E345" t="inlineStr">
        <is>
          <t>Talent Management</t>
        </is>
      </c>
      <c r="F345" t="inlineStr">
        <is>
          <t>Functional</t>
        </is>
      </c>
      <c r="G345" t="inlineStr">
        <is>
          <t>Functional</t>
        </is>
      </c>
      <c r="H345" t="inlineStr"/>
      <c r="I345" t="inlineStr"/>
      <c r="J345" t="inlineStr">
        <is>
          <t>Talent Management</t>
        </is>
      </c>
      <c r="K345" t="inlineStr">
        <is>
          <t>N</t>
        </is>
      </c>
      <c r="L345" t="inlineStr">
        <is>
          <t>N</t>
        </is>
      </c>
      <c r="M345" t="inlineStr">
        <is>
          <t>N</t>
        </is>
      </c>
      <c r="N345" t="inlineStr">
        <is>
          <t>Auto-enabled — no action required</t>
        </is>
      </c>
      <c r="O345" t="inlineStr">
        <is>
          <t>Low</t>
        </is>
      </c>
      <c r="P345" t="inlineStr">
        <is>
          <t>2025-06-20</t>
        </is>
      </c>
      <c r="Q345" t="inlineStr">
        <is>
          <t>Oracle Fusion 26C Readiness — Talent Management</t>
        </is>
      </c>
      <c r="R345" t="inlineStr"/>
    </row>
    <row r="346">
      <c r="A346" t="inlineStr">
        <is>
          <t>CHG_IMP_0321</t>
        </is>
      </c>
      <c r="B346" t="inlineStr">
        <is>
          <t>REL_26C</t>
        </is>
      </c>
      <c r="C346" t="inlineStr">
        <is>
          <t>Conversion of Feedback Generative AI Assist Prompts to Workflow Agents</t>
        </is>
      </c>
      <c r="D346" t="inlineStr">
        <is>
          <t>Conversion of Feedback Generative AI Assist Prompts to Workflow Agents. Module: Talent Management. Release: 26C. Leverage these Feedback workflow agents in AI Agent Studio for AI Assist generated feedback. These agents replace the earlier Generative AI prompts used for creating feedback and the feedback summary.
• **Agent Teams**
• **Feedback Center Feedback Summary Generator** - Generates a comb</t>
        </is>
      </c>
      <c r="E346" t="inlineStr">
        <is>
          <t>Talent Management</t>
        </is>
      </c>
      <c r="F346" t="inlineStr">
        <is>
          <t>AI Feature</t>
        </is>
      </c>
      <c r="G346" t="inlineStr">
        <is>
          <t>AI Feature</t>
        </is>
      </c>
      <c r="H346" t="inlineStr"/>
      <c r="I346" t="inlineStr"/>
      <c r="J346" t="inlineStr">
        <is>
          <t>Talent Management</t>
        </is>
      </c>
      <c r="K346" t="inlineStr">
        <is>
          <t>N</t>
        </is>
      </c>
      <c r="L346" t="inlineStr">
        <is>
          <t>Y</t>
        </is>
      </c>
      <c r="M346" t="inlineStr">
        <is>
          <t>N</t>
        </is>
      </c>
      <c r="N346" t="inlineStr">
        <is>
          <t xml:space="preserve">Action type: Steps to Enable. Your environment must have certain necessary configurations. Ask your help desk to contact Oracle Support, who can verify what your environment has </t>
        </is>
      </c>
      <c r="O346" t="inlineStr">
        <is>
          <t>Low</t>
        </is>
      </c>
      <c r="P346" t="inlineStr">
        <is>
          <t>2025-06-20</t>
        </is>
      </c>
      <c r="Q346" t="inlineStr">
        <is>
          <t>Oracle Fusion 26C Readiness — Talent Management</t>
        </is>
      </c>
      <c r="R346" t="inlineStr"/>
    </row>
    <row r="347">
      <c r="A347" t="inlineStr">
        <is>
          <t>CHG_IMP_0322</t>
        </is>
      </c>
      <c r="B347" t="inlineStr">
        <is>
          <t>REL_26C</t>
        </is>
      </c>
      <c r="C347" t="inlineStr">
        <is>
          <t>Conversion of Generative AI Prompts and Supervisor Agents to Goal Management Workflow Agents</t>
        </is>
      </c>
      <c r="D347" t="inlineStr">
        <is>
          <t>Conversion of Generative AI Prompts and Supervisor Agents to Goal Management Workflow Agents. Module: Talent Management. Release: 26C. Leverage these Goal Management workflow agents that are available on the **Agent Teams** tab of AI Agent Studio instead of the Generative AI prompts that were available in earlier releases:
• **Goal Creation  Assistant**: Creates a goal based on the goal name, the</t>
        </is>
      </c>
      <c r="E347" t="inlineStr">
        <is>
          <t>Talent Management</t>
        </is>
      </c>
      <c r="F347" t="inlineStr">
        <is>
          <t>AI Feature</t>
        </is>
      </c>
      <c r="G347" t="inlineStr">
        <is>
          <t>AI Feature</t>
        </is>
      </c>
      <c r="H347" t="inlineStr"/>
      <c r="I347" t="inlineStr"/>
      <c r="J347" t="inlineStr">
        <is>
          <t>Talent Management</t>
        </is>
      </c>
      <c r="K347" t="inlineStr">
        <is>
          <t>N</t>
        </is>
      </c>
      <c r="L347" t="inlineStr">
        <is>
          <t>Y</t>
        </is>
      </c>
      <c r="M347" t="inlineStr">
        <is>
          <t>N</t>
        </is>
      </c>
      <c r="N347" t="inlineStr">
        <is>
          <t>Action type: Steps to Enable. Your environment must have certain necessary configurations. Ask your help desk to contact Oracle Support, who can verify what</t>
        </is>
      </c>
      <c r="O347" t="inlineStr">
        <is>
          <t>Low</t>
        </is>
      </c>
      <c r="P347" t="inlineStr">
        <is>
          <t>2025-06-20</t>
        </is>
      </c>
      <c r="Q347" t="inlineStr">
        <is>
          <t>Oracle Fusion 26C Readiness — Talent Management</t>
        </is>
      </c>
      <c r="R347" t="inlineStr"/>
    </row>
    <row r="348">
      <c r="A348" t="inlineStr">
        <is>
          <t>CHG_IMP_0323</t>
        </is>
      </c>
      <c r="B348" t="inlineStr">
        <is>
          <t>REL_26C</t>
        </is>
      </c>
      <c r="C348" t="inlineStr">
        <is>
          <t>Conversion of Performance Document Evaluation Generative AI Assist Prompts to Workflow Agents</t>
        </is>
      </c>
      <c r="D348" t="inlineStr">
        <is>
          <t>Conversion of Performance Document Evaluation Generative AI Assist Prompts to Workflow Agents. Module: Talent Management. Release: 26C. Leverage these Performance Management workflow agents in AI Agent Studio for AI Assist generated evaluation content in performance documents and All-in-One Evaluations. These agents replace the earlier Generative AI prompts used for creating the performance docume</t>
        </is>
      </c>
      <c r="E348" t="inlineStr">
        <is>
          <t>Talent Management</t>
        </is>
      </c>
      <c r="F348" t="inlineStr">
        <is>
          <t>AI Feature</t>
        </is>
      </c>
      <c r="G348" t="inlineStr">
        <is>
          <t>AI Feature</t>
        </is>
      </c>
      <c r="H348" t="inlineStr"/>
      <c r="I348" t="inlineStr"/>
      <c r="J348" t="inlineStr">
        <is>
          <t>Talent Management</t>
        </is>
      </c>
      <c r="K348" t="inlineStr">
        <is>
          <t>N</t>
        </is>
      </c>
      <c r="L348" t="inlineStr">
        <is>
          <t>Y</t>
        </is>
      </c>
      <c r="M348" t="inlineStr">
        <is>
          <t>N</t>
        </is>
      </c>
      <c r="N348" t="inlineStr">
        <is>
          <t>Action type: Steps to Enable. **Note**: The switch to the new agents is automatic and can't be skipped. Your environment must have certain necessary config</t>
        </is>
      </c>
      <c r="O348" t="inlineStr">
        <is>
          <t>Low</t>
        </is>
      </c>
      <c r="P348" t="inlineStr">
        <is>
          <t>2025-06-20</t>
        </is>
      </c>
      <c r="Q348" t="inlineStr">
        <is>
          <t>Oracle Fusion 26C Readiness — Talent Management</t>
        </is>
      </c>
      <c r="R348" t="inlineStr"/>
    </row>
    <row r="349">
      <c r="A349" t="inlineStr">
        <is>
          <t>CHG_IMP_0324</t>
        </is>
      </c>
      <c r="B349" t="inlineStr">
        <is>
          <t>REL_26C</t>
        </is>
      </c>
      <c r="C349" t="inlineStr">
        <is>
          <t>Enhancements in All-in-One Evaluations</t>
        </is>
      </c>
      <c r="D349" t="inlineStr">
        <is>
          <t>Enhancements in All-in-One Evaluations. Module: Talent Management. Release: 26C. You can improve the evaluation experience of managers using All-in-One Evaluations with these enhancements:
• Managers can now see an indicator in editable manager rating cells. The indicator shows when a value can be selected in a rating cell for proficiency, performance, competency, or a section</t>
        </is>
      </c>
      <c r="E349" t="inlineStr">
        <is>
          <t>Talent Management</t>
        </is>
      </c>
      <c r="F349" t="inlineStr">
        <is>
          <t>Functional</t>
        </is>
      </c>
      <c r="G349" t="inlineStr">
        <is>
          <t>Functional</t>
        </is>
      </c>
      <c r="H349" t="inlineStr"/>
      <c r="I349" t="inlineStr"/>
      <c r="J349" t="inlineStr">
        <is>
          <t>Talent Management</t>
        </is>
      </c>
      <c r="K349" t="inlineStr">
        <is>
          <t>N</t>
        </is>
      </c>
      <c r="L349" t="inlineStr">
        <is>
          <t>Y</t>
        </is>
      </c>
      <c r="M349" t="inlineStr">
        <is>
          <t>N</t>
        </is>
      </c>
      <c r="N349" t="inlineStr">
        <is>
          <t xml:space="preserve">Action type: Steps to Enable. To hide worker calculated ratings using page properties: 1. Open VB Studio Express Mode on the All-in-One Evaluations page. 2. In Page Properties, go to the **Calculated </t>
        </is>
      </c>
      <c r="O349" t="inlineStr">
        <is>
          <t>Low</t>
        </is>
      </c>
      <c r="P349" t="inlineStr">
        <is>
          <t>2025-06-20</t>
        </is>
      </c>
      <c r="Q349" t="inlineStr">
        <is>
          <t>Oracle Fusion 26C Readiness — Talent Management</t>
        </is>
      </c>
      <c r="R349" t="inlineStr"/>
    </row>
    <row r="350">
      <c r="A350" t="inlineStr">
        <is>
          <t>CHG_IMP_0325</t>
        </is>
      </c>
      <c r="B350" t="inlineStr">
        <is>
          <t>REL_26C</t>
        </is>
      </c>
      <c r="C350" t="inlineStr">
        <is>
          <t>Enhancements to Team Sync Agent</t>
        </is>
      </c>
      <c r="D350" t="inlineStr">
        <is>
          <t>Enhancements to Team Sync Agent. Module: Talent Management. Release: 26C. Team Sync Agent empowers managers to oversee their teams with greater visibility, coordination, and efficiency. The Team Sync template helps to standardize recurring manager-team status discussions while reducing confusion between Team Sync discussions and check-in discussions in Touchpoints and Per</t>
        </is>
      </c>
      <c r="E350" t="inlineStr">
        <is>
          <t>Talent Management</t>
        </is>
      </c>
      <c r="F350" t="inlineStr">
        <is>
          <t>Functional</t>
        </is>
      </c>
      <c r="G350" t="inlineStr">
        <is>
          <t>Functional</t>
        </is>
      </c>
      <c r="H350" t="inlineStr"/>
      <c r="I350" t="inlineStr"/>
      <c r="J350" t="inlineStr">
        <is>
          <t>Talent Management</t>
        </is>
      </c>
      <c r="K350" t="inlineStr">
        <is>
          <t>N</t>
        </is>
      </c>
      <c r="L350" t="inlineStr">
        <is>
          <t>Y</t>
        </is>
      </c>
      <c r="M350" t="inlineStr">
        <is>
          <t>N</t>
        </is>
      </c>
      <c r="N350" t="inlineStr">
        <is>
          <t xml:space="preserve">Action type: Steps to Enable. For details on how a manager creates Team Sync template, see: How do I create a Team Sync template? For details on how HR Specialist creates Team Sync template, see: How </t>
        </is>
      </c>
      <c r="O350" t="inlineStr">
        <is>
          <t>Low</t>
        </is>
      </c>
      <c r="P350" t="inlineStr">
        <is>
          <t>2025-06-20</t>
        </is>
      </c>
      <c r="Q350" t="inlineStr">
        <is>
          <t>Oracle Fusion 26C Readiness — Talent Management</t>
        </is>
      </c>
      <c r="R350" t="inlineStr"/>
    </row>
    <row r="351">
      <c r="A351" t="inlineStr">
        <is>
          <t>CHG_IMP_0326</t>
        </is>
      </c>
      <c r="B351" t="inlineStr">
        <is>
          <t>REL_26C</t>
        </is>
      </c>
      <c r="C351" t="inlineStr">
        <is>
          <t>New Attributes for Talent Review Meeting Date in Multiple Subject Areas</t>
        </is>
      </c>
      <c r="D351" t="inlineStr">
        <is>
          <t>New Attributes for Talent Review Meeting Date in Multiple Subject Areas. Module: Talent Management. Release: 26C. You can now capture and track precise meeting and submission timelines in Talent Review with the introduction of timestamp-based Meeting Date and Deadline Date attributes. These attributes help provide greater accuracy and visibility into talent review scheduling and submission activit</t>
        </is>
      </c>
      <c r="E351" t="inlineStr">
        <is>
          <t>Talent Management</t>
        </is>
      </c>
      <c r="F351" t="inlineStr">
        <is>
          <t>Functional</t>
        </is>
      </c>
      <c r="G351" t="inlineStr">
        <is>
          <t>Functional</t>
        </is>
      </c>
      <c r="H351" t="inlineStr"/>
      <c r="I351" t="inlineStr"/>
      <c r="J351" t="inlineStr">
        <is>
          <t>Talent Management</t>
        </is>
      </c>
      <c r="K351" t="inlineStr">
        <is>
          <t>N</t>
        </is>
      </c>
      <c r="L351" t="inlineStr">
        <is>
          <t>Y</t>
        </is>
      </c>
      <c r="M351" t="inlineStr">
        <is>
          <t>N</t>
        </is>
      </c>
      <c r="N351" t="inlineStr">
        <is>
          <t>Action type: Steps to Enable. Use the newly added attributes for your reporting requirements. Subject Area | Folder | Attribute Workforce Talent Review - Talent Review Meeting R</t>
        </is>
      </c>
      <c r="O351" t="inlineStr">
        <is>
          <t>Low</t>
        </is>
      </c>
      <c r="P351" t="inlineStr">
        <is>
          <t>2025-06-20</t>
        </is>
      </c>
      <c r="Q351" t="inlineStr">
        <is>
          <t>Oracle Fusion 26C Readiness — Talent Management</t>
        </is>
      </c>
      <c r="R351" t="inlineStr"/>
    </row>
    <row r="352">
      <c r="A352" t="inlineStr">
        <is>
          <t>CHG_IMP_0327</t>
        </is>
      </c>
      <c r="B352" t="inlineStr">
        <is>
          <t>REL_26C</t>
        </is>
      </c>
      <c r="C352" t="inlineStr">
        <is>
          <t>Redwood: Configurable Library Goal List of Values</t>
        </is>
      </c>
      <c r="D352" t="inlineStr">
        <is>
          <t>Redwood: Configurable Library Goal List of Values. Module: Talent Management. Release: 26C. As administrators, configure the attributes that display in the performance and development library goals list of values so that only the search attributes that are relevant to your organization appear when employees, managers, or HR specialists search for library goals.
 By default, these attribu</t>
        </is>
      </c>
      <c r="E352" t="inlineStr">
        <is>
          <t>Talent Management</t>
        </is>
      </c>
      <c r="F352" t="inlineStr">
        <is>
          <t>Functional</t>
        </is>
      </c>
      <c r="G352" t="inlineStr">
        <is>
          <t>Functional</t>
        </is>
      </c>
      <c r="H352" t="inlineStr"/>
      <c r="I352" t="inlineStr"/>
      <c r="J352" t="inlineStr">
        <is>
          <t>Talent Management</t>
        </is>
      </c>
      <c r="K352" t="inlineStr">
        <is>
          <t>N</t>
        </is>
      </c>
      <c r="L352" t="inlineStr">
        <is>
          <t>Y</t>
        </is>
      </c>
      <c r="M352" t="inlineStr">
        <is>
          <t>N</t>
        </is>
      </c>
      <c r="N352" t="inlineStr">
        <is>
          <t>Action type: Steps to Enable. To enable Redwood Goals Center, you need to enable the profile options indicated in the table. Profile Option Code | Profile Option Display Name | Value ORA_HCM_VBCS_PWA</t>
        </is>
      </c>
      <c r="O352" t="inlineStr">
        <is>
          <t>Low</t>
        </is>
      </c>
      <c r="P352" t="inlineStr">
        <is>
          <t>2025-06-20</t>
        </is>
      </c>
      <c r="Q352" t="inlineStr">
        <is>
          <t>Oracle Fusion 26C Readiness — Talent Management</t>
        </is>
      </c>
      <c r="R352" t="inlineStr"/>
    </row>
    <row r="353">
      <c r="A353" t="inlineStr">
        <is>
          <t>CHG_IMP_0328</t>
        </is>
      </c>
      <c r="B353" t="inlineStr">
        <is>
          <t>REL_26C</t>
        </is>
      </c>
      <c r="C353" t="inlineStr">
        <is>
          <t>Redwood: Consolidated View of Talent Review Tasks for Managers</t>
        </is>
      </c>
      <c r="D353" t="inlineStr">
        <is>
          <t>Redwood: Consolidated View of Talent Review Tasks for Managers. Module: Talent Management. Release: 26C. As managers, you can now view all tasks that are assigned to you in different Talent Review meetings on the Tasks tab of your Talent Review Meetings overview page if your administrator has enabled this feature.
Tasks Tab for Managers
The tasks are by default sorted by the name of the associat</t>
        </is>
      </c>
      <c r="E353" t="inlineStr">
        <is>
          <t>Talent Management</t>
        </is>
      </c>
      <c r="F353" t="inlineStr">
        <is>
          <t>Functional</t>
        </is>
      </c>
      <c r="G353" t="inlineStr">
        <is>
          <t>Functional</t>
        </is>
      </c>
      <c r="H353" t="inlineStr"/>
      <c r="I353" t="inlineStr"/>
      <c r="J353" t="inlineStr">
        <is>
          <t>Talent Management</t>
        </is>
      </c>
      <c r="K353" t="inlineStr">
        <is>
          <t>N</t>
        </is>
      </c>
      <c r="L353" t="inlineStr">
        <is>
          <t>Y</t>
        </is>
      </c>
      <c r="M353" t="inlineStr">
        <is>
          <t>N</t>
        </is>
      </c>
      <c r="N353" t="inlineStr">
        <is>
          <t>Action type: Steps to Enable. To view the Redwood redesigned Talent Review meeting pages, you need to enable the profile options indicated in the table. Profile Option Code | Profile Opt</t>
        </is>
      </c>
      <c r="O353" t="inlineStr">
        <is>
          <t>Low</t>
        </is>
      </c>
      <c r="P353" t="inlineStr">
        <is>
          <t>2025-06-20</t>
        </is>
      </c>
      <c r="Q353" t="inlineStr">
        <is>
          <t>Oracle Fusion 26C Readiness — Talent Management</t>
        </is>
      </c>
      <c r="R353" t="inlineStr"/>
    </row>
    <row r="354">
      <c r="A354" t="inlineStr">
        <is>
          <t>CHG_IMP_0329</t>
        </is>
      </c>
      <c r="B354" t="inlineStr">
        <is>
          <t>REL_26C</t>
        </is>
      </c>
      <c r="C354" t="inlineStr">
        <is>
          <t>Redwood: Enable HR Administrators to Publish Organization Goals on Behalf of Executive Leaders</t>
        </is>
      </c>
      <c r="D354" t="inlineStr">
        <is>
          <t>Redwood: Enable HR Administrators to Publish Organization Goals on Behalf of Executive Leaders. Module: Talent Management. Release: 26C. From this release, as administrators you can enable HR specialists to create performance and development goals on behalf of organization leaders. When HR specialists add a goal for a person who has the privileges to create organization goals from their Goals Cent</t>
        </is>
      </c>
      <c r="E354" t="inlineStr">
        <is>
          <t>Talent Management</t>
        </is>
      </c>
      <c r="F354" t="inlineStr">
        <is>
          <t>Functional</t>
        </is>
      </c>
      <c r="G354" t="inlineStr">
        <is>
          <t>Functional</t>
        </is>
      </c>
      <c r="H354" t="inlineStr"/>
      <c r="I354" t="inlineStr"/>
      <c r="J354" t="inlineStr">
        <is>
          <t>Talent Management</t>
        </is>
      </c>
      <c r="K354" t="inlineStr">
        <is>
          <t>N</t>
        </is>
      </c>
      <c r="L354" t="inlineStr">
        <is>
          <t>Y</t>
        </is>
      </c>
      <c r="M354" t="inlineStr">
        <is>
          <t>N</t>
        </is>
      </c>
      <c r="N354" t="inlineStr">
        <is>
          <t>Action type: Steps to Enable. To enable Redwood Goals Center, you need to enable the profile options indicated in the table. Profile Option Code | Profile</t>
        </is>
      </c>
      <c r="O354" t="inlineStr">
        <is>
          <t>Low</t>
        </is>
      </c>
      <c r="P354" t="inlineStr">
        <is>
          <t>2025-06-20</t>
        </is>
      </c>
      <c r="Q354" t="inlineStr">
        <is>
          <t>Oracle Fusion 26C Readiness — Talent Management</t>
        </is>
      </c>
      <c r="R354" t="inlineStr"/>
    </row>
    <row r="355">
      <c r="A355" t="inlineStr">
        <is>
          <t>CHG_IMP_0330</t>
        </is>
      </c>
      <c r="B355" t="inlineStr">
        <is>
          <t>REL_26C</t>
        </is>
      </c>
      <c r="C355" t="inlineStr">
        <is>
          <t>Redwood: Enable Mass Actions for Development Goals from Goals Center</t>
        </is>
      </c>
      <c r="D355" t="inlineStr">
        <is>
          <t xml:space="preserve">Redwood: Enable Mass Actions for Development Goals from Goals Center. Module: Talent Management. Release: 26C. From this release, as administrators you can enable workers, managers, and HR specialists to select multiple development goals and act upon them.
Employees can share, delete, or make the selected goals inactive on their Goals Center. If they are managers, then they can also assign their </t>
        </is>
      </c>
      <c r="E355" t="inlineStr">
        <is>
          <t>Talent Management</t>
        </is>
      </c>
      <c r="F355" t="inlineStr">
        <is>
          <t>Functional</t>
        </is>
      </c>
      <c r="G355" t="inlineStr">
        <is>
          <t>Functional</t>
        </is>
      </c>
      <c r="H355" t="inlineStr"/>
      <c r="I355" t="inlineStr"/>
      <c r="J355" t="inlineStr">
        <is>
          <t>Talent Management</t>
        </is>
      </c>
      <c r="K355" t="inlineStr">
        <is>
          <t>N</t>
        </is>
      </c>
      <c r="L355" t="inlineStr">
        <is>
          <t>Y</t>
        </is>
      </c>
      <c r="M355" t="inlineStr">
        <is>
          <t>N</t>
        </is>
      </c>
      <c r="N355" t="inlineStr">
        <is>
          <t>Action type: Steps to Enable. To enable Redwood Goals Center, you need to enable the profile options indicated in the table. Profile Option Code | Profile Option Display Name | Val</t>
        </is>
      </c>
      <c r="O355" t="inlineStr">
        <is>
          <t>Low</t>
        </is>
      </c>
      <c r="P355" t="inlineStr">
        <is>
          <t>2025-06-20</t>
        </is>
      </c>
      <c r="Q355" t="inlineStr">
        <is>
          <t>Oracle Fusion 26C Readiness — Talent Management</t>
        </is>
      </c>
      <c r="R355" t="inlineStr"/>
    </row>
    <row r="356">
      <c r="A356" t="inlineStr">
        <is>
          <t>CHG_IMP_0331</t>
        </is>
      </c>
      <c r="B356" t="inlineStr">
        <is>
          <t>REL_26C</t>
        </is>
      </c>
      <c r="C356" t="inlineStr">
        <is>
          <t>Redwood: Enhanced Rating Display Options in Talent Review Dashboard</t>
        </is>
      </c>
      <c r="D356" t="inlineStr">
        <is>
          <t>Redwood: Enhanced Rating Display Options in Talent Review Dashboard. Module: Talent Management. Release: 26C. From this release, the Talent Review dashboard supports additional standard and custom talent ratings as display options in addition to the mobility, risk of loss, and impact of loss ratings. This enhancement enables highlighting the review population using dimensions that your organizatio</t>
        </is>
      </c>
      <c r="E356" t="inlineStr">
        <is>
          <t>Talent Management</t>
        </is>
      </c>
      <c r="F356" t="inlineStr">
        <is>
          <t>Functional</t>
        </is>
      </c>
      <c r="G356" t="inlineStr">
        <is>
          <t>Functional</t>
        </is>
      </c>
      <c r="H356" t="inlineStr"/>
      <c r="I356" t="inlineStr"/>
      <c r="J356" t="inlineStr">
        <is>
          <t>Talent Management</t>
        </is>
      </c>
      <c r="K356" t="inlineStr">
        <is>
          <t>N</t>
        </is>
      </c>
      <c r="L356" t="inlineStr">
        <is>
          <t>Y</t>
        </is>
      </c>
      <c r="M356" t="inlineStr">
        <is>
          <t>N</t>
        </is>
      </c>
      <c r="N356" t="inlineStr">
        <is>
          <t>Action type: Steps to Enable. To view the Redwood redesigned Talent Review meeting pages, you need to enable the profile options indicated in the table. Profile Option Code | Profil</t>
        </is>
      </c>
      <c r="O356" t="inlineStr">
        <is>
          <t>Low</t>
        </is>
      </c>
      <c r="P356" t="inlineStr">
        <is>
          <t>2025-06-20</t>
        </is>
      </c>
      <c r="Q356" t="inlineStr">
        <is>
          <t>Oracle Fusion 26C Readiness — Talent Management</t>
        </is>
      </c>
      <c r="R356" t="inlineStr"/>
    </row>
    <row r="357">
      <c r="A357" t="inlineStr">
        <is>
          <t>CHG_IMP_0332</t>
        </is>
      </c>
      <c r="B357" t="inlineStr">
        <is>
          <t>REL_26C</t>
        </is>
      </c>
      <c r="C357" t="inlineStr">
        <is>
          <t>Redwood: Enhanced User Experience for Reviewers</t>
        </is>
      </c>
      <c r="D357" t="inlineStr">
        <is>
          <t>Redwood: Enhanced User Experience for Reviewers. Module: Talent Management. Release: 26C. From this release, reviewers can easily identify the ratings that they can edit in the rating grid when preparing review content. Editable cells have a single-value selection list. You can select the rating to rate review population members with a single click from this list.
Manager's Prepare Revi</t>
        </is>
      </c>
      <c r="E357" t="inlineStr">
        <is>
          <t>Talent Management</t>
        </is>
      </c>
      <c r="F357" t="inlineStr">
        <is>
          <t>Functional</t>
        </is>
      </c>
      <c r="G357" t="inlineStr">
        <is>
          <t>Functional</t>
        </is>
      </c>
      <c r="H357" t="inlineStr"/>
      <c r="I357" t="inlineStr"/>
      <c r="J357" t="inlineStr">
        <is>
          <t>Talent Management</t>
        </is>
      </c>
      <c r="K357" t="inlineStr">
        <is>
          <t>N</t>
        </is>
      </c>
      <c r="L357" t="inlineStr">
        <is>
          <t>Y</t>
        </is>
      </c>
      <c r="M357" t="inlineStr">
        <is>
          <t>N</t>
        </is>
      </c>
      <c r="N357" t="inlineStr">
        <is>
          <t>Action type: Steps to Enable. To view the Redwood redesigned Talent Review meeting pages, you need to enable the profile options indicated in the table. Profile Option Code | Profile Option Display Na</t>
        </is>
      </c>
      <c r="O357" t="inlineStr">
        <is>
          <t>Low</t>
        </is>
      </c>
      <c r="P357" t="inlineStr">
        <is>
          <t>2025-06-20</t>
        </is>
      </c>
      <c r="Q357" t="inlineStr">
        <is>
          <t>Oracle Fusion 26C Readiness — Talent Management</t>
        </is>
      </c>
      <c r="R357" t="inlineStr"/>
    </row>
    <row r="358">
      <c r="A358" t="inlineStr">
        <is>
          <t>CHG_IMP_0333</t>
        </is>
      </c>
      <c r="B358" t="inlineStr">
        <is>
          <t>REL_26C</t>
        </is>
      </c>
      <c r="C358" t="inlineStr">
        <is>
          <t>Redwood: Evaluation Preparation Task in the Performance Document</t>
        </is>
      </c>
      <c r="D358" t="inlineStr">
        <is>
          <t>Redwood: Evaluation Preparation Task in the Performance Document. Module: Talent Management. Release: 26C. As an HR administrator, you can configure Redwood performance process flows to include an Evaluation Preparation task. An equivalent to the the Set Goals task in the responsive user experience this enables employees and managers to decide which goals, competencies, and skills should be includ</t>
        </is>
      </c>
      <c r="E358" t="inlineStr">
        <is>
          <t>Talent Management</t>
        </is>
      </c>
      <c r="F358" t="inlineStr">
        <is>
          <t>Functional</t>
        </is>
      </c>
      <c r="G358" t="inlineStr">
        <is>
          <t>Functional</t>
        </is>
      </c>
      <c r="H358" t="inlineStr"/>
      <c r="I358" t="inlineStr"/>
      <c r="J358" t="inlineStr">
        <is>
          <t>Talent Management</t>
        </is>
      </c>
      <c r="K358" t="inlineStr">
        <is>
          <t>N</t>
        </is>
      </c>
      <c r="L358" t="inlineStr">
        <is>
          <t>Y</t>
        </is>
      </c>
      <c r="M358" t="inlineStr">
        <is>
          <t>N</t>
        </is>
      </c>
      <c r="N358" t="inlineStr">
        <is>
          <t>Action type: Steps to Enable. You need to configure the profile option as indicated in the following table. Profile Option Code | Description | Value ORA_HRA_SETUP_REDWOOD_ ENABLED | E</t>
        </is>
      </c>
      <c r="O358" t="inlineStr">
        <is>
          <t>Low</t>
        </is>
      </c>
      <c r="P358" t="inlineStr">
        <is>
          <t>2025-06-20</t>
        </is>
      </c>
      <c r="Q358" t="inlineStr">
        <is>
          <t>Oracle Fusion 26C Readiness — Talent Management</t>
        </is>
      </c>
      <c r="R358" t="inlineStr"/>
    </row>
    <row r="359">
      <c r="A359" t="inlineStr">
        <is>
          <t>CHG_IMP_0334</t>
        </is>
      </c>
      <c r="B359" t="inlineStr">
        <is>
          <t>REL_26C</t>
        </is>
      </c>
      <c r="C359" t="inlineStr">
        <is>
          <t>Redwood: Hide Comments Column for Facilitators</t>
        </is>
      </c>
      <c r="D359" t="inlineStr">
        <is>
          <t>Redwood: Hide Comments Column for Facilitators. Module: Talent Management. Release: 26C. As administrators, you can hide the comments column for facilitators if your organization doesn’t need them to add comments for ratings when viewing the table view of the Talent Review dashboard.
Table view of a Talent Review meeting dashboard with no Comments columns</t>
        </is>
      </c>
      <c r="E359" t="inlineStr">
        <is>
          <t>Talent Management</t>
        </is>
      </c>
      <c r="F359" t="inlineStr">
        <is>
          <t>Functional</t>
        </is>
      </c>
      <c r="G359" t="inlineStr">
        <is>
          <t>Functional</t>
        </is>
      </c>
      <c r="H359" t="inlineStr"/>
      <c r="I359" t="inlineStr"/>
      <c r="J359" t="inlineStr">
        <is>
          <t>Talent Management</t>
        </is>
      </c>
      <c r="K359" t="inlineStr">
        <is>
          <t>N</t>
        </is>
      </c>
      <c r="L359" t="inlineStr">
        <is>
          <t>Y</t>
        </is>
      </c>
      <c r="M359" t="inlineStr">
        <is>
          <t>N</t>
        </is>
      </c>
      <c r="N359" t="inlineStr">
        <is>
          <t>Action type: Steps to Enable. To view the Redwood redesigned Talent Review meeting pages, you need to enable the profile options indicated in the table. Profile Option Code | Profile Option Display Na</t>
        </is>
      </c>
      <c r="O359" t="inlineStr">
        <is>
          <t>Low</t>
        </is>
      </c>
      <c r="P359" t="inlineStr">
        <is>
          <t>2025-06-20</t>
        </is>
      </c>
      <c r="Q359" t="inlineStr">
        <is>
          <t>Oracle Fusion 26C Readiness — Talent Management</t>
        </is>
      </c>
      <c r="R359" t="inlineStr"/>
    </row>
    <row r="360">
      <c r="A360" t="inlineStr">
        <is>
          <t>CHG_IMP_0335</t>
        </is>
      </c>
      <c r="B360" t="inlineStr">
        <is>
          <t>REL_26C</t>
        </is>
      </c>
      <c r="C360" t="inlineStr">
        <is>
          <t>Redwood: Hide Participant Types in Manage Participant Feedback Page</t>
        </is>
      </c>
      <c r="D360" t="inlineStr">
        <is>
          <t>Redwood: Hide Participant Types in Manage Participant Feedback Page. Module: Talent Management. Release: 26C. As an HR administrator, you can control which participant types appear in the Select Person From list on the Participant Feedback page. 
 Using page properties, you can hide participant types and present a more focused set of options to users.
Suggestions and team hidden in select person</t>
        </is>
      </c>
      <c r="E360" t="inlineStr">
        <is>
          <t>Talent Management</t>
        </is>
      </c>
      <c r="F360" t="inlineStr">
        <is>
          <t>Functional</t>
        </is>
      </c>
      <c r="G360" t="inlineStr">
        <is>
          <t>Functional</t>
        </is>
      </c>
      <c r="H360" t="inlineStr"/>
      <c r="I360" t="inlineStr"/>
      <c r="J360" t="inlineStr">
        <is>
          <t>Talent Management</t>
        </is>
      </c>
      <c r="K360" t="inlineStr">
        <is>
          <t>N</t>
        </is>
      </c>
      <c r="L360" t="inlineStr">
        <is>
          <t>Y</t>
        </is>
      </c>
      <c r="M360" t="inlineStr">
        <is>
          <t>N</t>
        </is>
      </c>
      <c r="N360" t="inlineStr">
        <is>
          <t>Action type: Steps to Enable. You need to configure the profile options as indicated in the following table. Profile Option Code | Description | Values ORA_HCM_VBCS_PWA_ENABLED | En</t>
        </is>
      </c>
      <c r="O360" t="inlineStr">
        <is>
          <t>Low</t>
        </is>
      </c>
      <c r="P360" t="inlineStr">
        <is>
          <t>2025-06-20</t>
        </is>
      </c>
      <c r="Q360" t="inlineStr">
        <is>
          <t>Oracle Fusion 26C Readiness — Talent Management</t>
        </is>
      </c>
      <c r="R360" t="inlineStr"/>
    </row>
    <row r="361">
      <c r="A361" t="inlineStr">
        <is>
          <t>CHG_IMP_0336</t>
        </is>
      </c>
      <c r="B361" t="inlineStr">
        <is>
          <t>REL_26C</t>
        </is>
      </c>
      <c r="C361" t="inlineStr">
        <is>
          <t>Redwood: Hide Performance Improvement Plan Performance Documents Until Shared with the Employee</t>
        </is>
      </c>
      <c r="D361" t="inlineStr">
        <is>
          <t>Redwood: Hide Performance Improvement Plan Performance Documents Until Shared with the Employee. Module: Talent Management. Release: 26C. As an HR administrator, you can configure the Share task in the performance process flow so employees can’t view performance documents used as performance improvement plans before the manager shares them.
Configure option to hide performance document
This conf</t>
        </is>
      </c>
      <c r="E361" t="inlineStr">
        <is>
          <t>Talent Management</t>
        </is>
      </c>
      <c r="F361" t="inlineStr">
        <is>
          <t>Functional</t>
        </is>
      </c>
      <c r="G361" t="inlineStr">
        <is>
          <t>Functional</t>
        </is>
      </c>
      <c r="H361" t="inlineStr"/>
      <c r="I361" t="inlineStr"/>
      <c r="J361" t="inlineStr">
        <is>
          <t>Talent Management</t>
        </is>
      </c>
      <c r="K361" t="inlineStr">
        <is>
          <t>N</t>
        </is>
      </c>
      <c r="L361" t="inlineStr">
        <is>
          <t>Y</t>
        </is>
      </c>
      <c r="M361" t="inlineStr">
        <is>
          <t>N</t>
        </is>
      </c>
      <c r="N361" t="inlineStr">
        <is>
          <t>Action type: Steps to Enable. You need to configure the profile options as indicated in the following table: Profile Option Code | Description | Value OR</t>
        </is>
      </c>
      <c r="O361" t="inlineStr">
        <is>
          <t>Low</t>
        </is>
      </c>
      <c r="P361" t="inlineStr">
        <is>
          <t>2025-06-20</t>
        </is>
      </c>
      <c r="Q361" t="inlineStr">
        <is>
          <t>Oracle Fusion 26C Readiness — Talent Management</t>
        </is>
      </c>
      <c r="R361" t="inlineStr"/>
    </row>
    <row r="362">
      <c r="A362" t="inlineStr">
        <is>
          <t>CHG_IMP_0337</t>
        </is>
      </c>
      <c r="B362" t="inlineStr">
        <is>
          <t>REL_26C</t>
        </is>
      </c>
      <c r="C362" t="inlineStr">
        <is>
          <t>Redwood: Notification for Worker Deleting Own Goal</t>
        </is>
      </c>
      <c r="D362" t="inlineStr">
        <is>
          <t>Redwood: Notification for Worker Deleting Own Goal. Module: Talent Management. Release: 26C. Notify managers when team members delete performance or development goals that their team members created and ensure that the managers are informed of the changes in the priorities of the team members. This notification will help managers evaluate if the goal deletion is appropriate or not.
Notific</t>
        </is>
      </c>
      <c r="E362" t="inlineStr">
        <is>
          <t>Talent Management</t>
        </is>
      </c>
      <c r="F362" t="inlineStr">
        <is>
          <t>Functional</t>
        </is>
      </c>
      <c r="G362" t="inlineStr">
        <is>
          <t>Functional</t>
        </is>
      </c>
      <c r="H362" t="inlineStr"/>
      <c r="I362" t="inlineStr"/>
      <c r="J362" t="inlineStr">
        <is>
          <t>Talent Management</t>
        </is>
      </c>
      <c r="K362" t="inlineStr">
        <is>
          <t>N</t>
        </is>
      </c>
      <c r="L362" t="inlineStr">
        <is>
          <t>Y</t>
        </is>
      </c>
      <c r="M362" t="inlineStr">
        <is>
          <t>N</t>
        </is>
      </c>
      <c r="N362" t="inlineStr">
        <is>
          <t>Action type: Steps to Enable. To enable Redwood Goals Center, you need to enable the profile options indicated in the table. Profile Option Code | Profile Option Display Name | Value ORA_HCM_VBCS_PW</t>
        </is>
      </c>
      <c r="O362" t="inlineStr">
        <is>
          <t>Low</t>
        </is>
      </c>
      <c r="P362" t="inlineStr">
        <is>
          <t>2025-06-20</t>
        </is>
      </c>
      <c r="Q362" t="inlineStr">
        <is>
          <t>Oracle Fusion 26C Readiness — Talent Management</t>
        </is>
      </c>
      <c r="R362" t="inlineStr"/>
    </row>
    <row r="363">
      <c r="A363" t="inlineStr">
        <is>
          <t>CHG_IMP_0338</t>
        </is>
      </c>
      <c r="B363" t="inlineStr">
        <is>
          <t>REL_26C</t>
        </is>
      </c>
      <c r="C363" t="inlineStr">
        <is>
          <t>Redwood: Notify Employees When HR Specialists Mass Share Performance Goals</t>
        </is>
      </c>
      <c r="D363" t="inlineStr">
        <is>
          <t>Redwood: Notify Employees When HR Specialists Mass Share Performance Goals. Module: Talent Management. Release: 26C. If your administrator has enabled the new notification for mass sharing of performance goals, employees are notified when their HR specialist mass shares performance goals and the process to mass share the goals is complete.
Notification for mass shared goals
When the employee cli</t>
        </is>
      </c>
      <c r="E363" t="inlineStr">
        <is>
          <t>Talent Management</t>
        </is>
      </c>
      <c r="F363" t="inlineStr">
        <is>
          <t>Functional</t>
        </is>
      </c>
      <c r="G363" t="inlineStr">
        <is>
          <t>Functional</t>
        </is>
      </c>
      <c r="H363" t="inlineStr"/>
      <c r="I363" t="inlineStr"/>
      <c r="J363" t="inlineStr">
        <is>
          <t>Talent Management</t>
        </is>
      </c>
      <c r="K363" t="inlineStr">
        <is>
          <t>N</t>
        </is>
      </c>
      <c r="L363" t="inlineStr">
        <is>
          <t>Y</t>
        </is>
      </c>
      <c r="M363" t="inlineStr">
        <is>
          <t>N</t>
        </is>
      </c>
      <c r="N363" t="inlineStr">
        <is>
          <t>Action type: Steps to Enable. To enable Redwood Goals Center, you need to enable the profile options indicated in the table. Profile Option Code | Profile Option Display Name</t>
        </is>
      </c>
      <c r="O363" t="inlineStr">
        <is>
          <t>Low</t>
        </is>
      </c>
      <c r="P363" t="inlineStr">
        <is>
          <t>2025-06-20</t>
        </is>
      </c>
      <c r="Q363" t="inlineStr">
        <is>
          <t>Oracle Fusion 26C Readiness — Talent Management</t>
        </is>
      </c>
      <c r="R363" t="inlineStr"/>
    </row>
    <row r="364">
      <c r="A364" t="inlineStr">
        <is>
          <t>CHG_IMP_0339</t>
        </is>
      </c>
      <c r="B364" t="inlineStr">
        <is>
          <t>REL_26C</t>
        </is>
      </c>
      <c r="C364" t="inlineStr">
        <is>
          <t>Redwood: Performance Document Participant Role Displayed In Feedback Center</t>
        </is>
      </c>
      <c r="D364" t="inlineStr">
        <is>
          <t>Redwood: Performance Document Participant Role Displayed In Feedback Center. Module: Talent Management. Release: 26C. Displays the performance feedback participant role assigned to you when you receive a request to provide feedback on an employee’s performance document. You can view the role in Feedback Center, under *Feedback About Others &gt; Feedback Requests About Others.* HR administrators can h</t>
        </is>
      </c>
      <c r="E364" t="inlineStr">
        <is>
          <t>Talent Management</t>
        </is>
      </c>
      <c r="F364" t="inlineStr">
        <is>
          <t>Functional</t>
        </is>
      </c>
      <c r="G364" t="inlineStr">
        <is>
          <t>Functional</t>
        </is>
      </c>
      <c r="H364" t="inlineStr"/>
      <c r="I364" t="inlineStr"/>
      <c r="J364" t="inlineStr">
        <is>
          <t>Talent Management</t>
        </is>
      </c>
      <c r="K364" t="inlineStr">
        <is>
          <t>N</t>
        </is>
      </c>
      <c r="L364" t="inlineStr">
        <is>
          <t>Y</t>
        </is>
      </c>
      <c r="M364" t="inlineStr">
        <is>
          <t>N</t>
        </is>
      </c>
      <c r="N364" t="inlineStr">
        <is>
          <t xml:space="preserve">Action type: Steps to Enable. You need to configure the profile option as indicated in the following table. Profile Option Code | Description | Value ORA_HRA_SETUP_REDWOOD_ </t>
        </is>
      </c>
      <c r="O364" t="inlineStr">
        <is>
          <t>Low</t>
        </is>
      </c>
      <c r="P364" t="inlineStr">
        <is>
          <t>2025-06-20</t>
        </is>
      </c>
      <c r="Q364" t="inlineStr">
        <is>
          <t>Oracle Fusion 26C Readiness — Talent Management</t>
        </is>
      </c>
      <c r="R364" t="inlineStr"/>
    </row>
    <row r="365">
      <c r="A365" t="inlineStr">
        <is>
          <t>CHG_IMP_0340</t>
        </is>
      </c>
      <c r="B365" t="inlineStr">
        <is>
          <t>REL_26C</t>
        </is>
      </c>
      <c r="C365" t="inlineStr">
        <is>
          <t>Redwood: Restrict Matrix Manager Access to Goals</t>
        </is>
      </c>
      <c r="D365" t="inlineStr">
        <is>
          <t>Redwood: Restrict Matrix Manager Access to Goals. Module: Talent Management. Release: 26C. From this release, as administrators, you can ensure that matrix managers can view only the performance or development goals that they created for a dotted-line report.
 After you enable this restriction, matrix managers can’t view performance or development goals created by others for the dotted-</t>
        </is>
      </c>
      <c r="E365" t="inlineStr">
        <is>
          <t>Talent Management</t>
        </is>
      </c>
      <c r="F365" t="inlineStr">
        <is>
          <t>Functional</t>
        </is>
      </c>
      <c r="G365" t="inlineStr">
        <is>
          <t>Functional</t>
        </is>
      </c>
      <c r="H365" t="inlineStr"/>
      <c r="I365" t="inlineStr"/>
      <c r="J365" t="inlineStr">
        <is>
          <t>Talent Management</t>
        </is>
      </c>
      <c r="K365" t="inlineStr">
        <is>
          <t>N</t>
        </is>
      </c>
      <c r="L365" t="inlineStr">
        <is>
          <t>Y</t>
        </is>
      </c>
      <c r="M365" t="inlineStr">
        <is>
          <t>N</t>
        </is>
      </c>
      <c r="N365" t="inlineStr">
        <is>
          <t>Action type: Steps to Enable. To enable Redwood Goals Center, you need to enable the profile options indicated in the table. Profile Option Code | Profile Option Display Name | Value ORA_HCM_VBCS_PWA_</t>
        </is>
      </c>
      <c r="O365" t="inlineStr">
        <is>
          <t>Low</t>
        </is>
      </c>
      <c r="P365" t="inlineStr">
        <is>
          <t>2025-06-20</t>
        </is>
      </c>
      <c r="Q365" t="inlineStr">
        <is>
          <t>Oracle Fusion 26C Readiness — Talent Management</t>
        </is>
      </c>
      <c r="R365" t="inlineStr"/>
    </row>
    <row r="366">
      <c r="A366" t="inlineStr">
        <is>
          <t>CHG_IMP_0341</t>
        </is>
      </c>
      <c r="B366" t="inlineStr">
        <is>
          <t>REL_26C</t>
        </is>
      </c>
      <c r="C366" t="inlineStr">
        <is>
          <t>Redwood: Set Default Review Period for Employee and Manager Performance Landing Pages</t>
        </is>
      </c>
      <c r="D366" t="inlineStr">
        <is>
          <t>Redwood: Set Default Review Period for Employee and Manager Performance Landing Pages. Module: Talent Management. Release: 26C. As a manager or HR user viewing an employee’s Performance page, you can filter the list of performance documents or check-ins by review period if enabled through business rules.
• The Review Period filter displays on the Performance page.
• Different default review perio</t>
        </is>
      </c>
      <c r="E366" t="inlineStr">
        <is>
          <t>Talent Management</t>
        </is>
      </c>
      <c r="F366" t="inlineStr">
        <is>
          <t>Functional</t>
        </is>
      </c>
      <c r="G366" t="inlineStr">
        <is>
          <t>Functional</t>
        </is>
      </c>
      <c r="H366" t="inlineStr"/>
      <c r="I366" t="inlineStr"/>
      <c r="J366" t="inlineStr">
        <is>
          <t>Talent Management</t>
        </is>
      </c>
      <c r="K366" t="inlineStr">
        <is>
          <t>N</t>
        </is>
      </c>
      <c r="L366" t="inlineStr">
        <is>
          <t>Y</t>
        </is>
      </c>
      <c r="M366" t="inlineStr">
        <is>
          <t>N</t>
        </is>
      </c>
      <c r="N366" t="inlineStr">
        <is>
          <t>Action type: Steps to Enable. You need to configure the profile options as indicated in the following table. Profile Option Code | Description | ORA_HCM_VBCS_PWA_E</t>
        </is>
      </c>
      <c r="O366" t="inlineStr">
        <is>
          <t>Low</t>
        </is>
      </c>
      <c r="P366" t="inlineStr">
        <is>
          <t>2025-06-20</t>
        </is>
      </c>
      <c r="Q366" t="inlineStr">
        <is>
          <t>Oracle Fusion 26C Readiness — Talent Management</t>
        </is>
      </c>
      <c r="R366" t="inlineStr"/>
    </row>
    <row r="367">
      <c r="A367" t="inlineStr">
        <is>
          <t>CHG_IMP_0342</t>
        </is>
      </c>
      <c r="B367" t="inlineStr">
        <is>
          <t>REL_26C</t>
        </is>
      </c>
      <c r="C367" t="inlineStr">
        <is>
          <t>Redwood: Succession Planning Guide Workflow Agent</t>
        </is>
      </c>
      <c r="D367" t="inlineStr">
        <is>
          <t>Redwood: Succession Planning Guide Workflow Agent. Module: Talent Management. Release: 26C. As managers, leverage the **Succession Planning Guide** AI workflow agent available on the **Agent Teams** tab of AI Agent Studio to complete your succession planning tasks for your team. This agent dynamically based on your query interprets your intent and invokes the appropriate succession plannin</t>
        </is>
      </c>
      <c r="E367" t="inlineStr">
        <is>
          <t>Talent Management</t>
        </is>
      </c>
      <c r="F367" t="inlineStr">
        <is>
          <t>AI Feature</t>
        </is>
      </c>
      <c r="G367" t="inlineStr">
        <is>
          <t>AI Feature</t>
        </is>
      </c>
      <c r="H367" t="inlineStr"/>
      <c r="I367" t="inlineStr"/>
      <c r="J367" t="inlineStr">
        <is>
          <t>Talent Management</t>
        </is>
      </c>
      <c r="K367" t="inlineStr">
        <is>
          <t>N</t>
        </is>
      </c>
      <c r="L367" t="inlineStr">
        <is>
          <t>Y</t>
        </is>
      </c>
      <c r="M367" t="inlineStr">
        <is>
          <t>N</t>
        </is>
      </c>
      <c r="N367" t="inlineStr">
        <is>
          <t>Action type: Steps to Enable. Your environment must have certain necessary configurations. Ask your help desk to contact Oracle Support, who can verify what your environment has and address any gaps.</t>
        </is>
      </c>
      <c r="O367" t="inlineStr">
        <is>
          <t>Low</t>
        </is>
      </c>
      <c r="P367" t="inlineStr">
        <is>
          <t>2025-06-20</t>
        </is>
      </c>
      <c r="Q367" t="inlineStr">
        <is>
          <t>Oracle Fusion 26C Readiness — Talent Management</t>
        </is>
      </c>
      <c r="R367" t="inlineStr"/>
    </row>
    <row r="368">
      <c r="A368" t="inlineStr">
        <is>
          <t>CHG_IMP_0343</t>
        </is>
      </c>
      <c r="B368" t="inlineStr">
        <is>
          <t>REL_26C</t>
        </is>
      </c>
      <c r="C368" t="inlineStr">
        <is>
          <t>Redwood: Support Business Rules on Profiles DFFs</t>
        </is>
      </c>
      <c r="D368" t="inlineStr">
        <is>
          <t>Redwood: Support Business Rules on Profiles DFFs. Module: Talent Management. Release: 26C. Enables profile administrators to configure DFF fields with business rules on the Skills and Qualifications page.
**Example:**
When a worker submits an Accomplishment item, the customer may want to capture additional information if the item is rejected. For example, the administrator can create a</t>
        </is>
      </c>
      <c r="E368" t="inlineStr">
        <is>
          <t>Talent Management</t>
        </is>
      </c>
      <c r="F368" t="inlineStr">
        <is>
          <t>Functional</t>
        </is>
      </c>
      <c r="G368" t="inlineStr">
        <is>
          <t>Functional</t>
        </is>
      </c>
      <c r="H368" t="inlineStr"/>
      <c r="I368" t="inlineStr"/>
      <c r="J368" t="inlineStr">
        <is>
          <t>Talent Management</t>
        </is>
      </c>
      <c r="K368" t="inlineStr">
        <is>
          <t>N</t>
        </is>
      </c>
      <c r="L368" t="inlineStr">
        <is>
          <t>N</t>
        </is>
      </c>
      <c r="M368" t="inlineStr">
        <is>
          <t>N</t>
        </is>
      </c>
      <c r="N368" t="inlineStr">
        <is>
          <t>Auto-enabled — no action required</t>
        </is>
      </c>
      <c r="O368" t="inlineStr">
        <is>
          <t>Low</t>
        </is>
      </c>
      <c r="P368" t="inlineStr">
        <is>
          <t>2025-06-20</t>
        </is>
      </c>
      <c r="Q368" t="inlineStr">
        <is>
          <t>Oracle Fusion 26C Readiness — Talent Management</t>
        </is>
      </c>
      <c r="R368" t="inlineStr"/>
    </row>
    <row r="369">
      <c r="A369" t="inlineStr">
        <is>
          <t>CHG_IMP_0344</t>
        </is>
      </c>
      <c r="B369" t="inlineStr">
        <is>
          <t>REL_26C</t>
        </is>
      </c>
      <c r="C369" t="inlineStr">
        <is>
          <t>Redwood: Support Showing Model Profile Descriptions on Career Role and Know your Role Page</t>
        </is>
      </c>
      <c r="D369" t="inlineStr">
        <is>
          <t>Redwood: Support Showing Model Profile Descriptions on Career Role and Know your Role Page. Module: Talent Management. Release: 26C. Displays job or position profile descriptions on the Career Role (*Me &gt;Opportunity Marketplace*) and Know Your Role (*Me &gt;Grow*) pages in Oracle Grow. This functionality is delivered hidden by default. The profile description will be hidden and can be enabled by admi</t>
        </is>
      </c>
      <c r="E369" t="inlineStr">
        <is>
          <t>Talent Management</t>
        </is>
      </c>
      <c r="F369" t="inlineStr">
        <is>
          <t>Functional</t>
        </is>
      </c>
      <c r="G369" t="inlineStr">
        <is>
          <t>Functional</t>
        </is>
      </c>
      <c r="H369" t="inlineStr"/>
      <c r="I369" t="inlineStr"/>
      <c r="J369" t="inlineStr">
        <is>
          <t>Talent Management</t>
        </is>
      </c>
      <c r="K369" t="inlineStr">
        <is>
          <t>N</t>
        </is>
      </c>
      <c r="L369" t="inlineStr">
        <is>
          <t>Y</t>
        </is>
      </c>
      <c r="M369" t="inlineStr">
        <is>
          <t>N</t>
        </is>
      </c>
      <c r="N369" t="inlineStr">
        <is>
          <t>Action type: Steps to Enable. For details on page properties, see How Can I Show Job and Position Profile Descriptions on the Career Role and Know Your Role P</t>
        </is>
      </c>
      <c r="O369" t="inlineStr">
        <is>
          <t>Low</t>
        </is>
      </c>
      <c r="P369" t="inlineStr">
        <is>
          <t>2025-06-20</t>
        </is>
      </c>
      <c r="Q369" t="inlineStr">
        <is>
          <t>Oracle Fusion 26C Readiness — Talent Management</t>
        </is>
      </c>
      <c r="R369" t="inlineStr"/>
    </row>
    <row r="370">
      <c r="A370" t="inlineStr">
        <is>
          <t>CHG_IMP_0345</t>
        </is>
      </c>
      <c r="B370" t="inlineStr">
        <is>
          <t>REL_26C</t>
        </is>
      </c>
      <c r="C370" t="inlineStr">
        <is>
          <t>Redwood: Support for LinkedIn URL and Attachments for External Candidates of Succession Plans</t>
        </is>
      </c>
      <c r="D370" t="inlineStr">
        <is>
          <t>Redwood: Support for LinkedIn URL and Attachments for External Candidates of Succession Plans. Module: Talent Management. Release: 26C. From this release, HR specialists can add LinkedIn profile URLs for external candidates to easily access detailed candidate information. They can upload, view, download, and delete multiple attachments such as resumes and cover letters to centrally store candidate</t>
        </is>
      </c>
      <c r="E370" t="inlineStr">
        <is>
          <t>Talent Management</t>
        </is>
      </c>
      <c r="F370" t="inlineStr">
        <is>
          <t>Functional</t>
        </is>
      </c>
      <c r="G370" t="inlineStr">
        <is>
          <t>Functional</t>
        </is>
      </c>
      <c r="H370" t="inlineStr"/>
      <c r="I370" t="inlineStr"/>
      <c r="J370" t="inlineStr">
        <is>
          <t>Talent Management</t>
        </is>
      </c>
      <c r="K370" t="inlineStr">
        <is>
          <t>N</t>
        </is>
      </c>
      <c r="L370" t="inlineStr">
        <is>
          <t>Y</t>
        </is>
      </c>
      <c r="M370" t="inlineStr">
        <is>
          <t>N</t>
        </is>
      </c>
      <c r="N370" t="inlineStr">
        <is>
          <t>Action type: Steps to Enable. To view the Redwood Succession Planning pages, you need to enable the profile options listed in this table. Profile Option Co</t>
        </is>
      </c>
      <c r="O370" t="inlineStr">
        <is>
          <t>Low</t>
        </is>
      </c>
      <c r="P370" t="inlineStr">
        <is>
          <t>2025-06-20</t>
        </is>
      </c>
      <c r="Q370" t="inlineStr">
        <is>
          <t>Oracle Fusion 26C Readiness — Talent Management</t>
        </is>
      </c>
      <c r="R370" t="inlineStr"/>
    </row>
    <row r="371">
      <c r="A371" t="inlineStr">
        <is>
          <t>CHG_IMP_0346</t>
        </is>
      </c>
      <c r="B371" t="inlineStr">
        <is>
          <t>REL_26C</t>
        </is>
      </c>
      <c r="C371" t="inlineStr">
        <is>
          <t>Redwood: Talent Management Assistant AI Workflow Agent</t>
        </is>
      </c>
      <c r="D371" t="inlineStr">
        <is>
          <t>Redwood: Talent Management Assistant AI Workflow Agent. Module: Talent Management. Release: 26C. As managers, leverage the **Talent Management Assistant** AI workflow agent to get more information about your team members and obtain more insights about them. You can query this workflow agent to obtain these details about your team members:
• Talent ratings
• Prior ratings
• Feedback received
•</t>
        </is>
      </c>
      <c r="E371" t="inlineStr">
        <is>
          <t>Talent Management</t>
        </is>
      </c>
      <c r="F371" t="inlineStr">
        <is>
          <t>Functional</t>
        </is>
      </c>
      <c r="G371" t="inlineStr">
        <is>
          <t>Functional</t>
        </is>
      </c>
      <c r="H371" t="inlineStr"/>
      <c r="I371" t="inlineStr"/>
      <c r="J371" t="inlineStr">
        <is>
          <t>Talent Management</t>
        </is>
      </c>
      <c r="K371" t="inlineStr">
        <is>
          <t>N</t>
        </is>
      </c>
      <c r="L371" t="inlineStr">
        <is>
          <t>Y</t>
        </is>
      </c>
      <c r="M371" t="inlineStr">
        <is>
          <t>N</t>
        </is>
      </c>
      <c r="N371" t="inlineStr">
        <is>
          <t xml:space="preserve">Action type: Steps to Enable. Your environment must have certain necessary configurations. Ask your help desk to contact Oracle Support, who can verify what your environment has and address any </t>
        </is>
      </c>
      <c r="O371" t="inlineStr">
        <is>
          <t>Low</t>
        </is>
      </c>
      <c r="P371" t="inlineStr">
        <is>
          <t>2025-06-20</t>
        </is>
      </c>
      <c r="Q371" t="inlineStr">
        <is>
          <t>Oracle Fusion 26C Readiness — Talent Management</t>
        </is>
      </c>
      <c r="R371" t="inlineStr"/>
    </row>
    <row r="372">
      <c r="A372" t="inlineStr">
        <is>
          <t>CHG_IMP_0347</t>
        </is>
      </c>
      <c r="B372" t="inlineStr">
        <is>
          <t>REL_26C</t>
        </is>
      </c>
      <c r="C372" t="inlineStr">
        <is>
          <t>Redwood: Time-Based Autosave in Redwood Performance Documents and All-in-One Evaluations</t>
        </is>
      </c>
      <c r="D372" t="inlineStr">
        <is>
          <t>Redwood: Time-Based Autosave in Redwood Performance Documents and All-in-One Evaluations. Module: Talent Management. Release: 26C. You can now leverage the time-based autosave for performance documents. Comments and questionnaire responses entered during evaluation tasks are autosaved in Redwood performance documents and in All-in-One Evaluations. This is because autosave is only needed for commen</t>
        </is>
      </c>
      <c r="E372" t="inlineStr">
        <is>
          <t>Talent Management</t>
        </is>
      </c>
      <c r="F372" t="inlineStr">
        <is>
          <t>Functional</t>
        </is>
      </c>
      <c r="G372" t="inlineStr">
        <is>
          <t>Functional</t>
        </is>
      </c>
      <c r="H372" t="inlineStr"/>
      <c r="I372" t="inlineStr"/>
      <c r="J372" t="inlineStr">
        <is>
          <t>Talent Management</t>
        </is>
      </c>
      <c r="K372" t="inlineStr">
        <is>
          <t>N</t>
        </is>
      </c>
      <c r="L372" t="inlineStr">
        <is>
          <t>Y</t>
        </is>
      </c>
      <c r="M372" t="inlineStr">
        <is>
          <t>N</t>
        </is>
      </c>
      <c r="N372" t="inlineStr">
        <is>
          <t>Action type: Steps to Enable. You need to configure the profile options for Redwood performance documents as indicated in the following table. Profile Option Co</t>
        </is>
      </c>
      <c r="O372" t="inlineStr">
        <is>
          <t>Low</t>
        </is>
      </c>
      <c r="P372" t="inlineStr">
        <is>
          <t>2025-06-20</t>
        </is>
      </c>
      <c r="Q372" t="inlineStr">
        <is>
          <t>Oracle Fusion 26C Readiness — Talent Management</t>
        </is>
      </c>
      <c r="R372" t="inlineStr"/>
    </row>
    <row r="373">
      <c r="A373" t="inlineStr">
        <is>
          <t>CHG_IMP_0348</t>
        </is>
      </c>
      <c r="B373" t="inlineStr">
        <is>
          <t>REL_26C</t>
        </is>
      </c>
      <c r="C373" t="inlineStr">
        <is>
          <t>Redwood: Timestamp Support for Talent Review Meeting Date Attributes in HCM Data Loader and HCM Extracts</t>
        </is>
      </c>
      <c r="D373" t="inlineStr">
        <is>
          <t>Redwood: Timestamp Support for Talent Review Meeting Date Attributes in HCM Data Loader and HCM Extracts. Module: Talent Management. Release: 26C. From this release, you can specify the meeting data and ratings submission date as timestamps when you upload Talent Review meeting data. You can specify the timestamps using these attributes:
• DataSubmitDate
• MeetingDate
Similarly, when you extract</t>
        </is>
      </c>
      <c r="E373" t="inlineStr">
        <is>
          <t>Talent Management</t>
        </is>
      </c>
      <c r="F373" t="inlineStr">
        <is>
          <t>Functional</t>
        </is>
      </c>
      <c r="G373" t="inlineStr">
        <is>
          <t>Functional</t>
        </is>
      </c>
      <c r="H373" t="inlineStr"/>
      <c r="I373" t="inlineStr"/>
      <c r="J373" t="inlineStr">
        <is>
          <t>Talent Management</t>
        </is>
      </c>
      <c r="K373" t="inlineStr">
        <is>
          <t>N</t>
        </is>
      </c>
      <c r="L373" t="inlineStr">
        <is>
          <t>N</t>
        </is>
      </c>
      <c r="M373" t="inlineStr">
        <is>
          <t>N</t>
        </is>
      </c>
      <c r="N373" t="inlineStr">
        <is>
          <t>Auto-enabled — no action required</t>
        </is>
      </c>
      <c r="O373" t="inlineStr">
        <is>
          <t>Low</t>
        </is>
      </c>
      <c r="P373" t="inlineStr">
        <is>
          <t>2025-06-20</t>
        </is>
      </c>
      <c r="Q373" t="inlineStr">
        <is>
          <t>Oracle Fusion 26C Readiness — Talent Management</t>
        </is>
      </c>
      <c r="R373" t="inlineStr"/>
    </row>
    <row r="374">
      <c r="A374" t="inlineStr">
        <is>
          <t>CHG_IMP_0349</t>
        </is>
      </c>
      <c r="B374" t="inlineStr">
        <is>
          <t>REL_26C</t>
        </is>
      </c>
      <c r="C374" t="inlineStr">
        <is>
          <t>Redwood: Upload and View AI-Generated Talent Review Meeting Summaries</t>
        </is>
      </c>
      <c r="D374" t="inlineStr">
        <is>
          <t xml:space="preserve">Redwood: Upload and View AI-Generated Talent Review Meeting Summaries. Module: Talent Management. Release: 26C. You can now upload meeting transcript files and generate AI-powered summaries for completed Talent Review meetings. The transcript files need to be smaller than 25MB and in 1 of these supported formats: .txt, .json, .csv, .srt, and, .vtt. Use the **Upload Transcript** action to do this.
</t>
        </is>
      </c>
      <c r="E374" t="inlineStr">
        <is>
          <t>Talent Management</t>
        </is>
      </c>
      <c r="F374" t="inlineStr">
        <is>
          <t>AI Feature</t>
        </is>
      </c>
      <c r="G374" t="inlineStr">
        <is>
          <t>AI Feature</t>
        </is>
      </c>
      <c r="H374" t="inlineStr"/>
      <c r="I374" t="inlineStr"/>
      <c r="J374" t="inlineStr">
        <is>
          <t>Talent Management</t>
        </is>
      </c>
      <c r="K374" t="inlineStr">
        <is>
          <t>N</t>
        </is>
      </c>
      <c r="L374" t="inlineStr">
        <is>
          <t>Y</t>
        </is>
      </c>
      <c r="M374" t="inlineStr">
        <is>
          <t>N</t>
        </is>
      </c>
      <c r="N374" t="inlineStr">
        <is>
          <t>Action type: Steps to Enable. To view the Redwood redesigned Talent Review meeting pages, you need to enable the profile options indicated in the table. Profile Option Code | Prof</t>
        </is>
      </c>
      <c r="O374" t="inlineStr">
        <is>
          <t>Low</t>
        </is>
      </c>
      <c r="P374" t="inlineStr">
        <is>
          <t>2025-06-20</t>
        </is>
      </c>
      <c r="Q374" t="inlineStr">
        <is>
          <t>Oracle Fusion 26C Readiness — Talent Management</t>
        </is>
      </c>
      <c r="R374" t="inlineStr"/>
    </row>
    <row r="375">
      <c r="A375" t="inlineStr">
        <is>
          <t>CHG_IMP_0350</t>
        </is>
      </c>
      <c r="B375" t="inlineStr">
        <is>
          <t>REL_26C</t>
        </is>
      </c>
      <c r="C375" t="inlineStr">
        <is>
          <t>Redwood: VB Studio Page Properties for Granular AI Assist Enablement in Evaluation Topic Summaries</t>
        </is>
      </c>
      <c r="D375" t="inlineStr">
        <is>
          <t xml:space="preserve">Redwood: VB Studio Page Properties for Granular AI Assist Enablement in Evaluation Topic Summaries. Module: Talent Management. Release: 26C. As an HR administrator, you can configure AI Assist comments separately by role and by comment type on Redwood performance documents. This lets you control whether AI Assist is available for individual item comments, section summary comments, overall summary </t>
        </is>
      </c>
      <c r="E375" t="inlineStr">
        <is>
          <t>Talent Management</t>
        </is>
      </c>
      <c r="F375" t="inlineStr">
        <is>
          <t>Functional</t>
        </is>
      </c>
      <c r="G375" t="inlineStr">
        <is>
          <t>Functional</t>
        </is>
      </c>
      <c r="H375" t="inlineStr"/>
      <c r="I375" t="inlineStr"/>
      <c r="J375" t="inlineStr">
        <is>
          <t>Talent Management</t>
        </is>
      </c>
      <c r="K375" t="inlineStr">
        <is>
          <t>N</t>
        </is>
      </c>
      <c r="L375" t="inlineStr">
        <is>
          <t>Y</t>
        </is>
      </c>
      <c r="M375" t="inlineStr">
        <is>
          <t>N</t>
        </is>
      </c>
      <c r="N375" t="inlineStr">
        <is>
          <t>Action type: Steps to Enable. You can configure the following page properties as indicated in the following table for Redwood performance documents. P</t>
        </is>
      </c>
      <c r="O375" t="inlineStr">
        <is>
          <t>Low</t>
        </is>
      </c>
      <c r="P375" t="inlineStr">
        <is>
          <t>2025-06-20</t>
        </is>
      </c>
      <c r="Q375" t="inlineStr">
        <is>
          <t>Oracle Fusion 26C Readiness — Talent Management</t>
        </is>
      </c>
      <c r="R375" t="inlineStr"/>
    </row>
    <row r="376">
      <c r="A376" t="inlineStr">
        <is>
          <t>CHG_IMP_0351</t>
        </is>
      </c>
      <c r="B376" t="inlineStr">
        <is>
          <t>REL_26C</t>
        </is>
      </c>
      <c r="C376" t="inlineStr">
        <is>
          <t>Task and Measurement Attributes Support for Goals Agents</t>
        </is>
      </c>
      <c r="D376" t="inlineStr">
        <is>
          <t>Task and Measurement Attributes Support for Goals Agents. Module: Talent Management. Release: 26C. From this release, when you use the **Employee Goals Assistant** or the **Team Goals Assistant** AI workflow agents, you can query or update these additional task attributes for performance and development goals:
• Name
• Description
• Task type
• Start date
• Target completion date
• Task priority</t>
        </is>
      </c>
      <c r="E376" t="inlineStr">
        <is>
          <t>Talent Management</t>
        </is>
      </c>
      <c r="F376" t="inlineStr">
        <is>
          <t>Functional</t>
        </is>
      </c>
      <c r="G376" t="inlineStr">
        <is>
          <t>Functional</t>
        </is>
      </c>
      <c r="H376" t="inlineStr"/>
      <c r="I376" t="inlineStr"/>
      <c r="J376" t="inlineStr">
        <is>
          <t>Talent Management</t>
        </is>
      </c>
      <c r="K376" t="inlineStr">
        <is>
          <t>N</t>
        </is>
      </c>
      <c r="L376" t="inlineStr">
        <is>
          <t>Y</t>
        </is>
      </c>
      <c r="M376" t="inlineStr">
        <is>
          <t>N</t>
        </is>
      </c>
      <c r="N376" t="inlineStr">
        <is>
          <t>Action type: Steps to Enable. Your environment must have certain necessary configurations. Ask your help desk to contact Oracle Support, who can verify what your environment has and address an</t>
        </is>
      </c>
      <c r="O376" t="inlineStr">
        <is>
          <t>Low</t>
        </is>
      </c>
      <c r="P376" t="inlineStr">
        <is>
          <t>2025-06-20</t>
        </is>
      </c>
      <c r="Q376" t="inlineStr">
        <is>
          <t>Oracle Fusion 26C Readiness — Talent Management</t>
        </is>
      </c>
      <c r="R376" t="inlineStr"/>
    </row>
    <row r="377">
      <c r="A377" t="inlineStr">
        <is>
          <t>CHG_IMP_0352</t>
        </is>
      </c>
      <c r="B377" t="inlineStr">
        <is>
          <t>REL_26C</t>
        </is>
      </c>
      <c r="C377" t="inlineStr">
        <is>
          <t>Attestations display in Time Entries</t>
        </is>
      </c>
      <c r="D377" t="inlineStr">
        <is>
          <t>Attestations display in Time Entries. Module: Time and Labor. Release: 26C. The Time Entries page now includes an Attestations filter.
Time entries page displaying attestations filter.
Time managers can use this filter to find time entries based on attestation status. From the time entry details drawer, they can review attestation information such as the creation date, su</t>
        </is>
      </c>
      <c r="E377" t="inlineStr">
        <is>
          <t>Time and Labor</t>
        </is>
      </c>
      <c r="F377" t="inlineStr">
        <is>
          <t>Functional</t>
        </is>
      </c>
      <c r="G377" t="inlineStr">
        <is>
          <t>Functional</t>
        </is>
      </c>
      <c r="H377" t="inlineStr"/>
      <c r="I377" t="inlineStr"/>
      <c r="J377" t="inlineStr">
        <is>
          <t>Time and Labor</t>
        </is>
      </c>
      <c r="K377" t="inlineStr">
        <is>
          <t>N</t>
        </is>
      </c>
      <c r="L377" t="inlineStr">
        <is>
          <t>Y</t>
        </is>
      </c>
      <c r="M377" t="inlineStr">
        <is>
          <t>N</t>
        </is>
      </c>
      <c r="N377" t="inlineStr">
        <is>
          <t>Action type: Steps to Enable. None</t>
        </is>
      </c>
      <c r="O377" t="inlineStr">
        <is>
          <t>High</t>
        </is>
      </c>
      <c r="P377" t="inlineStr">
        <is>
          <t>2025-06-20</t>
        </is>
      </c>
      <c r="Q377" t="inlineStr">
        <is>
          <t>Oracle Fusion 26C Readiness — Time and Labor</t>
        </is>
      </c>
      <c r="R377" t="inlineStr"/>
    </row>
    <row r="378">
      <c r="A378" t="inlineStr">
        <is>
          <t>CHG_IMP_0353</t>
        </is>
      </c>
      <c r="B378" t="inlineStr">
        <is>
          <t>REL_26C</t>
        </is>
      </c>
      <c r="C378" t="inlineStr">
        <is>
          <t>New Redwood Time Profiles</t>
        </is>
      </c>
      <c r="D378" t="inlineStr">
        <is>
          <t>New Redwood Time Profiles. Module: Time and Labor. Release: 26C. Time and Labor administrators now have a consolidated Time Profile page in Redwood. The page brings together the three legacy profile types: Time Entry, Time Processing, and Time Device. With the new page administrators can:
• View existing legacy profiles and create, save, submit, and manage new R</t>
        </is>
      </c>
      <c r="E378" t="inlineStr">
        <is>
          <t>Time and Labor</t>
        </is>
      </c>
      <c r="F378" t="inlineStr">
        <is>
          <t>Functional</t>
        </is>
      </c>
      <c r="G378" t="inlineStr">
        <is>
          <t>Functional</t>
        </is>
      </c>
      <c r="H378" t="inlineStr"/>
      <c r="I378" t="inlineStr"/>
      <c r="J378" t="inlineStr">
        <is>
          <t>Time and Labor</t>
        </is>
      </c>
      <c r="K378" t="inlineStr">
        <is>
          <t>N</t>
        </is>
      </c>
      <c r="L378" t="inlineStr">
        <is>
          <t>Y</t>
        </is>
      </c>
      <c r="M378" t="inlineStr">
        <is>
          <t>N</t>
        </is>
      </c>
      <c r="N378" t="inlineStr">
        <is>
          <t>Action type: Steps to Enable. • Set the ORA_HXT_ENABLE_TIME_PROFILE administrator profile option to “Yes”. The delivered default is “No”. • Confirm that administrators have the required Time and Labor</t>
        </is>
      </c>
      <c r="O378" t="inlineStr">
        <is>
          <t>High</t>
        </is>
      </c>
      <c r="P378" t="inlineStr">
        <is>
          <t>2025-06-20</t>
        </is>
      </c>
      <c r="Q378" t="inlineStr">
        <is>
          <t>Oracle Fusion 26C Readiness — Time and Labor</t>
        </is>
      </c>
      <c r="R378" t="inlineStr"/>
    </row>
    <row r="379">
      <c r="A379" t="inlineStr">
        <is>
          <t>CHG_IMP_0354</t>
        </is>
      </c>
      <c r="B379" t="inlineStr">
        <is>
          <t>REL_26C</t>
        </is>
      </c>
      <c r="C379" t="inlineStr">
        <is>
          <t>New Worker Time Card Approval</t>
        </is>
      </c>
      <c r="D379" t="inlineStr">
        <is>
          <t>New Worker Time Card Approval. Module: Time and Labor. Release: 26C. Enable worker's approval (or acceptance) of time cards submitted on their behalf. These timecards may be submitted by their managers or a time submission rule or the Mass Submit time cards process.
When worker approval is enabled, their approval becomes the first step in the time card approval flow Opt-in required: true.</t>
        </is>
      </c>
      <c r="E379" t="inlineStr">
        <is>
          <t>Time and Labor</t>
        </is>
      </c>
      <c r="F379" t="inlineStr">
        <is>
          <t>Functional</t>
        </is>
      </c>
      <c r="G379" t="inlineStr">
        <is>
          <t>Functional</t>
        </is>
      </c>
      <c r="H379" t="inlineStr"/>
      <c r="I379" t="inlineStr"/>
      <c r="J379" t="inlineStr">
        <is>
          <t>Time and Labor</t>
        </is>
      </c>
      <c r="K379" t="inlineStr">
        <is>
          <t>N</t>
        </is>
      </c>
      <c r="L379" t="inlineStr">
        <is>
          <t>Y</t>
        </is>
      </c>
      <c r="M379" t="inlineStr">
        <is>
          <t>N</t>
        </is>
      </c>
      <c r="N379" t="inlineStr">
        <is>
          <t>Action type: Steps to Enable. Use the Opt In UI to enable this feature. For instructions, refer to the Optional Uptake of New Features section of this document. Offering: *Workforce Deployment* To ena</t>
        </is>
      </c>
      <c r="O379" t="inlineStr">
        <is>
          <t>High</t>
        </is>
      </c>
      <c r="P379" t="inlineStr">
        <is>
          <t>2025-06-20</t>
        </is>
      </c>
      <c r="Q379" t="inlineStr">
        <is>
          <t>Oracle Fusion 26C Readiness — Time and Labor</t>
        </is>
      </c>
      <c r="R379" t="inlineStr"/>
    </row>
    <row r="380">
      <c r="A380" t="inlineStr">
        <is>
          <t>CHG_IMP_0355</t>
        </is>
      </c>
      <c r="B380" t="inlineStr">
        <is>
          <t>REL_26C</t>
        </is>
      </c>
      <c r="C380" t="inlineStr">
        <is>
          <t>Redwood Time Card Enhancements</t>
        </is>
      </c>
      <c r="D380" t="inlineStr">
        <is>
          <t>Redwood Time Card Enhancements. Module: Time and Labor. Release: 26C. **Support of Entries Ending at Midnight Without Midnight Crossing Option Enabled**
Users can enter time entries that end exactly at midnight even when the **Enable time to span midnight** layout option is disabled, enabling workers to enter time until midnight (without crossing midnight). Entries s</t>
        </is>
      </c>
      <c r="E380" t="inlineStr">
        <is>
          <t>Time and Labor</t>
        </is>
      </c>
      <c r="F380" t="inlineStr">
        <is>
          <t>Functional</t>
        </is>
      </c>
      <c r="G380" t="inlineStr">
        <is>
          <t>Functional</t>
        </is>
      </c>
      <c r="H380" t="inlineStr"/>
      <c r="I380" t="inlineStr"/>
      <c r="J380" t="inlineStr">
        <is>
          <t>Time and Labor</t>
        </is>
      </c>
      <c r="K380" t="inlineStr">
        <is>
          <t>N</t>
        </is>
      </c>
      <c r="L380" t="inlineStr">
        <is>
          <t>N</t>
        </is>
      </c>
      <c r="M380" t="inlineStr">
        <is>
          <t>N</t>
        </is>
      </c>
      <c r="N380" t="inlineStr">
        <is>
          <t>Auto-enabled — no action required</t>
        </is>
      </c>
      <c r="O380" t="inlineStr">
        <is>
          <t>Low</t>
        </is>
      </c>
      <c r="P380" t="inlineStr">
        <is>
          <t>2025-06-20</t>
        </is>
      </c>
      <c r="Q380" t="inlineStr">
        <is>
          <t>Oracle Fusion 26C Readiness — Time and Labor</t>
        </is>
      </c>
      <c r="R380" t="inlineStr"/>
    </row>
    <row r="381">
      <c r="A381" t="inlineStr">
        <is>
          <t>CHG_IMP_0356</t>
        </is>
      </c>
      <c r="B381" t="inlineStr">
        <is>
          <t>REL_26C</t>
        </is>
      </c>
      <c r="C381" t="inlineStr">
        <is>
          <t>Team Schedule Enhancements</t>
        </is>
      </c>
      <c r="D381" t="inlineStr">
        <is>
          <t>Team Schedule Enhancements. Module: Time and Labor. Release: 26C. Work schedule shifts are now synchronized and surfaced in Redwood Team Schedule. These shifts are derived from Standard Work Schedules, also known as Classic HR Work Schedules.
Load initial data for the provided date range by running the **Load Schedule Patterns** process. The scheduled process sup</t>
        </is>
      </c>
      <c r="E381" t="inlineStr">
        <is>
          <t>Time and Labor</t>
        </is>
      </c>
      <c r="F381" t="inlineStr">
        <is>
          <t>Functional</t>
        </is>
      </c>
      <c r="G381" t="inlineStr">
        <is>
          <t>Functional</t>
        </is>
      </c>
      <c r="H381" t="inlineStr"/>
      <c r="I381" t="inlineStr"/>
      <c r="J381" t="inlineStr">
        <is>
          <t>Time and Labor</t>
        </is>
      </c>
      <c r="K381" t="inlineStr">
        <is>
          <t>N</t>
        </is>
      </c>
      <c r="L381" t="inlineStr">
        <is>
          <t>Y</t>
        </is>
      </c>
      <c r="M381" t="inlineStr">
        <is>
          <t>N</t>
        </is>
      </c>
      <c r="N381" t="inlineStr">
        <is>
          <t>Action type: Steps to Enable. 1. Sign in with a HCM Admin role. 2. Open **Scheduled Processes**. 3. Select the **Load Schedule Patterns** process. 4. Enter the required parameters: **Start Date** **En</t>
        </is>
      </c>
      <c r="O381" t="inlineStr">
        <is>
          <t>High</t>
        </is>
      </c>
      <c r="P381" t="inlineStr">
        <is>
          <t>2025-06-20</t>
        </is>
      </c>
      <c r="Q381" t="inlineStr">
        <is>
          <t>Oracle Fusion 26C Readiness — Time and Labor</t>
        </is>
      </c>
      <c r="R381" t="inlineStr"/>
    </row>
    <row r="382">
      <c r="A382" t="inlineStr">
        <is>
          <t>CHG_IMP_0357</t>
        </is>
      </c>
      <c r="B382" t="inlineStr">
        <is>
          <t>REL_26C</t>
        </is>
      </c>
      <c r="C382" t="inlineStr">
        <is>
          <t>Time Card Access for Payroll Processing</t>
        </is>
      </c>
      <c r="D382" t="inlineStr">
        <is>
          <t>Time Card Access for Payroll Processing. Module: Time and Labor. Release: 26C. Payroll and time administrators can use the Time Card Access Management for Payroll flow to lock or unlock time cards for a selected payroll and payroll period.
Navigate to My Client Groups &gt; Payroll &gt; Submit a flow. Select the legislative data group.
View details drawer displays the attestations</t>
        </is>
      </c>
      <c r="E382" t="inlineStr">
        <is>
          <t>Time and Labor</t>
        </is>
      </c>
      <c r="F382" t="inlineStr">
        <is>
          <t>Functional</t>
        </is>
      </c>
      <c r="G382" t="inlineStr">
        <is>
          <t>Functional</t>
        </is>
      </c>
      <c r="H382" t="inlineStr"/>
      <c r="I382" t="inlineStr"/>
      <c r="J382" t="inlineStr">
        <is>
          <t>Time and Labor</t>
        </is>
      </c>
      <c r="K382" t="inlineStr">
        <is>
          <t>N</t>
        </is>
      </c>
      <c r="L382" t="inlineStr">
        <is>
          <t>Y</t>
        </is>
      </c>
      <c r="M382" t="inlineStr">
        <is>
          <t>N</t>
        </is>
      </c>
      <c r="N382" t="inlineStr">
        <is>
          <t>Action type: Steps to Enable. None</t>
        </is>
      </c>
      <c r="O382" t="inlineStr">
        <is>
          <t>High</t>
        </is>
      </c>
      <c r="P382" t="inlineStr">
        <is>
          <t>2025-06-20</t>
        </is>
      </c>
      <c r="Q382" t="inlineStr">
        <is>
          <t>Oracle Fusion 26C Readiness — Time and Labor</t>
        </is>
      </c>
      <c r="R382" t="inlineStr"/>
    </row>
    <row r="383">
      <c r="A383" t="inlineStr">
        <is>
          <t>CHG_IMP_0358</t>
        </is>
      </c>
      <c r="B383" t="inlineStr">
        <is>
          <t>REL_26C</t>
        </is>
      </c>
      <c r="C383" t="inlineStr">
        <is>
          <t>Time Card Approval Enhancements</t>
        </is>
      </c>
      <c r="D383" t="inlineStr">
        <is>
          <t>Time Card Approval Enhancements. Module: Time and Labor. Release: 26C. **Mass Approve Time Cards Enhancement**
Mass approval from the Redwood **Team Time Cards** page is now processed inline, when managers select and approve one or several time cards for approval. An in-progress indicator still appears in the status column during processing, with the final status refl</t>
        </is>
      </c>
      <c r="E383" t="inlineStr">
        <is>
          <t>Time and Labor</t>
        </is>
      </c>
      <c r="F383" t="inlineStr">
        <is>
          <t>Functional</t>
        </is>
      </c>
      <c r="G383" t="inlineStr">
        <is>
          <t>Functional</t>
        </is>
      </c>
      <c r="H383" t="inlineStr"/>
      <c r="I383" t="inlineStr"/>
      <c r="J383" t="inlineStr">
        <is>
          <t>Time and Labor</t>
        </is>
      </c>
      <c r="K383" t="inlineStr">
        <is>
          <t>N</t>
        </is>
      </c>
      <c r="L383" t="inlineStr">
        <is>
          <t>N</t>
        </is>
      </c>
      <c r="M383" t="inlineStr">
        <is>
          <t>N</t>
        </is>
      </c>
      <c r="N383" t="inlineStr">
        <is>
          <t>Auto-enabled — no action required</t>
        </is>
      </c>
      <c r="O383" t="inlineStr">
        <is>
          <t>Low</t>
        </is>
      </c>
      <c r="P383" t="inlineStr">
        <is>
          <t>2025-06-20</t>
        </is>
      </c>
      <c r="Q383" t="inlineStr">
        <is>
          <t>Oracle Fusion 26C Readiness — Time and Labor</t>
        </is>
      </c>
      <c r="R383" t="inlineStr"/>
    </row>
    <row r="384">
      <c r="A384" t="inlineStr">
        <is>
          <t>CHG_IMP_0359</t>
        </is>
      </c>
      <c r="B384" t="inlineStr">
        <is>
          <t>REL_26C</t>
        </is>
      </c>
      <c r="C384" t="inlineStr">
        <is>
          <t>Time Change Request enhancements</t>
        </is>
      </c>
      <c r="D384" t="inlineStr">
        <is>
          <t>Time Change Request enhancements. Module: Time and Labor. Release: 26C. Time change requests now include request-level Comments that apply to the request as a whole. Time entry comments remain separate and are labeled Time Entry Comment.
Request comments appear in the approval notification and approval UI.
Employee Time Change Requests and Team Change Requests include</t>
        </is>
      </c>
      <c r="E384" t="inlineStr">
        <is>
          <t>Time and Labor</t>
        </is>
      </c>
      <c r="F384" t="inlineStr">
        <is>
          <t>Functional</t>
        </is>
      </c>
      <c r="G384" t="inlineStr">
        <is>
          <t>Functional</t>
        </is>
      </c>
      <c r="H384" t="inlineStr"/>
      <c r="I384" t="inlineStr"/>
      <c r="J384" t="inlineStr">
        <is>
          <t>Time and Labor</t>
        </is>
      </c>
      <c r="K384" t="inlineStr">
        <is>
          <t>N</t>
        </is>
      </c>
      <c r="L384" t="inlineStr">
        <is>
          <t>Y</t>
        </is>
      </c>
      <c r="M384" t="inlineStr">
        <is>
          <t>N</t>
        </is>
      </c>
      <c r="N384" t="inlineStr">
        <is>
          <t>Action type: Steps to Enable. None</t>
        </is>
      </c>
      <c r="O384" t="inlineStr">
        <is>
          <t>High</t>
        </is>
      </c>
      <c r="P384" t="inlineStr">
        <is>
          <t>2025-06-20</t>
        </is>
      </c>
      <c r="Q384" t="inlineStr">
        <is>
          <t>Oracle Fusion 26C Readiness — Time and Labor</t>
        </is>
      </c>
      <c r="R384" t="inlineStr"/>
    </row>
    <row r="385">
      <c r="A385" t="inlineStr">
        <is>
          <t>CHG_IMP_0360</t>
        </is>
      </c>
      <c r="B385" t="inlineStr">
        <is>
          <t>REL_26C</t>
        </is>
      </c>
      <c r="C385" t="inlineStr">
        <is>
          <t>Redwood Experience for Corporate Citizenship</t>
        </is>
      </c>
      <c r="D385" t="inlineStr">
        <is>
          <t>Redwood Experience for Corporate Citizenship. Module: Work Life. Release: 26C. The Redwood experience for Corporate Citizenship concentrates on the Volunteering flows that matter most during rollout. The employee experience uses guided steps and action-focused pages so users can sign up, find relevant opportunities, and stay engaged after they join or create a project. The adm</t>
        </is>
      </c>
      <c r="E385" t="inlineStr">
        <is>
          <t>Work Life</t>
        </is>
      </c>
      <c r="F385" t="inlineStr">
        <is>
          <t>Functional</t>
        </is>
      </c>
      <c r="G385" t="inlineStr">
        <is>
          <t>Functional</t>
        </is>
      </c>
      <c r="H385" t="inlineStr"/>
      <c r="I385" t="inlineStr"/>
      <c r="J385" t="inlineStr">
        <is>
          <t>Work Life</t>
        </is>
      </c>
      <c r="K385" t="inlineStr">
        <is>
          <t>N</t>
        </is>
      </c>
      <c r="L385" t="inlineStr">
        <is>
          <t>Y</t>
        </is>
      </c>
      <c r="M385" t="inlineStr">
        <is>
          <t>N</t>
        </is>
      </c>
      <c r="N385" t="inlineStr">
        <is>
          <t>Action type: Steps to Enable. • Provision employee and administrator access to Corporate Citizenship. Use predefined roles where possible, and for custom roles map the privileges required for Voluntee</t>
        </is>
      </c>
      <c r="O385" t="inlineStr">
        <is>
          <t>Low</t>
        </is>
      </c>
      <c r="P385" t="inlineStr">
        <is>
          <t>2025-06-20</t>
        </is>
      </c>
      <c r="Q385" t="inlineStr">
        <is>
          <t>Oracle Fusion 26C Readiness — Work Life</t>
        </is>
      </c>
      <c r="R385" t="inlineStr"/>
    </row>
    <row r="386">
      <c r="A386" t="inlineStr">
        <is>
          <t>CHG_IMP_0361</t>
        </is>
      </c>
      <c r="B386" t="inlineStr">
        <is>
          <t>REL_26C</t>
        </is>
      </c>
      <c r="C386" t="inlineStr">
        <is>
          <t>AI Agentic App: Workforce Operations Command Center</t>
        </is>
      </c>
      <c r="D386" t="inlineStr">
        <is>
          <t>AI Agentic App: Workforce Operations Command Center. Module: Workforce Scheduling. Release: 26C. Use Workforce Operations Command Center, an AI-powered agentic app, to quickly review and act on urgent workforce issues across scheduling, absences, and time cards. It’s a system of outcomes where an orchestrator coordinates specialist workforce agents to continuously reason over real-time operatio</t>
        </is>
      </c>
      <c r="E386" t="inlineStr">
        <is>
          <t>Workforce Scheduling</t>
        </is>
      </c>
      <c r="F386" t="inlineStr">
        <is>
          <t>AI Feature</t>
        </is>
      </c>
      <c r="G386" t="inlineStr">
        <is>
          <t>AI Feature</t>
        </is>
      </c>
      <c r="H386" t="inlineStr"/>
      <c r="I386" t="inlineStr"/>
      <c r="J386" t="inlineStr">
        <is>
          <t>Workforce Scheduling</t>
        </is>
      </c>
      <c r="K386" t="inlineStr">
        <is>
          <t>N</t>
        </is>
      </c>
      <c r="L386" t="inlineStr">
        <is>
          <t>N</t>
        </is>
      </c>
      <c r="M386" t="inlineStr">
        <is>
          <t>N</t>
        </is>
      </c>
      <c r="N386" t="inlineStr">
        <is>
          <t>Auto-enabled — no action required</t>
        </is>
      </c>
      <c r="O386" t="inlineStr">
        <is>
          <t>Low</t>
        </is>
      </c>
      <c r="P386" t="inlineStr">
        <is>
          <t>2025-06-20</t>
        </is>
      </c>
      <c r="Q386" t="inlineStr">
        <is>
          <t>Oracle Fusion 26C Readiness — Workforce Scheduling</t>
        </is>
      </c>
      <c r="R386" t="inlineStr"/>
    </row>
    <row r="387">
      <c r="A387" t="inlineStr">
        <is>
          <t>CHG_IMP_0362</t>
        </is>
      </c>
      <c r="B387" t="inlineStr">
        <is>
          <t>REL_26C</t>
        </is>
      </c>
      <c r="C387" t="inlineStr">
        <is>
          <t>Break Management for Scheduled Shifts</t>
        </is>
      </c>
      <c r="D387" t="inlineStr">
        <is>
          <t>Break Management for Scheduled Shifts. Module: Workforce Scheduling. Release: 26C. Schedule managers can view and manage paid and unpaid break start and end times on assigned scheduled shifts. Existing paid and unpaid break duration fields remain available, while detailed break records capture when each break starts and ends.
Open shifts don’t have detailed break start and end ti</t>
        </is>
      </c>
      <c r="E387" t="inlineStr">
        <is>
          <t>Workforce Scheduling</t>
        </is>
      </c>
      <c r="F387" t="inlineStr">
        <is>
          <t>Functional</t>
        </is>
      </c>
      <c r="G387" t="inlineStr">
        <is>
          <t>Functional</t>
        </is>
      </c>
      <c r="H387" t="inlineStr"/>
      <c r="I387" t="inlineStr"/>
      <c r="J387" t="inlineStr">
        <is>
          <t>Workforce Scheduling</t>
        </is>
      </c>
      <c r="K387" t="inlineStr">
        <is>
          <t>N</t>
        </is>
      </c>
      <c r="L387" t="inlineStr">
        <is>
          <t>N</t>
        </is>
      </c>
      <c r="M387" t="inlineStr">
        <is>
          <t>N</t>
        </is>
      </c>
      <c r="N387" t="inlineStr">
        <is>
          <t>Auto-enabled — no action required</t>
        </is>
      </c>
      <c r="O387" t="inlineStr">
        <is>
          <t>Low</t>
        </is>
      </c>
      <c r="P387" t="inlineStr">
        <is>
          <t>2025-06-20</t>
        </is>
      </c>
      <c r="Q387" t="inlineStr">
        <is>
          <t>Oracle Fusion 26C Readiness — Workforce Scheduling</t>
        </is>
      </c>
      <c r="R387" t="inlineStr"/>
    </row>
    <row r="388">
      <c r="A388" t="inlineStr">
        <is>
          <t>CHG_IMP_0363</t>
        </is>
      </c>
      <c r="B388" t="inlineStr">
        <is>
          <t>REL_26C</t>
        </is>
      </c>
      <c r="C388" t="inlineStr">
        <is>
          <t>Build Draft Schedule during Self-Scheduling</t>
        </is>
      </c>
      <c r="D388" t="inlineStr">
        <is>
          <t>Build Draft Schedule during Self-Scheduling. Module: Workforce Scheduling. Release: 26C. Self-scheduling can now start with a draft schedule already built for eligible workers. When a self-scheduling access window opens, the application claims suitable open shifts for workers using the same scheduling rules and conflict checks that apply today.
Workers can review the draft schedule fro</t>
        </is>
      </c>
      <c r="E388" t="inlineStr">
        <is>
          <t>Workforce Scheduling</t>
        </is>
      </c>
      <c r="F388" t="inlineStr">
        <is>
          <t>Functional</t>
        </is>
      </c>
      <c r="G388" t="inlineStr">
        <is>
          <t>Functional</t>
        </is>
      </c>
      <c r="H388" t="inlineStr"/>
      <c r="I388" t="inlineStr"/>
      <c r="J388" t="inlineStr">
        <is>
          <t>Workforce Scheduling</t>
        </is>
      </c>
      <c r="K388" t="inlineStr">
        <is>
          <t>N</t>
        </is>
      </c>
      <c r="L388" t="inlineStr">
        <is>
          <t>Y</t>
        </is>
      </c>
      <c r="M388" t="inlineStr">
        <is>
          <t>N</t>
        </is>
      </c>
      <c r="N388" t="inlineStr">
        <is>
          <t>Action type: Steps to Enable. • In the **Scheduling Windows** section of the Schedule Generation Profile, select **Build draft schedule during self-scheduling** for the profiles that should automatica</t>
        </is>
      </c>
      <c r="O388" t="inlineStr">
        <is>
          <t>High</t>
        </is>
      </c>
      <c r="P388" t="inlineStr">
        <is>
          <t>2025-06-20</t>
        </is>
      </c>
      <c r="Q388" t="inlineStr">
        <is>
          <t>Oracle Fusion 26C Readiness — Workforce Scheduling</t>
        </is>
      </c>
      <c r="R388" t="inlineStr"/>
    </row>
    <row r="389">
      <c r="A389" t="inlineStr">
        <is>
          <t>CHG_IMP_0364</t>
        </is>
      </c>
      <c r="B389" t="inlineStr">
        <is>
          <t>REL_26C</t>
        </is>
      </c>
      <c r="C389" t="inlineStr">
        <is>
          <t>Calendar Usability Improvements</t>
        </is>
      </c>
      <c r="D389" t="inlineStr">
        <is>
          <t>Calendar Usability Improvements. Module: Workforce Scheduling. Release: 26C. The worker calendar includes several usability improvements that help workers understand their schedules more quickly. Multi-day absences display more consistently, shifts with notes are easier to identify, and configurable tool-tips can show the most relevant details.
Administrators can also confi</t>
        </is>
      </c>
      <c r="E389" t="inlineStr">
        <is>
          <t>Workforce Scheduling</t>
        </is>
      </c>
      <c r="F389" t="inlineStr">
        <is>
          <t>Functional</t>
        </is>
      </c>
      <c r="G389" t="inlineStr">
        <is>
          <t>Functional</t>
        </is>
      </c>
      <c r="H389" t="inlineStr"/>
      <c r="I389" t="inlineStr"/>
      <c r="J389" t="inlineStr">
        <is>
          <t>Workforce Scheduling</t>
        </is>
      </c>
      <c r="K389" t="inlineStr">
        <is>
          <t>N</t>
        </is>
      </c>
      <c r="L389" t="inlineStr">
        <is>
          <t>Y</t>
        </is>
      </c>
      <c r="M389" t="inlineStr">
        <is>
          <t>N</t>
        </is>
      </c>
      <c r="N389" t="inlineStr">
        <is>
          <t>Action type: Steps to Enable. The calendar improvements work with the delivered defaults, so no setup is required to start using them. To tailor the calendar to your workforce, administrators can conf</t>
        </is>
      </c>
      <c r="O389" t="inlineStr">
        <is>
          <t>High</t>
        </is>
      </c>
      <c r="P389" t="inlineStr">
        <is>
          <t>2025-06-20</t>
        </is>
      </c>
      <c r="Q389" t="inlineStr">
        <is>
          <t>Oracle Fusion 26C Readiness — Workforce Scheduling</t>
        </is>
      </c>
      <c r="R389" t="inlineStr"/>
    </row>
    <row r="390">
      <c r="A390" t="inlineStr">
        <is>
          <t>CHG_IMP_0365</t>
        </is>
      </c>
      <c r="B390" t="inlineStr">
        <is>
          <t>REL_26C</t>
        </is>
      </c>
      <c r="C390" t="inlineStr">
        <is>
          <t>Configurable Weekend Duration in Schedule Generation Profiles</t>
        </is>
      </c>
      <c r="D390" t="inlineStr">
        <is>
          <t>Configurable Weekend Duration in Schedule Generation Profiles. Module: Workforce Scheduling. Release: 26C. Administrators can define the weekend on a schedule generation profile as a single day, 2 consecutive days, or 3 consecutive days.
When a single-day weekend is configured, weekend rules use only that day. Weekend-worked counts and weekend-hours calculations also count only the configured wee</t>
        </is>
      </c>
      <c r="E390" t="inlineStr">
        <is>
          <t>Workforce Scheduling</t>
        </is>
      </c>
      <c r="F390" t="inlineStr">
        <is>
          <t>Functional</t>
        </is>
      </c>
      <c r="G390" t="inlineStr">
        <is>
          <t>Functional</t>
        </is>
      </c>
      <c r="H390" t="inlineStr"/>
      <c r="I390" t="inlineStr"/>
      <c r="J390" t="inlineStr">
        <is>
          <t>Workforce Scheduling</t>
        </is>
      </c>
      <c r="K390" t="inlineStr">
        <is>
          <t>N</t>
        </is>
      </c>
      <c r="L390" t="inlineStr">
        <is>
          <t>Y</t>
        </is>
      </c>
      <c r="M390" t="inlineStr">
        <is>
          <t>N</t>
        </is>
      </c>
      <c r="N390" t="inlineStr">
        <is>
          <t>Action type: Steps to Enable. This feature is ready to use. To use a single-day weekend: 1. Create or edit a schedule generation profile. 2. Open the **Schedule Plan** tab. 3. Define t</t>
        </is>
      </c>
      <c r="O390" t="inlineStr">
        <is>
          <t>High</t>
        </is>
      </c>
      <c r="P390" t="inlineStr">
        <is>
          <t>2025-06-20</t>
        </is>
      </c>
      <c r="Q390" t="inlineStr">
        <is>
          <t>Oracle Fusion 26C Readiness — Workforce Scheduling</t>
        </is>
      </c>
      <c r="R390" t="inlineStr"/>
    </row>
    <row r="391">
      <c r="A391" t="inlineStr">
        <is>
          <t>CHG_IMP_0366</t>
        </is>
      </c>
      <c r="B391" t="inlineStr">
        <is>
          <t>REL_26C</t>
        </is>
      </c>
      <c r="C391" t="inlineStr">
        <is>
          <t>Descriptive Flexfield support for Schedule Shift Actions</t>
        </is>
      </c>
      <c r="D391" t="inlineStr">
        <is>
          <t>Descriptive Flexfield support for Schedule Shift Actions. Module: Workforce Scheduling. Release: 26C. In 26B, schedule shift DFF support let organizations configure global DFF segments for workload plans and shifts, copy DFF values from workload plans to generated shifts, and display shift-specific details in read-only worker-facing shift details.
In 26C, Workforce Scheduling expands that support</t>
        </is>
      </c>
      <c r="E391" t="inlineStr">
        <is>
          <t>Workforce Scheduling</t>
        </is>
      </c>
      <c r="F391" t="inlineStr">
        <is>
          <t>Functional</t>
        </is>
      </c>
      <c r="G391" t="inlineStr">
        <is>
          <t>Functional</t>
        </is>
      </c>
      <c r="H391" t="inlineStr"/>
      <c r="I391" t="inlineStr"/>
      <c r="J391" t="inlineStr">
        <is>
          <t>Workforce Scheduling</t>
        </is>
      </c>
      <c r="K391" t="inlineStr">
        <is>
          <t>N</t>
        </is>
      </c>
      <c r="L391" t="inlineStr">
        <is>
          <t>Y</t>
        </is>
      </c>
      <c r="M391" t="inlineStr">
        <is>
          <t>N</t>
        </is>
      </c>
      <c r="N391" t="inlineStr">
        <is>
          <t>Action type: Steps to Enable. No additional security is required for this release. Confirm that schedule shift DFF segments are configured and deployed if your organization wants to use DFF</t>
        </is>
      </c>
      <c r="O391" t="inlineStr">
        <is>
          <t>High</t>
        </is>
      </c>
      <c r="P391" t="inlineStr">
        <is>
          <t>2025-06-20</t>
        </is>
      </c>
      <c r="Q391" t="inlineStr">
        <is>
          <t>Oracle Fusion 26C Readiness — Workforce Scheduling</t>
        </is>
      </c>
      <c r="R391" t="inlineStr"/>
    </row>
    <row r="392">
      <c r="A392" t="inlineStr">
        <is>
          <t>CHG_IMP_0367</t>
        </is>
      </c>
      <c r="B392" t="inlineStr">
        <is>
          <t>REL_26C</t>
        </is>
      </c>
      <c r="C392" t="inlineStr">
        <is>
          <t>Dynamic Staffing Grid calculations</t>
        </is>
      </c>
      <c r="D392" t="inlineStr">
        <is>
          <t>Dynamic Staffing Grid calculations. Module: Workforce Scheduling. Release: 26C. Administrators can now configure staffing grids to calculate requirements dynamically instead of relying on precomputed matrix lookups. Schedule administrators and managers can now select a Dynamic grid configuration for staffing grids so staffing requirements are calculated dynamically at schedule</t>
        </is>
      </c>
      <c r="E392" t="inlineStr">
        <is>
          <t>Workforce Scheduling</t>
        </is>
      </c>
      <c r="F392" t="inlineStr">
        <is>
          <t>Functional</t>
        </is>
      </c>
      <c r="G392" t="inlineStr">
        <is>
          <t>Functional</t>
        </is>
      </c>
      <c r="H392" t="inlineStr"/>
      <c r="I392" t="inlineStr"/>
      <c r="J392" t="inlineStr">
        <is>
          <t>Workforce Scheduling</t>
        </is>
      </c>
      <c r="K392" t="inlineStr">
        <is>
          <t>N</t>
        </is>
      </c>
      <c r="L392" t="inlineStr">
        <is>
          <t>N</t>
        </is>
      </c>
      <c r="M392" t="inlineStr">
        <is>
          <t>N</t>
        </is>
      </c>
      <c r="N392" t="inlineStr">
        <is>
          <t>Auto-enabled — no action required</t>
        </is>
      </c>
      <c r="O392" t="inlineStr">
        <is>
          <t>Low</t>
        </is>
      </c>
      <c r="P392" t="inlineStr">
        <is>
          <t>2025-06-20</t>
        </is>
      </c>
      <c r="Q392" t="inlineStr">
        <is>
          <t>Oracle Fusion 26C Readiness — Workforce Scheduling</t>
        </is>
      </c>
      <c r="R392" t="inlineStr"/>
    </row>
    <row r="393">
      <c r="A393" t="inlineStr">
        <is>
          <t>CHG_IMP_0368</t>
        </is>
      </c>
      <c r="B393" t="inlineStr">
        <is>
          <t>REL_26C</t>
        </is>
      </c>
      <c r="C393" t="inlineStr">
        <is>
          <t>Fairness Rules and Coverage Priority for Schedule Generation</t>
        </is>
      </c>
      <c r="D393" t="inlineStr">
        <is>
          <t>Fairness Rules and Coverage Priority for Schedule Generation. Module: Workforce Scheduling. Release: 26C. Administrators can define fairness rules in scheduling rule sets to help distribute selected shift occurrences more equitably across eligible workers. A fairness rule can be based on shift type family, shift type, or shift category, and can apply over a week or schedule period.
Schedule gener</t>
        </is>
      </c>
      <c r="E393" t="inlineStr">
        <is>
          <t>Workforce Scheduling</t>
        </is>
      </c>
      <c r="F393" t="inlineStr">
        <is>
          <t>Functional</t>
        </is>
      </c>
      <c r="G393" t="inlineStr">
        <is>
          <t>Functional</t>
        </is>
      </c>
      <c r="H393" t="inlineStr"/>
      <c r="I393" t="inlineStr"/>
      <c r="J393" t="inlineStr">
        <is>
          <t>Workforce Scheduling</t>
        </is>
      </c>
      <c r="K393" t="inlineStr">
        <is>
          <t>N</t>
        </is>
      </c>
      <c r="L393" t="inlineStr">
        <is>
          <t>Y</t>
        </is>
      </c>
      <c r="M393" t="inlineStr">
        <is>
          <t>N</t>
        </is>
      </c>
      <c r="N393" t="inlineStr">
        <is>
          <t>Action type: Steps to Enable. To configure fairness rules: 1. Create or update a Workforce Management rule set for scheduling. 2. Add one or more fairness rules. 3. For each fairness ru</t>
        </is>
      </c>
      <c r="O393" t="inlineStr">
        <is>
          <t>High</t>
        </is>
      </c>
      <c r="P393" t="inlineStr">
        <is>
          <t>2025-06-20</t>
        </is>
      </c>
      <c r="Q393" t="inlineStr">
        <is>
          <t>Oracle Fusion 26C Readiness — Workforce Scheduling</t>
        </is>
      </c>
      <c r="R393" t="inlineStr"/>
    </row>
    <row r="394">
      <c r="A394" t="inlineStr">
        <is>
          <t>CHG_IMP_0369</t>
        </is>
      </c>
      <c r="B394" t="inlineStr">
        <is>
          <t>REL_26C</t>
        </is>
      </c>
      <c r="C394" t="inlineStr">
        <is>
          <t>Flexible Duration Shift Swaps</t>
        </is>
      </c>
      <c r="D394" t="inlineStr">
        <is>
          <t>Flexible Duration Shift Swaps. Module: Workforce Scheduling. Release: 26C. Use flexible duration shift swaps to request swaps with eligible coworkers whose shifts are shorter, longer, or the same duration as the shift you offer. This gives workers more options to resolve schedule conflicts while existing scheduling, qualification, availability, absence, and compliance rule</t>
        </is>
      </c>
      <c r="E394" t="inlineStr">
        <is>
          <t>Workforce Scheduling</t>
        </is>
      </c>
      <c r="F394" t="inlineStr">
        <is>
          <t>Functional</t>
        </is>
      </c>
      <c r="G394" t="inlineStr">
        <is>
          <t>Functional</t>
        </is>
      </c>
      <c r="H394" t="inlineStr"/>
      <c r="I394" t="inlineStr"/>
      <c r="J394" t="inlineStr">
        <is>
          <t>Workforce Scheduling</t>
        </is>
      </c>
      <c r="K394" t="inlineStr">
        <is>
          <t>N</t>
        </is>
      </c>
      <c r="L394" t="inlineStr">
        <is>
          <t>Y</t>
        </is>
      </c>
      <c r="M394" t="inlineStr">
        <is>
          <t>N</t>
        </is>
      </c>
      <c r="N394" t="inlineStr">
        <is>
          <t>Action type: Steps to Enable. 1. Go to the **My Client Groups &gt; Workforce Scheduling &gt;******S**chedule and Shift Options**. 2. Enable the **Flexible Duration Shift Swap** setting. This setting is disa</t>
        </is>
      </c>
      <c r="O394" t="inlineStr">
        <is>
          <t>High</t>
        </is>
      </c>
      <c r="P394" t="inlineStr">
        <is>
          <t>2025-06-20</t>
        </is>
      </c>
      <c r="Q394" t="inlineStr">
        <is>
          <t>Oracle Fusion 26C Readiness — Workforce Scheduling</t>
        </is>
      </c>
      <c r="R394" t="inlineStr"/>
    </row>
    <row r="395">
      <c r="A395" t="inlineStr">
        <is>
          <t>CHG_IMP_0370</t>
        </is>
      </c>
      <c r="B395" t="inlineStr">
        <is>
          <t>REL_26C</t>
        </is>
      </c>
      <c r="C395" t="inlineStr">
        <is>
          <t>Manage Workforce Schedules for Line Manager</t>
        </is>
      </c>
      <c r="D395" t="inlineStr">
        <is>
          <t>Manage Workforce Schedules for Line Manager. Module: Workforce Scheduling. Release: 26C. Line managers can access Workforce Scheduling from **My Team &gt; Team Schedule**with scheduling context carried forward (such as period and team scope), then manage schedules for workers in their hierarchy.
Team Schedule with Navigation to Workforce Schedule
Workforce Schedule action navigates direc</t>
        </is>
      </c>
      <c r="E395" t="inlineStr">
        <is>
          <t>Workforce Scheduling</t>
        </is>
      </c>
      <c r="F395" t="inlineStr">
        <is>
          <t>Functional</t>
        </is>
      </c>
      <c r="G395" t="inlineStr">
        <is>
          <t>Functional</t>
        </is>
      </c>
      <c r="H395" t="inlineStr"/>
      <c r="I395" t="inlineStr"/>
      <c r="J395" t="inlineStr">
        <is>
          <t>Workforce Scheduling</t>
        </is>
      </c>
      <c r="K395" t="inlineStr">
        <is>
          <t>N</t>
        </is>
      </c>
      <c r="L395" t="inlineStr">
        <is>
          <t>Y</t>
        </is>
      </c>
      <c r="M395" t="inlineStr">
        <is>
          <t>N</t>
        </is>
      </c>
      <c r="N395" t="inlineStr">
        <is>
          <t>Action type: Steps to Enable. 1. Assign line managers the required workforce scheduling security role and related privileges. 2. Confirm that line managers can access **My Team &gt; Team Schedule** and u</t>
        </is>
      </c>
      <c r="O395" t="inlineStr">
        <is>
          <t>High</t>
        </is>
      </c>
      <c r="P395" t="inlineStr">
        <is>
          <t>2025-06-20</t>
        </is>
      </c>
      <c r="Q395" t="inlineStr">
        <is>
          <t>Oracle Fusion 26C Readiness — Workforce Scheduling</t>
        </is>
      </c>
      <c r="R395" t="inlineStr"/>
    </row>
    <row r="396">
      <c r="A396" t="inlineStr">
        <is>
          <t>CHG_IMP_0371</t>
        </is>
      </c>
      <c r="B396" t="inlineStr">
        <is>
          <t>REL_26C</t>
        </is>
      </c>
      <c r="C396" t="inlineStr">
        <is>
          <t>Worker Team Schedule View</t>
        </is>
      </c>
      <c r="D396" t="inlineStr">
        <is>
          <t>Worker Team Schedule View. Module: Workforce Scheduling. Release: 26C. Use the Redwood Worker Team Schedule page to review your own schedule and relevant coworker schedules from **Me &gt; Time**. The page gives workers a weekly view of who’s scheduled, who’s absent, and where coworkers are assigned, based on configured staffing departments and schedule visibility rules.</t>
        </is>
      </c>
      <c r="E396" t="inlineStr">
        <is>
          <t>Workforce Scheduling</t>
        </is>
      </c>
      <c r="F396" t="inlineStr">
        <is>
          <t>Functional</t>
        </is>
      </c>
      <c r="G396" t="inlineStr">
        <is>
          <t>Functional</t>
        </is>
      </c>
      <c r="H396" t="inlineStr"/>
      <c r="I396" t="inlineStr"/>
      <c r="J396" t="inlineStr">
        <is>
          <t>Workforce Scheduling</t>
        </is>
      </c>
      <c r="K396" t="inlineStr">
        <is>
          <t>N</t>
        </is>
      </c>
      <c r="L396" t="inlineStr">
        <is>
          <t>Y</t>
        </is>
      </c>
      <c r="M396" t="inlineStr">
        <is>
          <t>N</t>
        </is>
      </c>
      <c r="N396" t="inlineStr">
        <is>
          <t>Action type: Steps to Enable. 1. Grant the *View Team Schedule by Worker* privilege to workers who should access the page. 2. Grant the *View Public Absences for Co-workers* privilege so workers can s</t>
        </is>
      </c>
      <c r="O396" t="inlineStr">
        <is>
          <t>High</t>
        </is>
      </c>
      <c r="P396" t="inlineStr">
        <is>
          <t>2025-06-20</t>
        </is>
      </c>
      <c r="Q396" t="inlineStr">
        <is>
          <t>Oracle Fusion 26C Readiness — Workforce Scheduling</t>
        </is>
      </c>
      <c r="R396" t="inlineStr"/>
    </row>
    <row r="397">
      <c r="A397" t="inlineStr">
        <is>
          <t>CHG_IMP_0372</t>
        </is>
      </c>
      <c r="B397" t="inlineStr">
        <is>
          <t>REL_26C</t>
        </is>
      </c>
      <c r="C397" t="inlineStr">
        <is>
          <t>Workforce Schedule Enhancements</t>
        </is>
      </c>
      <c r="D397" t="inlineStr">
        <is>
          <t>Workforce Schedule Enhancements. Module: Workforce Scheduling. Release: 26C. ### Display shift violation description in shift details
Schedule managers can view violation descriptions directly in the **Shift Details** panel for flagged shifts in the Workforce Schedule Gantt. This helps schedule managers understand and resolve issues while reviewing shifts, without switching</t>
        </is>
      </c>
      <c r="E397" t="inlineStr">
        <is>
          <t>Workforce Scheduling</t>
        </is>
      </c>
      <c r="F397" t="inlineStr">
        <is>
          <t>Functional</t>
        </is>
      </c>
      <c r="G397" t="inlineStr">
        <is>
          <t>Functional</t>
        </is>
      </c>
      <c r="H397" t="inlineStr"/>
      <c r="I397" t="inlineStr"/>
      <c r="J397" t="inlineStr">
        <is>
          <t>Workforce Scheduling</t>
        </is>
      </c>
      <c r="K397" t="inlineStr">
        <is>
          <t>N</t>
        </is>
      </c>
      <c r="L397" t="inlineStr">
        <is>
          <t>N</t>
        </is>
      </c>
      <c r="M397" t="inlineStr">
        <is>
          <t>N</t>
        </is>
      </c>
      <c r="N397" t="inlineStr">
        <is>
          <t>Auto-enabled — no action required</t>
        </is>
      </c>
      <c r="O397" t="inlineStr">
        <is>
          <t>Low</t>
        </is>
      </c>
      <c r="P397" t="inlineStr">
        <is>
          <t>2025-06-20</t>
        </is>
      </c>
      <c r="Q397" t="inlineStr">
        <is>
          <t>Oracle Fusion 26C Readiness — Workforce Scheduling</t>
        </is>
      </c>
      <c r="R397" t="inlineStr"/>
    </row>
    <row r="398">
      <c r="A398" t="inlineStr">
        <is>
          <t>CHG_IMP_0373</t>
        </is>
      </c>
      <c r="B398" t="inlineStr">
        <is>
          <t>REL_26C</t>
        </is>
      </c>
      <c r="C398" t="inlineStr">
        <is>
          <t>Changes in Oracle Fusion Cloud Applications Sign In page</t>
        </is>
      </c>
      <c r="D398" t="inlineStr">
        <is>
          <t>Changes in Oracle Fusion Cloud Applications Sign In page. Module: Common Technologies and User Experience. Release: 26C. Identity and access management for Fusion Applications will be upgraded to Oracle Cloud Infrastructure (OCI) Identity and Access Management if your existing environments aren't already on it. The identity upgrade for your environment family will be scheduled separately, not in t</t>
        </is>
      </c>
      <c r="E398" t="inlineStr">
        <is>
          <t>Common Technologies and User Experience</t>
        </is>
      </c>
      <c r="F398" t="inlineStr">
        <is>
          <t>Functional</t>
        </is>
      </c>
      <c r="G398" t="inlineStr">
        <is>
          <t>Functional</t>
        </is>
      </c>
      <c r="H398" t="inlineStr"/>
      <c r="I398" t="inlineStr"/>
      <c r="J398" t="inlineStr">
        <is>
          <t>Common Technologies and User Experience</t>
        </is>
      </c>
      <c r="K398" t="inlineStr">
        <is>
          <t>N</t>
        </is>
      </c>
      <c r="L398" t="inlineStr">
        <is>
          <t>N</t>
        </is>
      </c>
      <c r="M398" t="inlineStr">
        <is>
          <t>N</t>
        </is>
      </c>
      <c r="N398" t="inlineStr">
        <is>
          <t>Auto-enabled — no action required</t>
        </is>
      </c>
      <c r="O398" t="inlineStr">
        <is>
          <t>Low</t>
        </is>
      </c>
      <c r="P398" t="inlineStr">
        <is>
          <t>2025-06-20</t>
        </is>
      </c>
      <c r="Q398" t="inlineStr">
        <is>
          <t>Oracle Fusion 26C Readiness — Common Technologies and User Experience</t>
        </is>
      </c>
      <c r="R398" t="inlineStr"/>
    </row>
    <row r="399">
      <c r="A399" t="inlineStr">
        <is>
          <t>CHG_IMP_0374</t>
        </is>
      </c>
      <c r="B399" t="inlineStr">
        <is>
          <t>REL_26C</t>
        </is>
      </c>
      <c r="C399" t="inlineStr">
        <is>
          <t>Collaborate with AI Agents in other platforms using the Agent2Agent (A2A) Protocol</t>
        </is>
      </c>
      <c r="D399" t="inlineStr">
        <is>
          <t>Collaborate with AI Agents in other platforms using the Agent2Agent (A2A) Protocol. Module: Common Technologies and User Experience. Release: 26C. Published AI agents in Oracle Fusion Cloud Applications can now collaborate with AI agents in other platforms using the A2A protocol. AI agents can be discovered using Agent Cards and called using a standard request and response model. Using the A2A pro</t>
        </is>
      </c>
      <c r="E399" t="inlineStr">
        <is>
          <t>Common Technologies and User Experience</t>
        </is>
      </c>
      <c r="F399" t="inlineStr">
        <is>
          <t>AI Feature</t>
        </is>
      </c>
      <c r="G399" t="inlineStr">
        <is>
          <t>AI Feature</t>
        </is>
      </c>
      <c r="H399" t="inlineStr"/>
      <c r="I399" t="inlineStr"/>
      <c r="J399" t="inlineStr">
        <is>
          <t>Common Technologies and User Experience</t>
        </is>
      </c>
      <c r="K399" t="inlineStr">
        <is>
          <t>N</t>
        </is>
      </c>
      <c r="L399" t="inlineStr">
        <is>
          <t>Y</t>
        </is>
      </c>
      <c r="M399" t="inlineStr">
        <is>
          <t>N</t>
        </is>
      </c>
      <c r="N399" t="inlineStr">
        <is>
          <t>Action type: Steps to Enable. Users must have access to the published Oracle AI Agents.</t>
        </is>
      </c>
      <c r="O399" t="inlineStr">
        <is>
          <t>Low</t>
        </is>
      </c>
      <c r="P399" t="inlineStr">
        <is>
          <t>2025-06-20</t>
        </is>
      </c>
      <c r="Q399" t="inlineStr">
        <is>
          <t>Oracle Fusion 26C Readiness — Common Technologies and User Experience</t>
        </is>
      </c>
      <c r="R399" t="inlineStr"/>
    </row>
    <row r="400">
      <c r="A400" t="inlineStr">
        <is>
          <t>CHG_IMP_0375</t>
        </is>
      </c>
      <c r="B400" t="inlineStr">
        <is>
          <t>REL_26C</t>
        </is>
      </c>
      <c r="C400" t="inlineStr">
        <is>
          <t>Create Document Schemas for Document Processing in AI Agent Studio</t>
        </is>
      </c>
      <c r="D400" t="inlineStr">
        <is>
          <t>Create Document Schemas for Document Processing in AI Agent Studio. Module: Common Technologies and User Experience. Release: 26C. You can now create document schemas to define the structure and fields of the data extracted from documents in agentic flows. These document schemas can be generated from sample documents and are reusable within a workflow. You can create document schemas from the Reso</t>
        </is>
      </c>
      <c r="E400" t="inlineStr">
        <is>
          <t>Common Technologies and User Experience</t>
        </is>
      </c>
      <c r="F400" t="inlineStr">
        <is>
          <t>AI Feature</t>
        </is>
      </c>
      <c r="G400" t="inlineStr">
        <is>
          <t>AI Feature</t>
        </is>
      </c>
      <c r="H400" t="inlineStr"/>
      <c r="I400" t="inlineStr"/>
      <c r="J400" t="inlineStr">
        <is>
          <t>Common Technologies and User Experience</t>
        </is>
      </c>
      <c r="K400" t="inlineStr">
        <is>
          <t>N</t>
        </is>
      </c>
      <c r="L400" t="inlineStr">
        <is>
          <t>Y</t>
        </is>
      </c>
      <c r="M400" t="inlineStr">
        <is>
          <t>N</t>
        </is>
      </c>
      <c r="N400" t="inlineStr">
        <is>
          <t>Action type: Steps to Enable. You must have access to use AI Agent Studio.</t>
        </is>
      </c>
      <c r="O400" t="inlineStr">
        <is>
          <t>Low</t>
        </is>
      </c>
      <c r="P400" t="inlineStr">
        <is>
          <t>2025-06-20</t>
        </is>
      </c>
      <c r="Q400" t="inlineStr">
        <is>
          <t>Oracle Fusion 26C Readiness — Common Technologies and User Experience</t>
        </is>
      </c>
      <c r="R400" t="inlineStr"/>
    </row>
    <row r="401">
      <c r="A401" t="inlineStr">
        <is>
          <t>CHG_IMP_0376</t>
        </is>
      </c>
      <c r="B401" t="inlineStr">
        <is>
          <t>REL_26C</t>
        </is>
      </c>
      <c r="C401" t="inlineStr">
        <is>
          <t>Create Policy Models in AI Agent Studio Interface</t>
        </is>
      </c>
      <c r="D401" t="inlineStr">
        <is>
          <t xml:space="preserve">Create Policy Models in AI Agent Studio Interface. Module: Common Technologies and User Experience. Release: 26C. You can now create policy models in AI Agent Studio to enable reliable, repeatable, and deterministic policy-based decision-making at runtime. Policy models transform unstructured business policies into executable logic that agents can use to consistently evaluate rules, calculations, </t>
        </is>
      </c>
      <c r="E401" t="inlineStr">
        <is>
          <t>Common Technologies and User Experience</t>
        </is>
      </c>
      <c r="F401" t="inlineStr">
        <is>
          <t>AI Feature</t>
        </is>
      </c>
      <c r="G401" t="inlineStr">
        <is>
          <t>AI Feature</t>
        </is>
      </c>
      <c r="H401" t="inlineStr"/>
      <c r="I401" t="inlineStr"/>
      <c r="J401" t="inlineStr">
        <is>
          <t>Common Technologies and User Experience</t>
        </is>
      </c>
      <c r="K401" t="inlineStr">
        <is>
          <t>N</t>
        </is>
      </c>
      <c r="L401" t="inlineStr">
        <is>
          <t>Y</t>
        </is>
      </c>
      <c r="M401" t="inlineStr">
        <is>
          <t>N</t>
        </is>
      </c>
      <c r="N401" t="inlineStr">
        <is>
          <t>Action type: Steps to Enable. You must have access to use AI Agent Studio.</t>
        </is>
      </c>
      <c r="O401" t="inlineStr">
        <is>
          <t>Low</t>
        </is>
      </c>
      <c r="P401" t="inlineStr">
        <is>
          <t>2025-06-20</t>
        </is>
      </c>
      <c r="Q401" t="inlineStr">
        <is>
          <t>Oracle Fusion 26C Readiness — Common Technologies and User Experience</t>
        </is>
      </c>
      <c r="R401" t="inlineStr"/>
    </row>
    <row r="402">
      <c r="A402" t="inlineStr">
        <is>
          <t>CHG_IMP_0377</t>
        </is>
      </c>
      <c r="B402" t="inlineStr">
        <is>
          <t>REL_26C</t>
        </is>
      </c>
      <c r="C402" t="inlineStr">
        <is>
          <t>Create and Reuse Functions in AI Agent Studio</t>
        </is>
      </c>
      <c r="D402" t="inlineStr">
        <is>
          <t>Create and Reuse Functions in AI Agent Studio. Module: Common Technologies and User Experience. Release: 26C. AI Agent Studio now supports reusable JavaScript function templates, allowing you to define common logic once and reuse it across multiple agentic workflows.
You can create function templates from the Functions subtab under the Resources tab in AI Agent Studio. Each template can include o</t>
        </is>
      </c>
      <c r="E402" t="inlineStr">
        <is>
          <t>Common Technologies and User Experience</t>
        </is>
      </c>
      <c r="F402" t="inlineStr">
        <is>
          <t>AI Feature</t>
        </is>
      </c>
      <c r="G402" t="inlineStr">
        <is>
          <t>AI Feature</t>
        </is>
      </c>
      <c r="H402" t="inlineStr"/>
      <c r="I402" t="inlineStr"/>
      <c r="J402" t="inlineStr">
        <is>
          <t>Common Technologies and User Experience</t>
        </is>
      </c>
      <c r="K402" t="inlineStr">
        <is>
          <t>N</t>
        </is>
      </c>
      <c r="L402" t="inlineStr">
        <is>
          <t>Y</t>
        </is>
      </c>
      <c r="M402" t="inlineStr">
        <is>
          <t>N</t>
        </is>
      </c>
      <c r="N402" t="inlineStr">
        <is>
          <t>Action type: Steps to Enable. You must have access to use AI Agent Studio.</t>
        </is>
      </c>
      <c r="O402" t="inlineStr">
        <is>
          <t>Low</t>
        </is>
      </c>
      <c r="P402" t="inlineStr">
        <is>
          <t>2025-06-20</t>
        </is>
      </c>
      <c r="Q402" t="inlineStr">
        <is>
          <t>Oracle Fusion 26C Readiness — Common Technologies and User Experience</t>
        </is>
      </c>
      <c r="R402" t="inlineStr"/>
    </row>
    <row r="403">
      <c r="A403" t="inlineStr">
        <is>
          <t>CHG_IMP_0378</t>
        </is>
      </c>
      <c r="B403" t="inlineStr">
        <is>
          <t>REL_26C</t>
        </is>
      </c>
      <c r="C403" t="inlineStr">
        <is>
          <t>Create and Reuse Reference Blocks in Workflows</t>
        </is>
      </c>
      <c r="D403" t="inlineStr">
        <is>
          <t>Create and Reuse Reference Blocks in Workflows. Module: Common Technologies and User Experience. Release: 26C. You can now create reference blocks to define reusable logic within a workflow. These reference blocks can include all available artifacts such as agents, LLMs, tools, and so on. You can then use the same reference block multiple times within your workflow.
To create a reference block, a</t>
        </is>
      </c>
      <c r="E403" t="inlineStr">
        <is>
          <t>Common Technologies and User Experience</t>
        </is>
      </c>
      <c r="F403" t="inlineStr">
        <is>
          <t>Functional</t>
        </is>
      </c>
      <c r="G403" t="inlineStr">
        <is>
          <t>Functional</t>
        </is>
      </c>
      <c r="H403" t="inlineStr"/>
      <c r="I403" t="inlineStr"/>
      <c r="J403" t="inlineStr">
        <is>
          <t>Common Technologies and User Experience</t>
        </is>
      </c>
      <c r="K403" t="inlineStr">
        <is>
          <t>N</t>
        </is>
      </c>
      <c r="L403" t="inlineStr">
        <is>
          <t>Y</t>
        </is>
      </c>
      <c r="M403" t="inlineStr">
        <is>
          <t>N</t>
        </is>
      </c>
      <c r="N403" t="inlineStr">
        <is>
          <t>Action type: Steps to Enable. You must have access to use AI Agent Studio.</t>
        </is>
      </c>
      <c r="O403" t="inlineStr">
        <is>
          <t>Low</t>
        </is>
      </c>
      <c r="P403" t="inlineStr">
        <is>
          <t>2025-06-20</t>
        </is>
      </c>
      <c r="Q403" t="inlineStr">
        <is>
          <t>Oracle Fusion 26C Readiness — Common Technologies and User Experience</t>
        </is>
      </c>
      <c r="R403" t="inlineStr"/>
    </row>
    <row r="404">
      <c r="A404" t="inlineStr">
        <is>
          <t>CHG_IMP_0379</t>
        </is>
      </c>
      <c r="B404" t="inlineStr">
        <is>
          <t>REL_26C</t>
        </is>
      </c>
      <c r="C404" t="inlineStr">
        <is>
          <t>Deprecated and New BI View Objects in Oracle BI Cloud Connector</t>
        </is>
      </c>
      <c r="D404" t="inlineStr">
        <is>
          <t>Deprecated and New BI View Objects in Oracle BI Cloud Connector. Module: Common Technologies and User Experience. Release: 26C. Business Intelligence View Objects (BIVOs) that are deprecated are no longer available for extraction using BI Cloud Connector (BICC).
If you use BICC to extract data from Oracle Fusion Applications Cloud, review the Deprecated and New BI View Objects spreadsheets to ide</t>
        </is>
      </c>
      <c r="E404" t="inlineStr">
        <is>
          <t>Common Technologies and User Experience</t>
        </is>
      </c>
      <c r="F404" t="inlineStr">
        <is>
          <t>Functional</t>
        </is>
      </c>
      <c r="G404" t="inlineStr">
        <is>
          <t>Functional</t>
        </is>
      </c>
      <c r="H404" t="inlineStr"/>
      <c r="I404" t="inlineStr"/>
      <c r="J404" t="inlineStr">
        <is>
          <t>Common Technologies and User Experience</t>
        </is>
      </c>
      <c r="K404" t="inlineStr">
        <is>
          <t>N</t>
        </is>
      </c>
      <c r="L404" t="inlineStr">
        <is>
          <t>N</t>
        </is>
      </c>
      <c r="M404" t="inlineStr">
        <is>
          <t>N</t>
        </is>
      </c>
      <c r="N404" t="inlineStr">
        <is>
          <t>Auto-enabled — no action required</t>
        </is>
      </c>
      <c r="O404" t="inlineStr">
        <is>
          <t>Low</t>
        </is>
      </c>
      <c r="P404" t="inlineStr">
        <is>
          <t>2025-06-20</t>
        </is>
      </c>
      <c r="Q404" t="inlineStr">
        <is>
          <t>Oracle Fusion 26C Readiness — Common Technologies and User Experience</t>
        </is>
      </c>
      <c r="R404" t="inlineStr"/>
    </row>
    <row r="405">
      <c r="A405" t="inlineStr">
        <is>
          <t>CHG_IMP_0380</t>
        </is>
      </c>
      <c r="B405" t="inlineStr">
        <is>
          <t>REL_26C</t>
        </is>
      </c>
      <c r="C405" t="inlineStr">
        <is>
          <t>Deprecation of AI Configurator and Transition to AI Agent Studio</t>
        </is>
      </c>
      <c r="D405" t="inlineStr">
        <is>
          <t xml:space="preserve">Deprecation of AI Configurator and Transition to AI Agent Studio. Module: Common Technologies and User Experience. Release: 26C. AI Configurator, the built-in tool available within Oracle HCM Experience Design Studio, and used for locally editing prompts for embedded AI features in Oracle Fusion Cloud Applications, is deprecated in 26C. Following this change, you're encouraged to transition to AI </t>
        </is>
      </c>
      <c r="E405" t="inlineStr">
        <is>
          <t>Common Technologies and User Experience</t>
        </is>
      </c>
      <c r="F405" t="inlineStr">
        <is>
          <t>AI Feature</t>
        </is>
      </c>
      <c r="G405" t="inlineStr">
        <is>
          <t>AI Feature</t>
        </is>
      </c>
      <c r="H405" t="inlineStr"/>
      <c r="I405" t="inlineStr"/>
      <c r="J405" t="inlineStr">
        <is>
          <t>Common Technologies and User Experience</t>
        </is>
      </c>
      <c r="K405" t="inlineStr">
        <is>
          <t>N</t>
        </is>
      </c>
      <c r="L405" t="inlineStr">
        <is>
          <t>Y</t>
        </is>
      </c>
      <c r="M405" t="inlineStr">
        <is>
          <t>N</t>
        </is>
      </c>
      <c r="N405" t="inlineStr">
        <is>
          <t>Action type: Steps to Enable. You must have access to use AI Agent Studio.</t>
        </is>
      </c>
      <c r="O405" t="inlineStr">
        <is>
          <t>Low</t>
        </is>
      </c>
      <c r="P405" t="inlineStr">
        <is>
          <t>2025-06-20</t>
        </is>
      </c>
      <c r="Q405" t="inlineStr">
        <is>
          <t>Oracle Fusion 26C Readiness — Common Technologies and User Experience</t>
        </is>
      </c>
      <c r="R405" t="inlineStr"/>
    </row>
    <row r="406">
      <c r="A406" t="inlineStr">
        <is>
          <t>CHG_IMP_0381</t>
        </is>
      </c>
      <c r="B406" t="inlineStr">
        <is>
          <t>REL_26C</t>
        </is>
      </c>
      <c r="C406" t="inlineStr">
        <is>
          <t>Long-Term Memory Support for Agents</t>
        </is>
      </c>
      <c r="D406" t="inlineStr">
        <is>
          <t>Long-Term Memory Support for Agents. Module: Common Technologies and User Experience. Release: 26C. Agents now support long-term memory, enabling them to retain useful context from previous user interactions and deliver more personalized and relevant experiences. Long-term memory consists of two components: episodic memory and user preferences.
Episodic memory captures summaries of past interacti</t>
        </is>
      </c>
      <c r="E406" t="inlineStr">
        <is>
          <t>Common Technologies and User Experience</t>
        </is>
      </c>
      <c r="F406" t="inlineStr">
        <is>
          <t>Functional</t>
        </is>
      </c>
      <c r="G406" t="inlineStr">
        <is>
          <t>Functional</t>
        </is>
      </c>
      <c r="H406" t="inlineStr"/>
      <c r="I406" t="inlineStr"/>
      <c r="J406" t="inlineStr">
        <is>
          <t>Common Technologies and User Experience</t>
        </is>
      </c>
      <c r="K406" t="inlineStr">
        <is>
          <t>N</t>
        </is>
      </c>
      <c r="L406" t="inlineStr">
        <is>
          <t>Y</t>
        </is>
      </c>
      <c r="M406" t="inlineStr">
        <is>
          <t>N</t>
        </is>
      </c>
      <c r="N406" t="inlineStr">
        <is>
          <t>Action type: Steps to Enable. You must have access to use AI Agent Studio.</t>
        </is>
      </c>
      <c r="O406" t="inlineStr">
        <is>
          <t>Low</t>
        </is>
      </c>
      <c r="P406" t="inlineStr">
        <is>
          <t>2025-06-20</t>
        </is>
      </c>
      <c r="Q406" t="inlineStr">
        <is>
          <t>Oracle Fusion 26C Readiness — Common Technologies and User Experience</t>
        </is>
      </c>
      <c r="R406" t="inlineStr"/>
    </row>
    <row r="407">
      <c r="A407" t="inlineStr">
        <is>
          <t>CHG_IMP_0382</t>
        </is>
      </c>
      <c r="B407" t="inlineStr">
        <is>
          <t>REL_26C</t>
        </is>
      </c>
      <c r="C407" t="inlineStr">
        <is>
          <t>Manage Extended Agent Interactions with Long-Running Sessions</t>
        </is>
      </c>
      <c r="D407" t="inlineStr">
        <is>
          <t>Manage Extended Agent Interactions with Long-Running Sessions. Module: Common Technologies and User Experience. Release: 26C. You can now manage extended, including multi-day, interactions with agents. If the system needs time to respond to a complex query, or if you need to leave a conversation to gather data, switch to another conversation, or take a break, you can rejoin the same conversation i</t>
        </is>
      </c>
      <c r="E407" t="inlineStr">
        <is>
          <t>Common Technologies and User Experience</t>
        </is>
      </c>
      <c r="F407" t="inlineStr">
        <is>
          <t>Functional</t>
        </is>
      </c>
      <c r="G407" t="inlineStr">
        <is>
          <t>Functional</t>
        </is>
      </c>
      <c r="H407" t="inlineStr"/>
      <c r="I407" t="inlineStr"/>
      <c r="J407" t="inlineStr">
        <is>
          <t>Common Technologies and User Experience</t>
        </is>
      </c>
      <c r="K407" t="inlineStr">
        <is>
          <t>N</t>
        </is>
      </c>
      <c r="L407" t="inlineStr">
        <is>
          <t>Y</t>
        </is>
      </c>
      <c r="M407" t="inlineStr">
        <is>
          <t>N</t>
        </is>
      </c>
      <c r="N407" t="inlineStr">
        <is>
          <t>Action type: Steps to Enable. You must have access to use AI Agent Studio.</t>
        </is>
      </c>
      <c r="O407" t="inlineStr">
        <is>
          <t>Low</t>
        </is>
      </c>
      <c r="P407" t="inlineStr">
        <is>
          <t>2025-06-20</t>
        </is>
      </c>
      <c r="Q407" t="inlineStr">
        <is>
          <t>Oracle Fusion 26C Readiness — Common Technologies and User Experience</t>
        </is>
      </c>
      <c r="R407" t="inlineStr"/>
    </row>
    <row r="408">
      <c r="A408" t="inlineStr">
        <is>
          <t>CHG_IMP_0383</t>
        </is>
      </c>
      <c r="B408" t="inlineStr">
        <is>
          <t>REL_26C</t>
        </is>
      </c>
      <c r="C408" t="inlineStr">
        <is>
          <t>Multifactor Authentication (MFA)</t>
        </is>
      </c>
      <c r="D408" t="inlineStr">
        <is>
          <t>Multifactor Authentication (MFA). Module: Common Technologies and User Experience. Release: 26C. If you’re creating a new environment family from 25D onwards, the environments are on Oracle Cloud Infrastructure (OCI) Identity and Access Management, and your users must enroll in multifactor authentication (MFA) for signing in to Oracle Fusion Cloud Applications. Users will be prompted to enroll</t>
        </is>
      </c>
      <c r="E408" t="inlineStr">
        <is>
          <t>Common Technologies and User Experience</t>
        </is>
      </c>
      <c r="F408" t="inlineStr">
        <is>
          <t>Functional</t>
        </is>
      </c>
      <c r="G408" t="inlineStr">
        <is>
          <t>Functional</t>
        </is>
      </c>
      <c r="H408" t="inlineStr"/>
      <c r="I408" t="inlineStr"/>
      <c r="J408" t="inlineStr">
        <is>
          <t>Common Technologies and User Experience</t>
        </is>
      </c>
      <c r="K408" t="inlineStr">
        <is>
          <t>N</t>
        </is>
      </c>
      <c r="L408" t="inlineStr">
        <is>
          <t>N</t>
        </is>
      </c>
      <c r="M408" t="inlineStr">
        <is>
          <t>N</t>
        </is>
      </c>
      <c r="N408" t="inlineStr">
        <is>
          <t>Auto-enabled — no action required</t>
        </is>
      </c>
      <c r="O408" t="inlineStr">
        <is>
          <t>Low</t>
        </is>
      </c>
      <c r="P408" t="inlineStr">
        <is>
          <t>2025-06-20</t>
        </is>
      </c>
      <c r="Q408" t="inlineStr">
        <is>
          <t>Oracle Fusion 26C Readiness — Common Technologies and User Experience</t>
        </is>
      </c>
      <c r="R408" t="inlineStr"/>
    </row>
    <row r="409">
      <c r="A409" t="inlineStr">
        <is>
          <t>CHG_IMP_0384</t>
        </is>
      </c>
      <c r="B409" t="inlineStr">
        <is>
          <t>REL_26C</t>
        </is>
      </c>
      <c r="C409" t="inlineStr">
        <is>
          <t>New look and feel, and features for AI Agent Studio</t>
        </is>
      </c>
      <c r="D409" t="inlineStr">
        <is>
          <t>New look and feel, and features for AI Agent Studio. Module: Common Technologies and User Experience. Release: 26C. AI Agent Studio is moving to a more intelligent user experience for building agents and agentic applications. Here are the new features available:
• New, modern visual design
• Simplified navigation controls
• Visual builders for agentic applications and workflows
• Builder assistan</t>
        </is>
      </c>
      <c r="E409" t="inlineStr">
        <is>
          <t>Common Technologies and User Experience</t>
        </is>
      </c>
      <c r="F409" t="inlineStr">
        <is>
          <t>AI Feature</t>
        </is>
      </c>
      <c r="G409" t="inlineStr">
        <is>
          <t>AI Feature</t>
        </is>
      </c>
      <c r="H409" t="inlineStr"/>
      <c r="I409" t="inlineStr"/>
      <c r="J409" t="inlineStr">
        <is>
          <t>Common Technologies and User Experience</t>
        </is>
      </c>
      <c r="K409" t="inlineStr">
        <is>
          <t>N</t>
        </is>
      </c>
      <c r="L409" t="inlineStr">
        <is>
          <t>Y</t>
        </is>
      </c>
      <c r="M409" t="inlineStr">
        <is>
          <t>N</t>
        </is>
      </c>
      <c r="N409" t="inlineStr">
        <is>
          <t>Action type: Steps to Enable. You must have access to use AI Agent Studio.</t>
        </is>
      </c>
      <c r="O409" t="inlineStr">
        <is>
          <t>Low</t>
        </is>
      </c>
      <c r="P409" t="inlineStr">
        <is>
          <t>2025-06-20</t>
        </is>
      </c>
      <c r="Q409" t="inlineStr">
        <is>
          <t>Oracle Fusion 26C Readiness — Common Technologies and User Experience</t>
        </is>
      </c>
      <c r="R409" t="inlineStr"/>
    </row>
    <row r="410">
      <c r="A410" t="inlineStr">
        <is>
          <t>CHG_IMP_0385</t>
        </is>
      </c>
      <c r="B410" t="inlineStr">
        <is>
          <t>REL_26C</t>
        </is>
      </c>
      <c r="C410" t="inlineStr">
        <is>
          <t>Oracle ADF Desktop Integration Add-In</t>
        </is>
      </c>
      <c r="D410" t="inlineStr">
        <is>
          <t>Oracle ADF Desktop Integration Add-In. Module: Common Technologies and User Experience. Release: 26C. No changes. In release 26C, version 5.2.5.29987 of the Oracle ADF Desktop Integration add-in is being used, which is the same as in the last release.
You can download the Oracle ADF Desktop Integration add in version 5.2.5.29987, if not done already. For more information about this version, see U</t>
        </is>
      </c>
      <c r="E410" t="inlineStr">
        <is>
          <t>Common Technologies and User Experience</t>
        </is>
      </c>
      <c r="F410" t="inlineStr">
        <is>
          <t>Functional</t>
        </is>
      </c>
      <c r="G410" t="inlineStr">
        <is>
          <t>Functional</t>
        </is>
      </c>
      <c r="H410" t="inlineStr"/>
      <c r="I410" t="inlineStr"/>
      <c r="J410" t="inlineStr">
        <is>
          <t>Common Technologies and User Experience</t>
        </is>
      </c>
      <c r="K410" t="inlineStr">
        <is>
          <t>N</t>
        </is>
      </c>
      <c r="L410" t="inlineStr">
        <is>
          <t>N</t>
        </is>
      </c>
      <c r="M410" t="inlineStr">
        <is>
          <t>N</t>
        </is>
      </c>
      <c r="N410" t="inlineStr">
        <is>
          <t>Auto-enabled — no action required</t>
        </is>
      </c>
      <c r="O410" t="inlineStr">
        <is>
          <t>Low</t>
        </is>
      </c>
      <c r="P410" t="inlineStr">
        <is>
          <t>2025-06-20</t>
        </is>
      </c>
      <c r="Q410" t="inlineStr">
        <is>
          <t>Oracle Fusion 26C Readiness — Common Technologies and User Experience</t>
        </is>
      </c>
      <c r="R410" t="inlineStr"/>
    </row>
    <row r="411">
      <c r="A411" t="inlineStr">
        <is>
          <t>CHG_IMP_0386</t>
        </is>
      </c>
      <c r="B411" t="inlineStr">
        <is>
          <t>REL_26C</t>
        </is>
      </c>
      <c r="C411" t="inlineStr">
        <is>
          <t>Oracle Visual Builder Studio</t>
        </is>
      </c>
      <c r="D411" t="inlineStr">
        <is>
          <t>Oracle Visual Builder Studio. Module: Common Technologies and User Experience. Release: 26C. Here are some key things you can now do to extend your application pages using Visual Builder Studio:
• Reorder Fields: Support labels for concrete objects
Allows Oracle Fusion Cloud Applications Extension developers to specify arbitrary labels for region tree items in the Reorder Fields panel. Th</t>
        </is>
      </c>
      <c r="E411" t="inlineStr">
        <is>
          <t>Common Technologies and User Experience</t>
        </is>
      </c>
      <c r="F411" t="inlineStr">
        <is>
          <t>Functional</t>
        </is>
      </c>
      <c r="G411" t="inlineStr">
        <is>
          <t>Functional</t>
        </is>
      </c>
      <c r="H411" t="inlineStr"/>
      <c r="I411" t="inlineStr"/>
      <c r="J411" t="inlineStr">
        <is>
          <t>Common Technologies and User Experience</t>
        </is>
      </c>
      <c r="K411" t="inlineStr">
        <is>
          <t>N</t>
        </is>
      </c>
      <c r="L411" t="inlineStr">
        <is>
          <t>N</t>
        </is>
      </c>
      <c r="M411" t="inlineStr">
        <is>
          <t>N</t>
        </is>
      </c>
      <c r="N411" t="inlineStr">
        <is>
          <t>Auto-enabled — no action required</t>
        </is>
      </c>
      <c r="O411" t="inlineStr">
        <is>
          <t>Low</t>
        </is>
      </c>
      <c r="P411" t="inlineStr">
        <is>
          <t>2025-06-20</t>
        </is>
      </c>
      <c r="Q411" t="inlineStr">
        <is>
          <t>Oracle Fusion 26C Readiness — Common Technologies and User Experience</t>
        </is>
      </c>
      <c r="R411" t="inlineStr"/>
    </row>
    <row r="412">
      <c r="A412" t="inlineStr">
        <is>
          <t>CHG_IMP_0387</t>
        </is>
      </c>
      <c r="B412" t="inlineStr">
        <is>
          <t>REL_26C</t>
        </is>
      </c>
      <c r="C412" t="inlineStr">
        <is>
          <t>Quick action links on the home page</t>
        </is>
      </c>
      <c r="D412" t="inlineStr">
        <is>
          <t>Quick action links on the home page. Module: Common Technologies and User Experience. Release: 26C. In Structure, when editing a quick action, the checkbox label for adding the quick action to the quick actions list on the home page has changed. It's now displayed as **Show as quick action link on home** instead of **Add as a quick action link on home page**.
Adding quick actions to home helps us</t>
        </is>
      </c>
      <c r="E412" t="inlineStr">
        <is>
          <t>Common Technologies and User Experience</t>
        </is>
      </c>
      <c r="F412" t="inlineStr">
        <is>
          <t>Functional</t>
        </is>
      </c>
      <c r="G412" t="inlineStr">
        <is>
          <t>Functional</t>
        </is>
      </c>
      <c r="H412" t="inlineStr"/>
      <c r="I412" t="inlineStr"/>
      <c r="J412" t="inlineStr">
        <is>
          <t>Common Technologies and User Experience</t>
        </is>
      </c>
      <c r="K412" t="inlineStr">
        <is>
          <t>N</t>
        </is>
      </c>
      <c r="L412" t="inlineStr">
        <is>
          <t>N</t>
        </is>
      </c>
      <c r="M412" t="inlineStr">
        <is>
          <t>N</t>
        </is>
      </c>
      <c r="N412" t="inlineStr">
        <is>
          <t>Auto-enabled — no action required</t>
        </is>
      </c>
      <c r="O412" t="inlineStr">
        <is>
          <t>Low</t>
        </is>
      </c>
      <c r="P412" t="inlineStr">
        <is>
          <t>2025-06-20</t>
        </is>
      </c>
      <c r="Q412" t="inlineStr">
        <is>
          <t>Oracle Fusion 26C Readiness — Common Technologies and User Experience</t>
        </is>
      </c>
      <c r="R412" t="inlineStr"/>
    </row>
    <row r="413">
      <c r="A413" t="inlineStr">
        <is>
          <t>CHG_IMP_0388</t>
        </is>
      </c>
      <c r="B413" t="inlineStr">
        <is>
          <t>REL_26C</t>
        </is>
      </c>
      <c r="C413" t="inlineStr">
        <is>
          <t>Redwood appearance editor: Accurate brand color rendering in application pages</t>
        </is>
      </c>
      <c r="D413" t="inlineStr">
        <is>
          <t>Redwood appearance editor: Accurate brand color rendering in application pages. Module: Common Technologies and User Experience. Release: 26C. Previously, Redwood themes using some custom colors displayed lighter or darker variations instead of the exact specified color. Now, Redwood themes apply the exact input primary color, provided the specified custom color meets the color contrast accessibil</t>
        </is>
      </c>
      <c r="E413" t="inlineStr">
        <is>
          <t>Common Technologies and User Experience</t>
        </is>
      </c>
      <c r="F413" t="inlineStr">
        <is>
          <t>Functional</t>
        </is>
      </c>
      <c r="G413" t="inlineStr">
        <is>
          <t>Functional</t>
        </is>
      </c>
      <c r="H413" t="inlineStr"/>
      <c r="I413" t="inlineStr"/>
      <c r="J413" t="inlineStr">
        <is>
          <t>Common Technologies and User Experience</t>
        </is>
      </c>
      <c r="K413" t="inlineStr">
        <is>
          <t>N</t>
        </is>
      </c>
      <c r="L413" t="inlineStr">
        <is>
          <t>Y</t>
        </is>
      </c>
      <c r="M413" t="inlineStr">
        <is>
          <t>N</t>
        </is>
      </c>
      <c r="N413" t="inlineStr">
        <is>
          <t>Action type: Steps to Enable. If you have an existing theme with the custom color that meets the contrast requirements, your color isn't automatical</t>
        </is>
      </c>
      <c r="O413" t="inlineStr">
        <is>
          <t>Low</t>
        </is>
      </c>
      <c r="P413" t="inlineStr">
        <is>
          <t>2025-06-20</t>
        </is>
      </c>
      <c r="Q413" t="inlineStr">
        <is>
          <t>Oracle Fusion 26C Readiness — Common Technologies and User Experience</t>
        </is>
      </c>
      <c r="R413" t="inlineStr"/>
    </row>
    <row r="414">
      <c r="A414" t="inlineStr">
        <is>
          <t>CHG_IMP_0389</t>
        </is>
      </c>
      <c r="B414" t="inlineStr">
        <is>
          <t>REL_26C</t>
        </is>
      </c>
      <c r="C414" t="inlineStr">
        <is>
          <t>Redwood: Schedule Data Extracts to Customer Storage Using a Redwood Page</t>
        </is>
      </c>
      <c r="D414" t="inlineStr">
        <is>
          <t>Redwood: Schedule Data Extracts to Customer Storage Using a Redwood Page. Module: Common Technologies and User Experience. Release: 26C. Use this feature to configure and direct your extracted data to specific destinations from the Redwood UI.
• Configure and direct extracted data to optimize integration.
• Use new storage options for extracted data.
• Output for Extract Schedules may now be writ</t>
        </is>
      </c>
      <c r="E414" t="inlineStr">
        <is>
          <t>Common Technologies and User Experience</t>
        </is>
      </c>
      <c r="F414" t="inlineStr">
        <is>
          <t>Functional</t>
        </is>
      </c>
      <c r="G414" t="inlineStr">
        <is>
          <t>Functional</t>
        </is>
      </c>
      <c r="H414" t="inlineStr"/>
      <c r="I414" t="inlineStr"/>
      <c r="J414" t="inlineStr">
        <is>
          <t>Common Technologies and User Experience</t>
        </is>
      </c>
      <c r="K414" t="inlineStr">
        <is>
          <t>N</t>
        </is>
      </c>
      <c r="L414" t="inlineStr">
        <is>
          <t>Y</t>
        </is>
      </c>
      <c r="M414" t="inlineStr">
        <is>
          <t>N</t>
        </is>
      </c>
      <c r="N414" t="inlineStr">
        <is>
          <t>Action type: Steps to Enable. Use the Opt In UI to enable this feature. For instructions, refer to the Optional Uptake of New Features section of this doc</t>
        </is>
      </c>
      <c r="O414" t="inlineStr">
        <is>
          <t>Low</t>
        </is>
      </c>
      <c r="P414" t="inlineStr">
        <is>
          <t>2025-06-20</t>
        </is>
      </c>
      <c r="Q414" t="inlineStr">
        <is>
          <t>Oracle Fusion 26C Readiness — Common Technologies and User Experience</t>
        </is>
      </c>
      <c r="R414" t="inlineStr"/>
    </row>
    <row r="415">
      <c r="A415" t="inlineStr">
        <is>
          <t>CHG_IMP_0390</t>
        </is>
      </c>
      <c r="B415" t="inlineStr">
        <is>
          <t>REL_26C</t>
        </is>
      </c>
      <c r="C415" t="inlineStr">
        <is>
          <t>Request Enablement of Bring Your Own LLM (BYOLLM) in AI Agent Studio</t>
        </is>
      </c>
      <c r="D415" t="inlineStr">
        <is>
          <t>Request Enablement of Bring Your Own LLM (BYOLLM) in AI Agent Studio. Module: Common Technologies and User Experience. Release: 26C. You can now request enablement of additional supported LLMs in AI Agent Studio. If a supported model from an available provider doesn’t appear in the model selection list while adding LLMs, submit a service request through My Oracle Cloud Support to request its avail</t>
        </is>
      </c>
      <c r="E415" t="inlineStr">
        <is>
          <t>Common Technologies and User Experience</t>
        </is>
      </c>
      <c r="F415" t="inlineStr">
        <is>
          <t>AI Feature</t>
        </is>
      </c>
      <c r="G415" t="inlineStr">
        <is>
          <t>AI Feature</t>
        </is>
      </c>
      <c r="H415" t="inlineStr"/>
      <c r="I415" t="inlineStr"/>
      <c r="J415" t="inlineStr">
        <is>
          <t>Common Technologies and User Experience</t>
        </is>
      </c>
      <c r="K415" t="inlineStr">
        <is>
          <t>N</t>
        </is>
      </c>
      <c r="L415" t="inlineStr">
        <is>
          <t>Y</t>
        </is>
      </c>
      <c r="M415" t="inlineStr">
        <is>
          <t>N</t>
        </is>
      </c>
      <c r="N415" t="inlineStr">
        <is>
          <t>Action type: Steps to Enable. You must have access to use AI Agent Studio.</t>
        </is>
      </c>
      <c r="O415" t="inlineStr">
        <is>
          <t>Low</t>
        </is>
      </c>
      <c r="P415" t="inlineStr">
        <is>
          <t>2025-06-20</t>
        </is>
      </c>
      <c r="Q415" t="inlineStr">
        <is>
          <t>Oracle Fusion 26C Readiness — Common Technologies and User Experience</t>
        </is>
      </c>
      <c r="R415" t="inlineStr"/>
    </row>
    <row r="416">
      <c r="A416" t="inlineStr">
        <is>
          <t>CHG_IMP_0391</t>
        </is>
      </c>
      <c r="B416" t="inlineStr">
        <is>
          <t>REL_26C</t>
        </is>
      </c>
      <c r="C416" t="inlineStr">
        <is>
          <t>Trace, Test, and Troubleshoot Agentic Workflows with the Debugger</t>
        </is>
      </c>
      <c r="D416" t="inlineStr">
        <is>
          <t>Trace, Test, and Troubleshoot Agentic Workflows with the Debugger. Module: Common Technologies and User Experience. Release: 26C. Debugger is a powerful tool in AI Agent Studio that helps you trace, test, and troubleshoot agentic flows in real time. It provides deep visibility into node execution, context, inputs, outputs, and LLM reasoning, making it easier to understand how a flow behaves during</t>
        </is>
      </c>
      <c r="E416" t="inlineStr">
        <is>
          <t>Common Technologies and User Experience</t>
        </is>
      </c>
      <c r="F416" t="inlineStr">
        <is>
          <t>AI Feature</t>
        </is>
      </c>
      <c r="G416" t="inlineStr">
        <is>
          <t>AI Feature</t>
        </is>
      </c>
      <c r="H416" t="inlineStr"/>
      <c r="I416" t="inlineStr"/>
      <c r="J416" t="inlineStr">
        <is>
          <t>Common Technologies and User Experience</t>
        </is>
      </c>
      <c r="K416" t="inlineStr">
        <is>
          <t>N</t>
        </is>
      </c>
      <c r="L416" t="inlineStr">
        <is>
          <t>Y</t>
        </is>
      </c>
      <c r="M416" t="inlineStr">
        <is>
          <t>N</t>
        </is>
      </c>
      <c r="N416" t="inlineStr">
        <is>
          <t>Action type: Steps to Enable. You must have access to use AI Agent Studio.</t>
        </is>
      </c>
      <c r="O416" t="inlineStr">
        <is>
          <t>Low</t>
        </is>
      </c>
      <c r="P416" t="inlineStr">
        <is>
          <t>2025-06-20</t>
        </is>
      </c>
      <c r="Q416" t="inlineStr">
        <is>
          <t>Oracle Fusion 26C Readiness — Common Technologies and User Experience</t>
        </is>
      </c>
      <c r="R416" t="inlineStr"/>
    </row>
    <row r="417">
      <c r="A417" t="inlineStr">
        <is>
          <t>CHG_IMP_0392</t>
        </is>
      </c>
      <c r="B417" t="inlineStr">
        <is>
          <t>REL_26C</t>
        </is>
      </c>
      <c r="C417" t="inlineStr">
        <is>
          <t>Use Multiagent Nodes in AI Agent Studio</t>
        </is>
      </c>
      <c r="D417" t="inlineStr">
        <is>
          <t>Use Multiagent Nodes in AI Agent Studio. Module: Common Technologies and User Experience. Release: 26C. You can now use Multiagent nodes to build agentic flows that use a supervisor agent to coordinate multiple specialized worker agents within a workflow. The supervisor agent analyzes user requests, determines intent, and dynamically routes tasks to the most appropriate child agent based on its ro</t>
        </is>
      </c>
      <c r="E417" t="inlineStr">
        <is>
          <t>Common Technologies and User Experience</t>
        </is>
      </c>
      <c r="F417" t="inlineStr">
        <is>
          <t>AI Feature</t>
        </is>
      </c>
      <c r="G417" t="inlineStr">
        <is>
          <t>AI Feature</t>
        </is>
      </c>
      <c r="H417" t="inlineStr"/>
      <c r="I417" t="inlineStr"/>
      <c r="J417" t="inlineStr">
        <is>
          <t>Common Technologies and User Experience</t>
        </is>
      </c>
      <c r="K417" t="inlineStr">
        <is>
          <t>N</t>
        </is>
      </c>
      <c r="L417" t="inlineStr">
        <is>
          <t>Y</t>
        </is>
      </c>
      <c r="M417" t="inlineStr">
        <is>
          <t>N</t>
        </is>
      </c>
      <c r="N417" t="inlineStr">
        <is>
          <t>Action type: Steps to Enable. You must have access to use AI Agent Studio.</t>
        </is>
      </c>
      <c r="O417" t="inlineStr">
        <is>
          <t>Low</t>
        </is>
      </c>
      <c r="P417" t="inlineStr">
        <is>
          <t>2025-06-20</t>
        </is>
      </c>
      <c r="Q417" t="inlineStr">
        <is>
          <t>Oracle Fusion 26C Readiness — Common Technologies and User Experience</t>
        </is>
      </c>
      <c r="R417" t="inlineStr"/>
    </row>
    <row r="418">
      <c r="A418" t="inlineStr">
        <is>
          <t>CHG_IMP_0393</t>
        </is>
      </c>
      <c r="B418" t="inlineStr">
        <is>
          <t>REL_26C</t>
        </is>
      </c>
      <c r="C418" t="inlineStr">
        <is>
          <t>Use Return Nodes in AI Agent Studio</t>
        </is>
      </c>
      <c r="D418" t="inlineStr">
        <is>
          <t>Use Return Nodes in AI Agent Studio. Module: Common Technologies and User Experience. Release: 26C. You can now use the Return Node to stop processing within a workflow branch and return control to a designated upstream node. This node enables workflows to exit a branch without continuing through the remaining nodes in that branch. The Return Node simplifies workflow design by providing a consiste</t>
        </is>
      </c>
      <c r="E418" t="inlineStr">
        <is>
          <t>Common Technologies and User Experience</t>
        </is>
      </c>
      <c r="F418" t="inlineStr">
        <is>
          <t>AI Feature</t>
        </is>
      </c>
      <c r="G418" t="inlineStr">
        <is>
          <t>AI Feature</t>
        </is>
      </c>
      <c r="H418" t="inlineStr"/>
      <c r="I418" t="inlineStr"/>
      <c r="J418" t="inlineStr">
        <is>
          <t>Common Technologies and User Experience</t>
        </is>
      </c>
      <c r="K418" t="inlineStr">
        <is>
          <t>N</t>
        </is>
      </c>
      <c r="L418" t="inlineStr">
        <is>
          <t>Y</t>
        </is>
      </c>
      <c r="M418" t="inlineStr">
        <is>
          <t>N</t>
        </is>
      </c>
      <c r="N418" t="inlineStr">
        <is>
          <t>Action type: Steps to Enable. You must have access to use AI Agent Studio.</t>
        </is>
      </c>
      <c r="O418" t="inlineStr">
        <is>
          <t>Low</t>
        </is>
      </c>
      <c r="P418" t="inlineStr">
        <is>
          <t>2025-06-20</t>
        </is>
      </c>
      <c r="Q418" t="inlineStr">
        <is>
          <t>Oracle Fusion 26C Readiness — Common Technologies and User Experience</t>
        </is>
      </c>
      <c r="R418" t="inlineStr"/>
    </row>
    <row r="419">
      <c r="A419" t="inlineStr">
        <is>
          <t>CHG_IMP_0394</t>
        </is>
      </c>
      <c r="B419" t="inlineStr">
        <is>
          <t>REL_26C</t>
        </is>
      </c>
      <c r="C419" t="inlineStr">
        <is>
          <t>Use command line interface to access AI Agent Studio</t>
        </is>
      </c>
      <c r="D419" t="inlineStr">
        <is>
          <t xml:space="preserve">Use command line interface to access AI Agent Studio. Module: Common Technologies and User Experience. Release: 26C. As a developer, you can now use a command line interface (CLI) for creating, editing, validating, debugging, testing, and saving AI Agent Studio artifacts. These artifacts include agentic apps, agent teams of type Workflow, business objects, approvals, policies, topics, deep links, </t>
        </is>
      </c>
      <c r="E419" t="inlineStr">
        <is>
          <t>Common Technologies and User Experience</t>
        </is>
      </c>
      <c r="F419" t="inlineStr">
        <is>
          <t>AI Feature</t>
        </is>
      </c>
      <c r="G419" t="inlineStr">
        <is>
          <t>AI Feature</t>
        </is>
      </c>
      <c r="H419" t="inlineStr"/>
      <c r="I419" t="inlineStr"/>
      <c r="J419" t="inlineStr">
        <is>
          <t>Common Technologies and User Experience</t>
        </is>
      </c>
      <c r="K419" t="inlineStr">
        <is>
          <t>N</t>
        </is>
      </c>
      <c r="L419" t="inlineStr">
        <is>
          <t>Y</t>
        </is>
      </c>
      <c r="M419" t="inlineStr">
        <is>
          <t>N</t>
        </is>
      </c>
      <c r="N419" t="inlineStr">
        <is>
          <t>Action type: Steps to Enable. • You must have access to use AI Agent Studio. • Download the AI Agent Studio CLI.</t>
        </is>
      </c>
      <c r="O419" t="inlineStr">
        <is>
          <t>Low</t>
        </is>
      </c>
      <c r="P419" t="inlineStr">
        <is>
          <t>2025-06-20</t>
        </is>
      </c>
      <c r="Q419" t="inlineStr">
        <is>
          <t>Oracle Fusion 26C Readiness — Common Technologies and User Experience</t>
        </is>
      </c>
      <c r="R419" t="inlineStr"/>
    </row>
    <row r="420">
      <c r="A420" t="inlineStr">
        <is>
          <t>CHG_IMP_0395</t>
        </is>
      </c>
      <c r="B420" t="inlineStr">
        <is>
          <t>REL_26C</t>
        </is>
      </c>
      <c r="C420" t="inlineStr">
        <is>
          <t>Use the Approval Process Channel for Human Approval Nodes in AI Agent Studio</t>
        </is>
      </c>
      <c r="D420" t="inlineStr">
        <is>
          <t>Use the Approval Process Channel for Human Approval Nodes in AI Agent Studio. Module: Common Technologies and User Experience. Release: 26C. You can now use the approval process channel to manage approvals in agentic flows through a structured, reusable framework. Create approval processes in the Approvals tab and then associate them with human approval nodes by selecting the Approval Process chan</t>
        </is>
      </c>
      <c r="E420" t="inlineStr">
        <is>
          <t>Common Technologies and User Experience</t>
        </is>
      </c>
      <c r="F420" t="inlineStr">
        <is>
          <t>AI Feature</t>
        </is>
      </c>
      <c r="G420" t="inlineStr">
        <is>
          <t>AI Feature</t>
        </is>
      </c>
      <c r="H420" t="inlineStr"/>
      <c r="I420" t="inlineStr"/>
      <c r="J420" t="inlineStr">
        <is>
          <t>Common Technologies and User Experience</t>
        </is>
      </c>
      <c r="K420" t="inlineStr">
        <is>
          <t>N</t>
        </is>
      </c>
      <c r="L420" t="inlineStr">
        <is>
          <t>Y</t>
        </is>
      </c>
      <c r="M420" t="inlineStr">
        <is>
          <t>N</t>
        </is>
      </c>
      <c r="N420" t="inlineStr">
        <is>
          <t>Action type: Steps to Enable. You must have access to use AI Agent Studio.</t>
        </is>
      </c>
      <c r="O420" t="inlineStr">
        <is>
          <t>Low</t>
        </is>
      </c>
      <c r="P420" t="inlineStr">
        <is>
          <t>2025-06-20</t>
        </is>
      </c>
      <c r="Q420" t="inlineStr">
        <is>
          <t>Oracle Fusion 26C Readiness — Common Technologies and User Experience</t>
        </is>
      </c>
      <c r="R420" t="inlineStr"/>
    </row>
    <row r="421">
      <c r="A421" t="inlineStr">
        <is>
          <t>CHG_IMP_0396</t>
        </is>
      </c>
      <c r="B421" t="inlineStr">
        <is>
          <t>REL_26C</t>
        </is>
      </c>
      <c r="C421" t="inlineStr">
        <is>
          <t>What's Notable and Different in Oracle Transactional Business Intelligence</t>
        </is>
      </c>
      <c r="D421" t="inlineStr">
        <is>
          <t>What's Notable and Different in Oracle Transactional Business Intelligence. Module: Common Technologies and User Experience. Release: 26C. For new features and release announcements, see What's Notable and Different in Oracle Transactional Business Intelligence.
New OTBI functionality provides you with the ability to expand your data and business analysis.</t>
        </is>
      </c>
      <c r="E421" t="inlineStr">
        <is>
          <t>Common Technologies and User Experience</t>
        </is>
      </c>
      <c r="F421" t="inlineStr">
        <is>
          <t>Functional</t>
        </is>
      </c>
      <c r="G421" t="inlineStr">
        <is>
          <t>Functional</t>
        </is>
      </c>
      <c r="H421" t="inlineStr"/>
      <c r="I421" t="inlineStr"/>
      <c r="J421" t="inlineStr">
        <is>
          <t>Common Technologies and User Experience</t>
        </is>
      </c>
      <c r="K421" t="inlineStr">
        <is>
          <t>N</t>
        </is>
      </c>
      <c r="L421" t="inlineStr">
        <is>
          <t>N</t>
        </is>
      </c>
      <c r="M421" t="inlineStr">
        <is>
          <t>N</t>
        </is>
      </c>
      <c r="N421" t="inlineStr">
        <is>
          <t>Auto-enabled — no action required</t>
        </is>
      </c>
      <c r="O421" t="inlineStr">
        <is>
          <t>Low</t>
        </is>
      </c>
      <c r="P421" t="inlineStr">
        <is>
          <t>2025-06-20</t>
        </is>
      </c>
      <c r="Q421" t="inlineStr">
        <is>
          <t>Oracle Fusion 26C Readiness — Common Technologies and User Experience</t>
        </is>
      </c>
      <c r="R421" t="inlineStr"/>
    </row>
    <row r="422">
      <c r="A422" t="inlineStr">
        <is>
          <t>CHG_IMP_0397</t>
        </is>
      </c>
      <c r="B422" t="inlineStr">
        <is>
          <t>REL_26C</t>
        </is>
      </c>
      <c r="C422" t="inlineStr">
        <is>
          <t>AI Agent - AI Workflow: Inventory Organization Update Assistant</t>
        </is>
      </c>
      <c r="D422" t="inlineStr">
        <is>
          <t>AI Agent - AI Workflow: Inventory Organization Update Assistant. Module: Inventory Management. Release: 26C. Use the Inventory Organization Update Assistant to apply mass updates and modify end-user access for selected organizations. You can filter your selection using a wide range of criteria. You can also upload a spreadsheet to create organizations.
The organization assistant has been refactor</t>
        </is>
      </c>
      <c r="E422" t="inlineStr">
        <is>
          <t>Inventory Management</t>
        </is>
      </c>
      <c r="F422" t="inlineStr">
        <is>
          <t>AI Feature</t>
        </is>
      </c>
      <c r="G422" t="inlineStr">
        <is>
          <t>AI Feature</t>
        </is>
      </c>
      <c r="H422" t="inlineStr"/>
      <c r="I422" t="inlineStr"/>
      <c r="J422" t="inlineStr">
        <is>
          <t>Inventory Management</t>
        </is>
      </c>
      <c r="K422" t="inlineStr">
        <is>
          <t>N</t>
        </is>
      </c>
      <c r="L422" t="inlineStr">
        <is>
          <t>N</t>
        </is>
      </c>
      <c r="M422" t="inlineStr">
        <is>
          <t>N</t>
        </is>
      </c>
      <c r="N422" t="inlineStr">
        <is>
          <t>Auto-enabled — no action required</t>
        </is>
      </c>
      <c r="O422" t="inlineStr">
        <is>
          <t>Low</t>
        </is>
      </c>
      <c r="P422" t="inlineStr">
        <is>
          <t>2025-06-20</t>
        </is>
      </c>
      <c r="Q422" t="inlineStr">
        <is>
          <t>Oracle Fusion 26C Readiness — Inventory Management</t>
        </is>
      </c>
      <c r="R422" t="inlineStr"/>
    </row>
    <row r="423">
      <c r="A423" t="inlineStr">
        <is>
          <t>CHG_IMP_0398</t>
        </is>
      </c>
      <c r="B423" t="inlineStr">
        <is>
          <t>REL_26C</t>
        </is>
      </c>
      <c r="C423" t="inlineStr">
        <is>
          <t>AI Agent: Goods Return Assistant</t>
        </is>
      </c>
      <c r="D423" t="inlineStr">
        <is>
          <t>AI Agent: Goods Return Assistant. Module: Inventory Management. Release: 26C. In organizations, such as healthcare, to return damaged, defective, or unwanted goods is not always a straightforward process. As a user, when you are not part of the supply chain team, it's difficult to return items without knowing where they came from, what receipt they were on, or which supplier</t>
        </is>
      </c>
      <c r="E423" t="inlineStr">
        <is>
          <t>Inventory Management</t>
        </is>
      </c>
      <c r="F423" t="inlineStr">
        <is>
          <t>AI Feature</t>
        </is>
      </c>
      <c r="G423" t="inlineStr">
        <is>
          <t>AI Feature</t>
        </is>
      </c>
      <c r="H423" t="inlineStr"/>
      <c r="I423" t="inlineStr"/>
      <c r="J423" t="inlineStr">
        <is>
          <t>Inventory Management</t>
        </is>
      </c>
      <c r="K423" t="inlineStr">
        <is>
          <t>N</t>
        </is>
      </c>
      <c r="L423" t="inlineStr">
        <is>
          <t>N</t>
        </is>
      </c>
      <c r="M423" t="inlineStr">
        <is>
          <t>N</t>
        </is>
      </c>
      <c r="N423" t="inlineStr">
        <is>
          <t>Auto-enabled — no action required</t>
        </is>
      </c>
      <c r="O423" t="inlineStr">
        <is>
          <t>Low</t>
        </is>
      </c>
      <c r="P423" t="inlineStr">
        <is>
          <t>2025-06-20</t>
        </is>
      </c>
      <c r="Q423" t="inlineStr">
        <is>
          <t>Oracle Fusion 26C Readiness — Inventory Management</t>
        </is>
      </c>
      <c r="R423" t="inlineStr"/>
    </row>
    <row r="424">
      <c r="A424" t="inlineStr">
        <is>
          <t>CHG_IMP_0399</t>
        </is>
      </c>
      <c r="B424" t="inlineStr">
        <is>
          <t>REL_26C</t>
        </is>
      </c>
      <c r="C424" t="inlineStr">
        <is>
          <t>AI Agent: Gross Margin Analyst for Configured Items</t>
        </is>
      </c>
      <c r="D424" t="inlineStr">
        <is>
          <t>AI Agent: Gross Margin Analyst for Configured Items. Module: Inventory Management. Release: 26C. You can now use the Gross Margin Analyst as a workflow agent to estimate gross margin for sales orders before fulfillment. The workflow agent analyzes sales order details and uses available pricing and cost information to calculate the estimated gross margin for a complete sales order or for a speci</t>
        </is>
      </c>
      <c r="E424" t="inlineStr">
        <is>
          <t>Inventory Management</t>
        </is>
      </c>
      <c r="F424" t="inlineStr">
        <is>
          <t>AI Feature</t>
        </is>
      </c>
      <c r="G424" t="inlineStr">
        <is>
          <t>AI Feature</t>
        </is>
      </c>
      <c r="H424" t="inlineStr"/>
      <c r="I424" t="inlineStr"/>
      <c r="J424" t="inlineStr">
        <is>
          <t>Inventory Management</t>
        </is>
      </c>
      <c r="K424" t="inlineStr">
        <is>
          <t>N</t>
        </is>
      </c>
      <c r="L424" t="inlineStr">
        <is>
          <t>Y</t>
        </is>
      </c>
      <c r="M424" t="inlineStr">
        <is>
          <t>N</t>
        </is>
      </c>
      <c r="N424" t="inlineStr">
        <is>
          <t>Action type: Steps to Enable. To enable permission groups for roles, take these steps: 1. In the Setup and Maintenance work area, search for the **Manage Administrator Profile Values** task usin</t>
        </is>
      </c>
      <c r="O424" t="inlineStr">
        <is>
          <t>Medium</t>
        </is>
      </c>
      <c r="P424" t="inlineStr">
        <is>
          <t>2025-06-20</t>
        </is>
      </c>
      <c r="Q424" t="inlineStr">
        <is>
          <t>Oracle Fusion 26C Readiness — Inventory Management</t>
        </is>
      </c>
      <c r="R424" t="inlineStr"/>
    </row>
    <row r="425">
      <c r="A425" t="inlineStr">
        <is>
          <t>CHG_IMP_0400</t>
        </is>
      </c>
      <c r="B425" t="inlineStr">
        <is>
          <t>REL_26C</t>
        </is>
      </c>
      <c r="C425" t="inlineStr">
        <is>
          <t>AI Agent: Inbound Goods Advisor</t>
        </is>
      </c>
      <c r="D425" t="inlineStr">
        <is>
          <t>AI Agent: Inbound Goods Advisor. Module: Inventory Management. Release: 26C. Cross-Docking enhances your warehouse efficiency by reducing the number of steps required for personnel to fulfill outbound demand. In Oracle Fusion Cloud Advanced Inventory Management, the existing cross-docking functionality alerts you to potential opportunities and helps you to move goods to the</t>
        </is>
      </c>
      <c r="E425" t="inlineStr">
        <is>
          <t>Inventory Management</t>
        </is>
      </c>
      <c r="F425" t="inlineStr">
        <is>
          <t>AI Feature</t>
        </is>
      </c>
      <c r="G425" t="inlineStr">
        <is>
          <t>AI Feature</t>
        </is>
      </c>
      <c r="H425" t="inlineStr"/>
      <c r="I425" t="inlineStr"/>
      <c r="J425" t="inlineStr">
        <is>
          <t>Inventory Management</t>
        </is>
      </c>
      <c r="K425" t="inlineStr">
        <is>
          <t>N</t>
        </is>
      </c>
      <c r="L425" t="inlineStr">
        <is>
          <t>Y</t>
        </is>
      </c>
      <c r="M425" t="inlineStr">
        <is>
          <t>N</t>
        </is>
      </c>
      <c r="N425" t="inlineStr">
        <is>
          <t>Action type: Steps to Enable. **Configure Advanced Inventory Parameters** To enable cross-docking, you must select the **Cross-Dock Action**on the **Advanced Inventory Parameters**setup page. Navigate</t>
        </is>
      </c>
      <c r="O425" t="inlineStr">
        <is>
          <t>Medium</t>
        </is>
      </c>
      <c r="P425" t="inlineStr">
        <is>
          <t>2025-06-20</t>
        </is>
      </c>
      <c r="Q425" t="inlineStr">
        <is>
          <t>Oracle Fusion 26C Readiness — Inventory Management</t>
        </is>
      </c>
      <c r="R425" t="inlineStr"/>
    </row>
    <row r="426">
      <c r="A426" t="inlineStr">
        <is>
          <t>CHG_IMP_0401</t>
        </is>
      </c>
      <c r="B426" t="inlineStr">
        <is>
          <t>REL_26C</t>
        </is>
      </c>
      <c r="C426" t="inlineStr">
        <is>
          <t>AI Agent: Inventory Label and Document Printing Assistant</t>
        </is>
      </c>
      <c r="D426" t="inlineStr">
        <is>
          <t>AI Agent: Inventory Label and Document Printing Assistant. Module: Inventory Management. Release: 26C. In busy warehouse and logistics operations, printing labels and documents is often a time-sensitive task that spans multiple systems, transactions, and ad-hoc requests. For example, a warehouse supervisor needs to quickly print item labels for all products stored in a specific subinventory to sup</t>
        </is>
      </c>
      <c r="E426" t="inlineStr">
        <is>
          <t>Inventory Management</t>
        </is>
      </c>
      <c r="F426" t="inlineStr">
        <is>
          <t>AI Feature</t>
        </is>
      </c>
      <c r="G426" t="inlineStr">
        <is>
          <t>AI Feature</t>
        </is>
      </c>
      <c r="H426" t="inlineStr"/>
      <c r="I426" t="inlineStr"/>
      <c r="J426" t="inlineStr">
        <is>
          <t>Inventory Management</t>
        </is>
      </c>
      <c r="K426" t="inlineStr">
        <is>
          <t>N</t>
        </is>
      </c>
      <c r="L426" t="inlineStr">
        <is>
          <t>Y</t>
        </is>
      </c>
      <c r="M426" t="inlineStr">
        <is>
          <t>N</t>
        </is>
      </c>
      <c r="N426" t="inlineStr">
        <is>
          <t>Action type: Steps to Enable. To enable permission groups for roles, take these steps: 1. In the Setup and Maintenance work area, search for the **Manage Administrator Profile Values** tas</t>
        </is>
      </c>
      <c r="O426" t="inlineStr">
        <is>
          <t>Medium</t>
        </is>
      </c>
      <c r="P426" t="inlineStr">
        <is>
          <t>2025-06-20</t>
        </is>
      </c>
      <c r="Q426" t="inlineStr">
        <is>
          <t>Oracle Fusion 26C Readiness — Inventory Management</t>
        </is>
      </c>
      <c r="R426" t="inlineStr"/>
    </row>
    <row r="427">
      <c r="A427" t="inlineStr">
        <is>
          <t>CHG_IMP_0402</t>
        </is>
      </c>
      <c r="B427" t="inlineStr">
        <is>
          <t>REL_26C</t>
        </is>
      </c>
      <c r="C427" t="inlineStr">
        <is>
          <t>AI Agent: Inventory Reservation Assistant - View Proactive Recommendations</t>
        </is>
      </c>
      <c r="D427" t="inlineStr">
        <is>
          <t>AI Agent: Inventory Reservation Assistant - View Proactive Recommendations. Module: Inventory Management. Release: 26C. Effectively managing order reservations is critical to meeting demand and maintaining high levels of customer satisfaction. To ensure reservations are truly supporting fulfillment goals, organizations must confirm that demand is fully reserved ahead of its scheduled ship date and</t>
        </is>
      </c>
      <c r="E427" t="inlineStr">
        <is>
          <t>Inventory Management</t>
        </is>
      </c>
      <c r="F427" t="inlineStr">
        <is>
          <t>AI Feature</t>
        </is>
      </c>
      <c r="G427" t="inlineStr">
        <is>
          <t>AI Feature</t>
        </is>
      </c>
      <c r="H427" t="inlineStr"/>
      <c r="I427" t="inlineStr"/>
      <c r="J427" t="inlineStr">
        <is>
          <t>Inventory Management</t>
        </is>
      </c>
      <c r="K427" t="inlineStr">
        <is>
          <t>N</t>
        </is>
      </c>
      <c r="L427" t="inlineStr">
        <is>
          <t>Y</t>
        </is>
      </c>
      <c r="M427" t="inlineStr">
        <is>
          <t>N</t>
        </is>
      </c>
      <c r="N427" t="inlineStr">
        <is>
          <t>Action type: Steps to Enable. To enable permission groups for roles, take these steps: 1. In the Setup and Maintenance work area, search for the **Manage Administrator Pro</t>
        </is>
      </c>
      <c r="O427" t="inlineStr">
        <is>
          <t>Medium</t>
        </is>
      </c>
      <c r="P427" t="inlineStr">
        <is>
          <t>2025-06-20</t>
        </is>
      </c>
      <c r="Q427" t="inlineStr">
        <is>
          <t>Oracle Fusion 26C Readiness — Inventory Management</t>
        </is>
      </c>
      <c r="R427" t="inlineStr"/>
    </row>
    <row r="428">
      <c r="A428" t="inlineStr">
        <is>
          <t>CHG_IMP_0403</t>
        </is>
      </c>
      <c r="B428" t="inlineStr">
        <is>
          <t>REL_26C</t>
        </is>
      </c>
      <c r="C428" t="inlineStr">
        <is>
          <t>AI Agent: Transfer Price Advisor - Calculate Transfer Price for Configured Items</t>
        </is>
      </c>
      <c r="D428" t="inlineStr">
        <is>
          <t>AI Agent: Transfer Price Advisor - Calculate Transfer Price for Configured Items. Module: Inventory Management. Release: 26C. The Intercompany Transfer Price AI Agent was initially introduced to support plain items. With this update, the agent is enhanced to support configured items as well, completing the capability across all items. This enhancement helps users estimate transfer price earlier in</t>
        </is>
      </c>
      <c r="E428" t="inlineStr">
        <is>
          <t>Inventory Management</t>
        </is>
      </c>
      <c r="F428" t="inlineStr">
        <is>
          <t>AI Feature</t>
        </is>
      </c>
      <c r="G428" t="inlineStr">
        <is>
          <t>AI Feature</t>
        </is>
      </c>
      <c r="H428" t="inlineStr"/>
      <c r="I428" t="inlineStr"/>
      <c r="J428" t="inlineStr">
        <is>
          <t>Inventory Management</t>
        </is>
      </c>
      <c r="K428" t="inlineStr">
        <is>
          <t>N</t>
        </is>
      </c>
      <c r="L428" t="inlineStr">
        <is>
          <t>Y</t>
        </is>
      </c>
      <c r="M428" t="inlineStr">
        <is>
          <t>N</t>
        </is>
      </c>
      <c r="N428" t="inlineStr">
        <is>
          <t>Action type: Steps to Enable. Use the same AI Agent Studio setup and document publishing steps shown for the agent in earlier releases. No additional configured item</t>
        </is>
      </c>
      <c r="O428" t="inlineStr">
        <is>
          <t>Medium</t>
        </is>
      </c>
      <c r="P428" t="inlineStr">
        <is>
          <t>2025-06-20</t>
        </is>
      </c>
      <c r="Q428" t="inlineStr">
        <is>
          <t>Oracle Fusion 26C Readiness — Inventory Management</t>
        </is>
      </c>
      <c r="R428" t="inlineStr"/>
    </row>
    <row r="429">
      <c r="A429" t="inlineStr">
        <is>
          <t>CHG_IMP_0404</t>
        </is>
      </c>
      <c r="B429" t="inlineStr">
        <is>
          <t>REL_26C</t>
        </is>
      </c>
      <c r="C429" t="inlineStr">
        <is>
          <t>AI Agentic App: Warehouse Operations Workspace - Use Improved Stockout and Outbound Recommendations</t>
        </is>
      </c>
      <c r="D429" t="inlineStr">
        <is>
          <t>AI Agentic App: Warehouse Operations Workspace - Use Improved Stockout and Outbound Recommendations. Module: Inventory Management. Release: 26C. The Warehouse Operations workspace provides warehouse managers a unified experience for keeping warehouse operations running smoothly and efficiently by bringing together operational insights, AI-driven recommendations, and intelligent assistance in a sin</t>
        </is>
      </c>
      <c r="E429" t="inlineStr">
        <is>
          <t>Inventory Management</t>
        </is>
      </c>
      <c r="F429" t="inlineStr">
        <is>
          <t>AI Feature</t>
        </is>
      </c>
      <c r="G429" t="inlineStr">
        <is>
          <t>AI Feature</t>
        </is>
      </c>
      <c r="H429" t="inlineStr"/>
      <c r="I429" t="inlineStr"/>
      <c r="J429" t="inlineStr">
        <is>
          <t>Inventory Management</t>
        </is>
      </c>
      <c r="K429" t="inlineStr">
        <is>
          <t>N</t>
        </is>
      </c>
      <c r="L429" t="inlineStr">
        <is>
          <t>Y</t>
        </is>
      </c>
      <c r="M429" t="inlineStr">
        <is>
          <t>N</t>
        </is>
      </c>
      <c r="N429" t="inlineStr">
        <is>
          <t>Action type: Steps to Enable. Follow these steps to enable the Warehouse Operations workspace agentic app: 1. Navigate to the Setup and Maintenanc</t>
        </is>
      </c>
      <c r="O429" t="inlineStr">
        <is>
          <t>Medium</t>
        </is>
      </c>
      <c r="P429" t="inlineStr">
        <is>
          <t>2025-06-20</t>
        </is>
      </c>
      <c r="Q429" t="inlineStr">
        <is>
          <t>Oracle Fusion 26C Readiness — Inventory Management</t>
        </is>
      </c>
      <c r="R429" t="inlineStr"/>
    </row>
    <row r="430">
      <c r="A430" t="inlineStr">
        <is>
          <t>CHG_IMP_0405</t>
        </is>
      </c>
      <c r="B430" t="inlineStr">
        <is>
          <t>REL_26C</t>
        </is>
      </c>
      <c r="C430" t="inlineStr">
        <is>
          <t>Capture Fiscal Documents for Intercompany Drop Shipments</t>
        </is>
      </c>
      <c r="D430" t="inlineStr">
        <is>
          <t>Capture Fiscal Documents for Intercompany Drop Shipments. Module: Inventory Management. Release: 26C. Enable Fiscal Document Capture for intercompany drop-shipment flows that import goods into Brazil. This update introduces the new fiscal flow Import Material by Drop Shipment, supports fiscal-document capture against the sales-order context, and works with shipment-event hold controls so trade eve</t>
        </is>
      </c>
      <c r="E430" t="inlineStr">
        <is>
          <t>Inventory Management</t>
        </is>
      </c>
      <c r="F430" t="inlineStr">
        <is>
          <t>Functional</t>
        </is>
      </c>
      <c r="G430" t="inlineStr">
        <is>
          <t>Functional</t>
        </is>
      </c>
      <c r="H430" t="inlineStr"/>
      <c r="I430" t="inlineStr"/>
      <c r="J430" t="inlineStr">
        <is>
          <t>Inventory Management</t>
        </is>
      </c>
      <c r="K430" t="inlineStr">
        <is>
          <t>N</t>
        </is>
      </c>
      <c r="L430" t="inlineStr">
        <is>
          <t>Y</t>
        </is>
      </c>
      <c r="M430" t="inlineStr">
        <is>
          <t>N</t>
        </is>
      </c>
      <c r="N430" t="inlineStr">
        <is>
          <t>Action type: Steps to Enable. Set up a valid financial orchestration flow between the participating business units, enable the 26A shipment-flow hold-control feature, and configure the rele</t>
        </is>
      </c>
      <c r="O430" t="inlineStr">
        <is>
          <t>Medium</t>
        </is>
      </c>
      <c r="P430" t="inlineStr">
        <is>
          <t>2025-06-20</t>
        </is>
      </c>
      <c r="Q430" t="inlineStr">
        <is>
          <t>Oracle Fusion 26C Readiness — Inventory Management</t>
        </is>
      </c>
      <c r="R430" t="inlineStr"/>
    </row>
    <row r="431">
      <c r="A431" t="inlineStr">
        <is>
          <t>CHG_IMP_0406</t>
        </is>
      </c>
      <c r="B431" t="inlineStr">
        <is>
          <t>REL_26C</t>
        </is>
      </c>
      <c r="C431" t="inlineStr">
        <is>
          <t>Configure Customer-Specific Intercompany Pricing Using Price Lists</t>
        </is>
      </c>
      <c r="D431" t="inlineStr">
        <is>
          <t>Configure Customer-Specific Intercompany Pricing Using Price Lists. Module: Inventory Management. Release: 26C. Use the enhanced estimated transfer price service to calculate intercompany transfer prices with customer-specific pricing strategies tied to the referenced sales order fulfillment line. You can now pass the fulfillment line identifier through the estimated transfer price flow so pricing</t>
        </is>
      </c>
      <c r="E431" t="inlineStr">
        <is>
          <t>Inventory Management</t>
        </is>
      </c>
      <c r="F431" t="inlineStr">
        <is>
          <t>Functional</t>
        </is>
      </c>
      <c r="G431" t="inlineStr">
        <is>
          <t>Functional</t>
        </is>
      </c>
      <c r="H431" t="inlineStr"/>
      <c r="I431" t="inlineStr"/>
      <c r="J431" t="inlineStr">
        <is>
          <t>Inventory Management</t>
        </is>
      </c>
      <c r="K431" t="inlineStr">
        <is>
          <t>N</t>
        </is>
      </c>
      <c r="L431" t="inlineStr">
        <is>
          <t>Y</t>
        </is>
      </c>
      <c r="M431" t="inlineStr">
        <is>
          <t>N</t>
        </is>
      </c>
      <c r="N431" t="inlineStr">
        <is>
          <t>Action type: Steps to Enable. Review the REST service definition in the REST API guides to leverage (available from the Oracle Help Center &gt; *your apps service area of interest* &gt;</t>
        </is>
      </c>
      <c r="O431" t="inlineStr">
        <is>
          <t>Medium</t>
        </is>
      </c>
      <c r="P431" t="inlineStr">
        <is>
          <t>2025-06-20</t>
        </is>
      </c>
      <c r="Q431" t="inlineStr">
        <is>
          <t>Oracle Fusion 26C Readiness — Inventory Management</t>
        </is>
      </c>
      <c r="R431" t="inlineStr"/>
    </row>
    <row r="432">
      <c r="A432" t="inlineStr">
        <is>
          <t>CHG_IMP_0407</t>
        </is>
      </c>
      <c r="B432" t="inlineStr">
        <is>
          <t>REL_26C</t>
        </is>
      </c>
      <c r="C432" t="inlineStr">
        <is>
          <t>Create Transfer Orders with Header Level Descriptive Flexfields</t>
        </is>
      </c>
      <c r="D432" t="inlineStr">
        <is>
          <t>Create Transfer Orders with Header Level Descriptive Flexfields. Module: Inventory Management. Release: 26C. Use the Oracle Supply Chain Orchestration Supply Requests REST API and the Supply Order Import FBDI template to create transfer orders with header level descriptive flexfields.
Oracle Supply Chain Orchestration now supports transfer order header-level descriptive flexfields in the Supply R</t>
        </is>
      </c>
      <c r="E432" t="inlineStr">
        <is>
          <t>Inventory Management</t>
        </is>
      </c>
      <c r="F432" t="inlineStr">
        <is>
          <t>Functional</t>
        </is>
      </c>
      <c r="G432" t="inlineStr">
        <is>
          <t>Functional</t>
        </is>
      </c>
      <c r="H432" t="inlineStr"/>
      <c r="I432" t="inlineStr"/>
      <c r="J432" t="inlineStr">
        <is>
          <t>Inventory Management</t>
        </is>
      </c>
      <c r="K432" t="inlineStr">
        <is>
          <t>N</t>
        </is>
      </c>
      <c r="L432" t="inlineStr">
        <is>
          <t>N</t>
        </is>
      </c>
      <c r="M432" t="inlineStr">
        <is>
          <t>N</t>
        </is>
      </c>
      <c r="N432" t="inlineStr">
        <is>
          <t>Auto-enabled — no action required</t>
        </is>
      </c>
      <c r="O432" t="inlineStr">
        <is>
          <t>Low</t>
        </is>
      </c>
      <c r="P432" t="inlineStr">
        <is>
          <t>2025-06-20</t>
        </is>
      </c>
      <c r="Q432" t="inlineStr">
        <is>
          <t>Oracle Fusion 26C Readiness — Inventory Management</t>
        </is>
      </c>
      <c r="R432" t="inlineStr"/>
    </row>
    <row r="433">
      <c r="A433" t="inlineStr">
        <is>
          <t>CHG_IMP_0408</t>
        </is>
      </c>
      <c r="B433" t="inlineStr">
        <is>
          <t>REL_26C</t>
        </is>
      </c>
      <c r="C433" t="inlineStr">
        <is>
          <t>Create Work Orders with Find Numbers for Substituted Components</t>
        </is>
      </c>
      <c r="D433" t="inlineStr">
        <is>
          <t>Create Work Orders with Find Numbers for Substituted Components. Module: Inventory Management. Release: 26C. Supply Chain Orchestration now supports receiving find numbers for substituted components from Oracle Supply Chain Planning and passing them to Oracle Manufacturing during work order creation.
This enhancement preserves component-specific details when the same item appears multiple times i</t>
        </is>
      </c>
      <c r="E433" t="inlineStr">
        <is>
          <t>Inventory Management</t>
        </is>
      </c>
      <c r="F433" t="inlineStr">
        <is>
          <t>Functional</t>
        </is>
      </c>
      <c r="G433" t="inlineStr">
        <is>
          <t>Functional</t>
        </is>
      </c>
      <c r="H433" t="inlineStr"/>
      <c r="I433" t="inlineStr"/>
      <c r="J433" t="inlineStr">
        <is>
          <t>Inventory Management</t>
        </is>
      </c>
      <c r="K433" t="inlineStr">
        <is>
          <t>N</t>
        </is>
      </c>
      <c r="L433" t="inlineStr">
        <is>
          <t>N</t>
        </is>
      </c>
      <c r="M433" t="inlineStr">
        <is>
          <t>N</t>
        </is>
      </c>
      <c r="N433" t="inlineStr">
        <is>
          <t>Auto-enabled — no action required</t>
        </is>
      </c>
      <c r="O433" t="inlineStr">
        <is>
          <t>Low</t>
        </is>
      </c>
      <c r="P433" t="inlineStr">
        <is>
          <t>2025-06-20</t>
        </is>
      </c>
      <c r="Q433" t="inlineStr">
        <is>
          <t>Oracle Fusion 26C Readiness — Inventory Management</t>
        </is>
      </c>
      <c r="R433" t="inlineStr"/>
    </row>
    <row r="434">
      <c r="A434" t="inlineStr">
        <is>
          <t>CHG_IMP_0409</t>
        </is>
      </c>
      <c r="B434" t="inlineStr">
        <is>
          <t>REL_26C</t>
        </is>
      </c>
      <c r="C434" t="inlineStr">
        <is>
          <t>Enable Hold Control While Processing Intercompany Events in the Shipment Flow</t>
        </is>
      </c>
      <c r="D434" t="inlineStr">
        <is>
          <t>Enable Hold Control While Processing Intercompany Events in the Shipment Flow. Module: Inventory Management. Release: 26C. You can now control when intercompany trade events in the shipment flow are released to downstream financial systems. With this feature, you can configure your financial flow agreement to hold logical shipment orchestration, logical receipt orchestration, or both, and then rel</t>
        </is>
      </c>
      <c r="E434" t="inlineStr">
        <is>
          <t>Inventory Management</t>
        </is>
      </c>
      <c r="F434" t="inlineStr">
        <is>
          <t>Functional</t>
        </is>
      </c>
      <c r="G434" t="inlineStr">
        <is>
          <t>Functional</t>
        </is>
      </c>
      <c r="H434" t="inlineStr"/>
      <c r="I434" t="inlineStr"/>
      <c r="J434" t="inlineStr">
        <is>
          <t>Inventory Management</t>
        </is>
      </c>
      <c r="K434" t="inlineStr">
        <is>
          <t>N</t>
        </is>
      </c>
      <c r="L434" t="inlineStr">
        <is>
          <t>Y</t>
        </is>
      </c>
      <c r="M434" t="inlineStr">
        <is>
          <t>N</t>
        </is>
      </c>
      <c r="N434" t="inlineStr">
        <is>
          <t>Action type: Steps to Enable. Use the Opt In UI to enable this feature. For instructions, refer to the Optional Uptake of New Features section of this document. Offerin</t>
        </is>
      </c>
      <c r="O434" t="inlineStr">
        <is>
          <t>Medium</t>
        </is>
      </c>
      <c r="P434" t="inlineStr">
        <is>
          <t>2025-06-20</t>
        </is>
      </c>
      <c r="Q434" t="inlineStr">
        <is>
          <t>Oracle Fusion 26C Readiness — Inventory Management</t>
        </is>
      </c>
      <c r="R434" t="inlineStr"/>
    </row>
    <row r="435">
      <c r="A435" t="inlineStr">
        <is>
          <t>CHG_IMP_0410</t>
        </is>
      </c>
      <c r="B435" t="inlineStr">
        <is>
          <t>REL_26C</t>
        </is>
      </c>
      <c r="C435" t="inlineStr">
        <is>
          <t>Enable Receipt Accounting Periods</t>
        </is>
      </c>
      <c r="D435" t="inlineStr">
        <is>
          <t>Enable Receipt Accounting Periods. Module: Inventory Management. Release: 26C. In this update, Receipt Accounting introduces periods for its subledgers to control transaction processing and subledger activities independent of the general ledger periods. Receipt accounting periods enable you to monitor the timing of transaction processing and perform validations in preparation Opt-in required: true</t>
        </is>
      </c>
      <c r="E435" t="inlineStr">
        <is>
          <t>Inventory Management</t>
        </is>
      </c>
      <c r="F435" t="inlineStr">
        <is>
          <t>Functional</t>
        </is>
      </c>
      <c r="G435" t="inlineStr">
        <is>
          <t>Functional</t>
        </is>
      </c>
      <c r="H435" t="inlineStr"/>
      <c r="I435" t="inlineStr"/>
      <c r="J435" t="inlineStr">
        <is>
          <t>Inventory Management</t>
        </is>
      </c>
      <c r="K435" t="inlineStr">
        <is>
          <t>N</t>
        </is>
      </c>
      <c r="L435" t="inlineStr">
        <is>
          <t>Y</t>
        </is>
      </c>
      <c r="M435" t="inlineStr">
        <is>
          <t>N</t>
        </is>
      </c>
      <c r="N435" t="inlineStr">
        <is>
          <t>Action type: Steps to Enable. Use the Opt In UI to enable this feature. For instructions, refer to the Optional Uptake of New Features section of this document. Offering: *Manufacturing and Supply Cha</t>
        </is>
      </c>
      <c r="O435" t="inlineStr">
        <is>
          <t>Medium</t>
        </is>
      </c>
      <c r="P435" t="inlineStr">
        <is>
          <t>2025-06-20</t>
        </is>
      </c>
      <c r="Q435" t="inlineStr">
        <is>
          <t>Oracle Fusion 26C Readiness — Inventory Management</t>
        </is>
      </c>
      <c r="R435" t="inlineStr"/>
    </row>
    <row r="436">
      <c r="A436" t="inlineStr">
        <is>
          <t>CHG_IMP_0411</t>
        </is>
      </c>
      <c r="B436" t="inlineStr">
        <is>
          <t>REL_26C</t>
        </is>
      </c>
      <c r="C436" t="inlineStr">
        <is>
          <t>Publish Inventory On-Hand Balances to an External Execution System Using a File-Based Integration for Reconciliation</t>
        </is>
      </c>
      <c r="D436" t="inlineStr">
        <is>
          <t>Publish Inventory On-Hand Balances to an External Execution System Using a File-Based Integration for Reconciliation. Module: Inventory Management. Release: 26C. When using an external execution system, such as a warehouse management system (WMS) or third-party logistics provider (3PL), maintaining accurate and synchronized inventory data across platforms is essential. As Oracle Fusion Cloud Inven</t>
        </is>
      </c>
      <c r="E436" t="inlineStr">
        <is>
          <t>Inventory Management</t>
        </is>
      </c>
      <c r="F436" t="inlineStr">
        <is>
          <t>Functional</t>
        </is>
      </c>
      <c r="G436" t="inlineStr">
        <is>
          <t>Functional</t>
        </is>
      </c>
      <c r="H436" t="inlineStr"/>
      <c r="I436" t="inlineStr"/>
      <c r="J436" t="inlineStr">
        <is>
          <t>Inventory Management</t>
        </is>
      </c>
      <c r="K436" t="inlineStr">
        <is>
          <t>N</t>
        </is>
      </c>
      <c r="L436" t="inlineStr">
        <is>
          <t>N</t>
        </is>
      </c>
      <c r="M436" t="inlineStr">
        <is>
          <t>N</t>
        </is>
      </c>
      <c r="N436" t="inlineStr">
        <is>
          <t>Auto-enabled — no action required</t>
        </is>
      </c>
      <c r="O436" t="inlineStr">
        <is>
          <t>Low</t>
        </is>
      </c>
      <c r="P436" t="inlineStr">
        <is>
          <t>2025-06-20</t>
        </is>
      </c>
      <c r="Q436" t="inlineStr">
        <is>
          <t>Oracle Fusion 26C Readiness — Inventory Management</t>
        </is>
      </c>
      <c r="R436" t="inlineStr"/>
    </row>
    <row r="437">
      <c r="A437" t="inlineStr">
        <is>
          <t>CHG_IMP_0412</t>
        </is>
      </c>
      <c r="B437" t="inlineStr">
        <is>
          <t>REL_26C</t>
        </is>
      </c>
      <c r="C437" t="inlineStr">
        <is>
          <t>Purge Expired Outbound and Inbound Message Files from the Oracle Content Repository</t>
        </is>
      </c>
      <c r="D437" t="inlineStr">
        <is>
          <t>Purge Expired Outbound and Inbound Message Files from the Oracle Content Repository. Module: Inventory Management. Release: 26C. Oracle Collaboration Messaging stores integration artifacts in specific repository accounts. Over time, these files can accumulate, driving storage growth and slowing down queries, which can impact overall processing performance.
 You can use the **Run Data Lifecycle Pr</t>
        </is>
      </c>
      <c r="E437" t="inlineStr">
        <is>
          <t>Inventory Management</t>
        </is>
      </c>
      <c r="F437" t="inlineStr">
        <is>
          <t>Functional</t>
        </is>
      </c>
      <c r="G437" t="inlineStr">
        <is>
          <t>Functional</t>
        </is>
      </c>
      <c r="H437" t="inlineStr"/>
      <c r="I437" t="inlineStr"/>
      <c r="J437" t="inlineStr">
        <is>
          <t>Inventory Management</t>
        </is>
      </c>
      <c r="K437" t="inlineStr">
        <is>
          <t>N</t>
        </is>
      </c>
      <c r="L437" t="inlineStr">
        <is>
          <t>Y</t>
        </is>
      </c>
      <c r="M437" t="inlineStr">
        <is>
          <t>N</t>
        </is>
      </c>
      <c r="N437" t="inlineStr">
        <is>
          <t>Action type: Steps to Enable. Here's how you can clean up accumulated files: 1. From the **Scheduled Processes** area, schedule the **Run Data Lifecycle Process for Collabo</t>
        </is>
      </c>
      <c r="O437" t="inlineStr">
        <is>
          <t>Medium</t>
        </is>
      </c>
      <c r="P437" t="inlineStr">
        <is>
          <t>2025-06-20</t>
        </is>
      </c>
      <c r="Q437" t="inlineStr">
        <is>
          <t>Oracle Fusion 26C Readiness — Inventory Management</t>
        </is>
      </c>
      <c r="R437" t="inlineStr"/>
    </row>
    <row r="438">
      <c r="A438" t="inlineStr">
        <is>
          <t>CHG_IMP_0413</t>
        </is>
      </c>
      <c r="B438" t="inlineStr">
        <is>
          <t>REL_26C</t>
        </is>
      </c>
      <c r="C438" t="inlineStr">
        <is>
          <t>Redwood: Add Lines to an Existing Receipt Using a Mobile Device</t>
        </is>
      </c>
      <c r="D438" t="inlineStr">
        <is>
          <t>Redwood: Add Lines to an Existing Receipt Using a Mobile Device. Module: Inventory Management. Release: 26C. In high-volume receiving environments, large purchase orders are often split across multiple receivers, working simultaneously to expedite order processing. As each receiver handles their own portion of the shipment, they may complete the processing at different intervals.
However, your in</t>
        </is>
      </c>
      <c r="E438" t="inlineStr">
        <is>
          <t>Inventory Management</t>
        </is>
      </c>
      <c r="F438" t="inlineStr">
        <is>
          <t>Functional</t>
        </is>
      </c>
      <c r="G438" t="inlineStr">
        <is>
          <t>Functional</t>
        </is>
      </c>
      <c r="H438" t="inlineStr"/>
      <c r="I438" t="inlineStr"/>
      <c r="J438" t="inlineStr">
        <is>
          <t>Inventory Management</t>
        </is>
      </c>
      <c r="K438" t="inlineStr">
        <is>
          <t>N</t>
        </is>
      </c>
      <c r="L438" t="inlineStr">
        <is>
          <t>N</t>
        </is>
      </c>
      <c r="M438" t="inlineStr">
        <is>
          <t>N</t>
        </is>
      </c>
      <c r="N438" t="inlineStr">
        <is>
          <t>Auto-enabled — no action required</t>
        </is>
      </c>
      <c r="O438" t="inlineStr">
        <is>
          <t>Low</t>
        </is>
      </c>
      <c r="P438" t="inlineStr">
        <is>
          <t>2025-06-20</t>
        </is>
      </c>
      <c r="Q438" t="inlineStr">
        <is>
          <t>Oracle Fusion 26C Readiness — Inventory Management</t>
        </is>
      </c>
      <c r="R438" t="inlineStr"/>
    </row>
    <row r="439">
      <c r="A439" t="inlineStr">
        <is>
          <t>CHG_IMP_0414</t>
        </is>
      </c>
      <c r="B439" t="inlineStr">
        <is>
          <t>REL_26C</t>
        </is>
      </c>
      <c r="C439" t="inlineStr">
        <is>
          <t>Redwood: Automatically Calculate and Review PAR-Level Values Before Updating Current Values</t>
        </is>
      </c>
      <c r="D439" t="inlineStr">
        <is>
          <t>Redwood: Automatically Calculate and Review PAR-Level Values Before Updating Current Values. Module: Inventory Management. Release: 26C. Hospitals and healthcare providers rely on accurate PAR (Periodic Automatic Replenishment) levels to ensure critical supplies are consistently available while avoiding overstocking and waste. However, determining optimal PAR levels is often a manual, time-intensi</t>
        </is>
      </c>
      <c r="E439" t="inlineStr">
        <is>
          <t>Inventory Management</t>
        </is>
      </c>
      <c r="F439" t="inlineStr">
        <is>
          <t>Functional</t>
        </is>
      </c>
      <c r="G439" t="inlineStr">
        <is>
          <t>Functional</t>
        </is>
      </c>
      <c r="H439" t="inlineStr"/>
      <c r="I439" t="inlineStr"/>
      <c r="J439" t="inlineStr">
        <is>
          <t>Inventory Management</t>
        </is>
      </c>
      <c r="K439" t="inlineStr">
        <is>
          <t>N</t>
        </is>
      </c>
      <c r="L439" t="inlineStr">
        <is>
          <t>N</t>
        </is>
      </c>
      <c r="M439" t="inlineStr">
        <is>
          <t>N</t>
        </is>
      </c>
      <c r="N439" t="inlineStr">
        <is>
          <t>Auto-enabled — no action required</t>
        </is>
      </c>
      <c r="O439" t="inlineStr">
        <is>
          <t>Low</t>
        </is>
      </c>
      <c r="P439" t="inlineStr">
        <is>
          <t>2025-06-20</t>
        </is>
      </c>
      <c r="Q439" t="inlineStr">
        <is>
          <t>Oracle Fusion 26C Readiness — Inventory Management</t>
        </is>
      </c>
      <c r="R439" t="inlineStr"/>
    </row>
    <row r="440">
      <c r="A440" t="inlineStr">
        <is>
          <t>CHG_IMP_0415</t>
        </is>
      </c>
      <c r="B440" t="inlineStr">
        <is>
          <t>REL_26C</t>
        </is>
      </c>
      <c r="C440" t="inlineStr">
        <is>
          <t>Redwood: Calculate and Adjust LPN Weight and Volume When Packing or Repacking</t>
        </is>
      </c>
      <c r="D440" t="inlineStr">
        <is>
          <t>Redwood: Calculate and Adjust LPN Weight and Volume When Packing or Repacking. Module: Inventory Management. Release: 26C. License Plate Numbers (LPNs) represent a group of items packaged together to move, ship, and transact items efficiently. For instance, a thousand serialized circuit boards packed in a box, multiple boxes packed in a case, and multiple cases packed on a pallet. You can assign L</t>
        </is>
      </c>
      <c r="E440" t="inlineStr">
        <is>
          <t>Inventory Management</t>
        </is>
      </c>
      <c r="F440" t="inlineStr">
        <is>
          <t>Functional</t>
        </is>
      </c>
      <c r="G440" t="inlineStr">
        <is>
          <t>Functional</t>
        </is>
      </c>
      <c r="H440" t="inlineStr"/>
      <c r="I440" t="inlineStr"/>
      <c r="J440" t="inlineStr">
        <is>
          <t>Inventory Management</t>
        </is>
      </c>
      <c r="K440" t="inlineStr">
        <is>
          <t>N</t>
        </is>
      </c>
      <c r="L440" t="inlineStr">
        <is>
          <t>Y</t>
        </is>
      </c>
      <c r="M440" t="inlineStr">
        <is>
          <t>N</t>
        </is>
      </c>
      <c r="N440" t="inlineStr">
        <is>
          <t>Action type: Steps to Enable. Use the Opt In UI to enable this feature. For instructions, refer to the Optional Uptake of New Features section of this document. Offerin</t>
        </is>
      </c>
      <c r="O440" t="inlineStr">
        <is>
          <t>Medium</t>
        </is>
      </c>
      <c r="P440" t="inlineStr">
        <is>
          <t>2025-06-20</t>
        </is>
      </c>
      <c r="Q440" t="inlineStr">
        <is>
          <t>Oracle Fusion 26C Readiness — Inventory Management</t>
        </is>
      </c>
      <c r="R440" t="inlineStr"/>
    </row>
    <row r="441">
      <c r="A441" t="inlineStr">
        <is>
          <t>CHG_IMP_0416</t>
        </is>
      </c>
      <c r="B441" t="inlineStr">
        <is>
          <t>REL_26C</t>
        </is>
      </c>
      <c r="C441" t="inlineStr">
        <is>
          <t>Redwood: Cancel a Receipt Delivery</t>
        </is>
      </c>
      <c r="D441" t="inlineStr">
        <is>
          <t>Redwood: Cancel a Receipt Delivery. Module: Inventory Management. Release: 26C. In healthcare and other inventory intensive organizations, receipt deliveries are the final step in moving critical supplies to PAR locations, satellite supply areas, or people who requested them. However, operational situations, such as manual pickups of deliveries may require certain deliveries to</t>
        </is>
      </c>
      <c r="E441" t="inlineStr">
        <is>
          <t>Inventory Management</t>
        </is>
      </c>
      <c r="F441" t="inlineStr">
        <is>
          <t>Functional</t>
        </is>
      </c>
      <c r="G441" t="inlineStr">
        <is>
          <t>Functional</t>
        </is>
      </c>
      <c r="H441" t="inlineStr"/>
      <c r="I441" t="inlineStr"/>
      <c r="J441" t="inlineStr">
        <is>
          <t>Inventory Management</t>
        </is>
      </c>
      <c r="K441" t="inlineStr">
        <is>
          <t>N</t>
        </is>
      </c>
      <c r="L441" t="inlineStr">
        <is>
          <t>Y</t>
        </is>
      </c>
      <c r="M441" t="inlineStr">
        <is>
          <t>N</t>
        </is>
      </c>
      <c r="N441" t="inlineStr">
        <is>
          <t>Action type: Steps to Enable. Leverage the Visual Builder Studio to expose your applications. To learn more about extending your application using Visual Builder, visit Oracle Help Center &gt; *your apps</t>
        </is>
      </c>
      <c r="O441" t="inlineStr">
        <is>
          <t>Medium</t>
        </is>
      </c>
      <c r="P441" t="inlineStr">
        <is>
          <t>2025-06-20</t>
        </is>
      </c>
      <c r="Q441" t="inlineStr">
        <is>
          <t>Oracle Fusion 26C Readiness — Inventory Management</t>
        </is>
      </c>
      <c r="R441" t="inlineStr"/>
    </row>
    <row r="442">
      <c r="A442" t="inlineStr">
        <is>
          <t>CHG_IMP_0417</t>
        </is>
      </c>
      <c r="B442" t="inlineStr">
        <is>
          <t>REL_26C</t>
        </is>
      </c>
      <c r="C442" t="inlineStr">
        <is>
          <t>Redwood: Correct Serial Number on a Drop Ship ASN</t>
        </is>
      </c>
      <c r="D442" t="inlineStr">
        <is>
          <t>Redwood: Correct Serial Number on a Drop Ship ASN. Module: Inventory Management. Release: 26C. Accurate serial number tracking is essential for traceability, compliance, and services or warranty tracking for organizations that rely on drop ship processes to fulfill customer demand. However, errors can occur occasionally when you create  Advance Shipment Notices (ASNs). For example, a supplier</t>
        </is>
      </c>
      <c r="E442" t="inlineStr">
        <is>
          <t>Inventory Management</t>
        </is>
      </c>
      <c r="F442" t="inlineStr">
        <is>
          <t>Functional</t>
        </is>
      </c>
      <c r="G442" t="inlineStr">
        <is>
          <t>Functional</t>
        </is>
      </c>
      <c r="H442" t="inlineStr"/>
      <c r="I442" t="inlineStr"/>
      <c r="J442" t="inlineStr">
        <is>
          <t>Inventory Management</t>
        </is>
      </c>
      <c r="K442" t="inlineStr">
        <is>
          <t>N</t>
        </is>
      </c>
      <c r="L442" t="inlineStr">
        <is>
          <t>Y</t>
        </is>
      </c>
      <c r="M442" t="inlineStr">
        <is>
          <t>N</t>
        </is>
      </c>
      <c r="N442" t="inlineStr">
        <is>
          <t>Action type: Steps to Enable. • Add this new privilege (mentioned in Access Requirements section) to a custom role and assign the role to the applicable users.</t>
        </is>
      </c>
      <c r="O442" t="inlineStr">
        <is>
          <t>Medium</t>
        </is>
      </c>
      <c r="P442" t="inlineStr">
        <is>
          <t>2025-06-20</t>
        </is>
      </c>
      <c r="Q442" t="inlineStr">
        <is>
          <t>Oracle Fusion 26C Readiness — Inventory Management</t>
        </is>
      </c>
      <c r="R442" t="inlineStr"/>
    </row>
    <row r="443">
      <c r="A443" t="inlineStr">
        <is>
          <t>CHG_IMP_0418</t>
        </is>
      </c>
      <c r="B443" t="inlineStr">
        <is>
          <t>REL_26C</t>
        </is>
      </c>
      <c r="C443" t="inlineStr">
        <is>
          <t>Redwood: Export All Search Results Records on the Item Quantities Page</t>
        </is>
      </c>
      <c r="D443" t="inlineStr">
        <is>
          <t>Redwood: Export All Search Results Records on the Item Quantities Page. Module: Inventory Management. Release: 26C. For organizations managing inventory across multiple warehouses and stockrooms, quickly accessing and analyzing on-hand quantities is essential for effective decision making. While the Item Quantities page provides a centralized view of current inventory levels, you might need to wor</t>
        </is>
      </c>
      <c r="E443" t="inlineStr">
        <is>
          <t>Inventory Management</t>
        </is>
      </c>
      <c r="F443" t="inlineStr">
        <is>
          <t>Functional</t>
        </is>
      </c>
      <c r="G443" t="inlineStr">
        <is>
          <t>Functional</t>
        </is>
      </c>
      <c r="H443" t="inlineStr"/>
      <c r="I443" t="inlineStr"/>
      <c r="J443" t="inlineStr">
        <is>
          <t>Inventory Management</t>
        </is>
      </c>
      <c r="K443" t="inlineStr">
        <is>
          <t>N</t>
        </is>
      </c>
      <c r="L443" t="inlineStr">
        <is>
          <t>N</t>
        </is>
      </c>
      <c r="M443" t="inlineStr">
        <is>
          <t>N</t>
        </is>
      </c>
      <c r="N443" t="inlineStr">
        <is>
          <t>Auto-enabled — no action required</t>
        </is>
      </c>
      <c r="O443" t="inlineStr">
        <is>
          <t>Low</t>
        </is>
      </c>
      <c r="P443" t="inlineStr">
        <is>
          <t>2025-06-20</t>
        </is>
      </c>
      <c r="Q443" t="inlineStr">
        <is>
          <t>Oracle Fusion 26C Readiness — Inventory Management</t>
        </is>
      </c>
      <c r="R443" t="inlineStr"/>
    </row>
    <row r="444">
      <c r="A444" t="inlineStr">
        <is>
          <t>CHG_IMP_0419</t>
        </is>
      </c>
      <c r="B444" t="inlineStr">
        <is>
          <t>REL_26C</t>
        </is>
      </c>
      <c r="C444" t="inlineStr">
        <is>
          <t>Redwood: Manage B2B Certificates</t>
        </is>
      </c>
      <c r="D444" t="inlineStr">
        <is>
          <t>Redwood: Manage B2B Certificates. Module: Inventory Management. Release: 26C. You can now use a Redwood page to define, manage, and maintain the digital certificates used to enable encryption and decryption for collaboration messages exchanged with your trading partners using the AS2 protocol via Oracle B2B.
This helps protect sensitive data in transit and meet organizationa</t>
        </is>
      </c>
      <c r="E444" t="inlineStr">
        <is>
          <t>Inventory Management</t>
        </is>
      </c>
      <c r="F444" t="inlineStr">
        <is>
          <t>Functional</t>
        </is>
      </c>
      <c r="G444" t="inlineStr">
        <is>
          <t>Functional</t>
        </is>
      </c>
      <c r="H444" t="inlineStr"/>
      <c r="I444" t="inlineStr"/>
      <c r="J444" t="inlineStr">
        <is>
          <t>Inventory Management</t>
        </is>
      </c>
      <c r="K444" t="inlineStr">
        <is>
          <t>N</t>
        </is>
      </c>
      <c r="L444" t="inlineStr">
        <is>
          <t>Y</t>
        </is>
      </c>
      <c r="M444" t="inlineStr">
        <is>
          <t>N</t>
        </is>
      </c>
      <c r="N444" t="inlineStr">
        <is>
          <t>Action type: Steps to Enable. You can access this functionality by enabling the feature **Simplify Configuration and Processing for B2B Messaging**orthe profile option **ORA_CMK_MESSAGING_CERTIFICATES</t>
        </is>
      </c>
      <c r="O444" t="inlineStr">
        <is>
          <t>Medium</t>
        </is>
      </c>
      <c r="P444" t="inlineStr">
        <is>
          <t>2025-06-20</t>
        </is>
      </c>
      <c r="Q444" t="inlineStr">
        <is>
          <t>Oracle Fusion 26C Readiness — Inventory Management</t>
        </is>
      </c>
      <c r="R444" t="inlineStr"/>
    </row>
    <row r="445">
      <c r="A445" t="inlineStr">
        <is>
          <t>CHG_IMP_0420</t>
        </is>
      </c>
      <c r="B445" t="inlineStr">
        <is>
          <t>REL_26C</t>
        </is>
      </c>
      <c r="C445" t="inlineStr">
        <is>
          <t>Redwood: Manage Policy Profile Assignments Using a Redwood Page</t>
        </is>
      </c>
      <c r="D445" t="inlineStr">
        <is>
          <t>Redwood: Manage Policy Profile Assignments Using a Redwood Page. Module: Inventory Management. Release: 26C. You can view, search for, create, edit, and delete policy profile assignments for organizations and subinventories. Policy profiles contain the input policy parameters to calculate PAR levels and min-max quantities. Assigning policy profiles is the final step in setting up PAR replenishment</t>
        </is>
      </c>
      <c r="E445" t="inlineStr">
        <is>
          <t>Inventory Management</t>
        </is>
      </c>
      <c r="F445" t="inlineStr">
        <is>
          <t>Functional</t>
        </is>
      </c>
      <c r="G445" t="inlineStr">
        <is>
          <t>Functional</t>
        </is>
      </c>
      <c r="H445" t="inlineStr"/>
      <c r="I445" t="inlineStr"/>
      <c r="J445" t="inlineStr">
        <is>
          <t>Inventory Management</t>
        </is>
      </c>
      <c r="K445" t="inlineStr">
        <is>
          <t>N</t>
        </is>
      </c>
      <c r="L445" t="inlineStr">
        <is>
          <t>N</t>
        </is>
      </c>
      <c r="M445" t="inlineStr">
        <is>
          <t>N</t>
        </is>
      </c>
      <c r="N445" t="inlineStr">
        <is>
          <t>Auto-enabled — no action required</t>
        </is>
      </c>
      <c r="O445" t="inlineStr">
        <is>
          <t>Low</t>
        </is>
      </c>
      <c r="P445" t="inlineStr">
        <is>
          <t>2025-06-20</t>
        </is>
      </c>
      <c r="Q445" t="inlineStr">
        <is>
          <t>Oracle Fusion 26C Readiness — Inventory Management</t>
        </is>
      </c>
      <c r="R445" t="inlineStr"/>
    </row>
    <row r="446">
      <c r="A446" t="inlineStr">
        <is>
          <t>CHG_IMP_0421</t>
        </is>
      </c>
      <c r="B446" t="inlineStr">
        <is>
          <t>REL_26C</t>
        </is>
      </c>
      <c r="C446" t="inlineStr">
        <is>
          <t>Redwood: Manage Policy Profiles Using a Redwood Page</t>
        </is>
      </c>
      <c r="D446" t="inlineStr">
        <is>
          <t>Redwood: Manage Policy Profiles Using a Redwood Page. Module: Inventory Management. Release: 26C. You can view, search for, create, edit, and delete policy profiles that are specified for PAR or min-max planning. A policy profile in Oracle Inventory Management represents a set of rules that define how PAR replenishment and min-max planning calculate quantities.
You can create policy profiles to</t>
        </is>
      </c>
      <c r="E446" t="inlineStr">
        <is>
          <t>Inventory Management</t>
        </is>
      </c>
      <c r="F446" t="inlineStr">
        <is>
          <t>Functional</t>
        </is>
      </c>
      <c r="G446" t="inlineStr">
        <is>
          <t>Functional</t>
        </is>
      </c>
      <c r="H446" t="inlineStr"/>
      <c r="I446" t="inlineStr"/>
      <c r="J446" t="inlineStr">
        <is>
          <t>Inventory Management</t>
        </is>
      </c>
      <c r="K446" t="inlineStr">
        <is>
          <t>N</t>
        </is>
      </c>
      <c r="L446" t="inlineStr">
        <is>
          <t>N</t>
        </is>
      </c>
      <c r="M446" t="inlineStr">
        <is>
          <t>N</t>
        </is>
      </c>
      <c r="N446" t="inlineStr">
        <is>
          <t>Auto-enabled — no action required</t>
        </is>
      </c>
      <c r="O446" t="inlineStr">
        <is>
          <t>Low</t>
        </is>
      </c>
      <c r="P446" t="inlineStr">
        <is>
          <t>2025-06-20</t>
        </is>
      </c>
      <c r="Q446" t="inlineStr">
        <is>
          <t>Oracle Fusion 26C Readiness — Inventory Management</t>
        </is>
      </c>
      <c r="R446" t="inlineStr"/>
    </row>
    <row r="447">
      <c r="A447" t="inlineStr">
        <is>
          <t>CHG_IMP_0422</t>
        </is>
      </c>
      <c r="B447" t="inlineStr">
        <is>
          <t>REL_26C</t>
        </is>
      </c>
      <c r="C447" t="inlineStr">
        <is>
          <t>Redwood: Manage the Default Classification Group Using a Redwood Page</t>
        </is>
      </c>
      <c r="D447" t="inlineStr">
        <is>
          <t>Redwood: Manage the Default Classification Group Using a Redwood Page. Module: Inventory Management. Release: 26C. You can view, search for, create, edit, and delete classifications for the default classification group. When setting up PAR and min-max planning for Oracle Inventory Management, create classifications to categorize items. You associate categories with similar item attributes with a c</t>
        </is>
      </c>
      <c r="E447" t="inlineStr">
        <is>
          <t>Inventory Management</t>
        </is>
      </c>
      <c r="F447" t="inlineStr">
        <is>
          <t>Functional</t>
        </is>
      </c>
      <c r="G447" t="inlineStr">
        <is>
          <t>Functional</t>
        </is>
      </c>
      <c r="H447" t="inlineStr"/>
      <c r="I447" t="inlineStr"/>
      <c r="J447" t="inlineStr">
        <is>
          <t>Inventory Management</t>
        </is>
      </c>
      <c r="K447" t="inlineStr">
        <is>
          <t>N</t>
        </is>
      </c>
      <c r="L447" t="inlineStr">
        <is>
          <t>N</t>
        </is>
      </c>
      <c r="M447" t="inlineStr">
        <is>
          <t>N</t>
        </is>
      </c>
      <c r="N447" t="inlineStr">
        <is>
          <t>Auto-enabled — no action required</t>
        </is>
      </c>
      <c r="O447" t="inlineStr">
        <is>
          <t>Low</t>
        </is>
      </c>
      <c r="P447" t="inlineStr">
        <is>
          <t>2025-06-20</t>
        </is>
      </c>
      <c r="Q447" t="inlineStr">
        <is>
          <t>Oracle Fusion 26C Readiness — Inventory Management</t>
        </is>
      </c>
      <c r="R447" t="inlineStr"/>
    </row>
    <row r="448">
      <c r="A448" t="inlineStr">
        <is>
          <t>CHG_IMP_0423</t>
        </is>
      </c>
      <c r="B448" t="inlineStr">
        <is>
          <t>REL_26C</t>
        </is>
      </c>
      <c r="C448" t="inlineStr">
        <is>
          <t>Redwood: Migrate B2B Location Codes to Customer B2B properties</t>
        </is>
      </c>
      <c r="D448" t="inlineStr">
        <is>
          <t>Redwood: Migrate B2B Location Codes to Customer B2B properties. Module: Inventory Management. Release: 26C. You can use a Redwood page to define and maintain location codes used to identify ship-to and bill-to locations when processing order-to-cash messages.
Here are the messages that support this feature:
• Purchase Order - Inbound
• Purchase Order Change - Inbound
• Purchase Order Cancellatio</t>
        </is>
      </c>
      <c r="E448" t="inlineStr">
        <is>
          <t>Inventory Management</t>
        </is>
      </c>
      <c r="F448" t="inlineStr">
        <is>
          <t>Functional</t>
        </is>
      </c>
      <c r="G448" t="inlineStr">
        <is>
          <t>Functional</t>
        </is>
      </c>
      <c r="H448" t="inlineStr"/>
      <c r="I448" t="inlineStr"/>
      <c r="J448" t="inlineStr">
        <is>
          <t>Inventory Management</t>
        </is>
      </c>
      <c r="K448" t="inlineStr">
        <is>
          <t>N</t>
        </is>
      </c>
      <c r="L448" t="inlineStr">
        <is>
          <t>Y</t>
        </is>
      </c>
      <c r="M448" t="inlineStr">
        <is>
          <t>N</t>
        </is>
      </c>
      <c r="N448" t="inlineStr">
        <is>
          <t>Action type: Steps to Enable. You can access this functionality by enabling the feature **Simplify Configuration and Processing for B2B Messaging**. 1. Perform the following standard steps to s</t>
        </is>
      </c>
      <c r="O448" t="inlineStr">
        <is>
          <t>Medium</t>
        </is>
      </c>
      <c r="P448" t="inlineStr">
        <is>
          <t>2025-06-20</t>
        </is>
      </c>
      <c r="Q448" t="inlineStr">
        <is>
          <t>Oracle Fusion 26C Readiness — Inventory Management</t>
        </is>
      </c>
      <c r="R448" t="inlineStr"/>
    </row>
    <row r="449">
      <c r="A449" t="inlineStr">
        <is>
          <t>CHG_IMP_0424</t>
        </is>
      </c>
      <c r="B449" t="inlineStr">
        <is>
          <t>REL_26C</t>
        </is>
      </c>
      <c r="C449" t="inlineStr">
        <is>
          <t>Redwood: Scan a Barcode with Item Number, GTIN, MPN, or SPN Without a Barcode Format to Find Items</t>
        </is>
      </c>
      <c r="D449" t="inlineStr">
        <is>
          <t>Redwood: Scan a Barcode with Item Number, GTIN, MPN, or SPN Without a Barcode Format to Find Items. Module: Inventory Management. Release: 26C. In many supply chain operations, goods arrive from suppliers and manufacturers with simple numeric-value barcodes identifying the manufacturer part number (MPN), supplier part number (SPN), or global trade item number (GTIN). This creates challenges at the</t>
        </is>
      </c>
      <c r="E449" t="inlineStr">
        <is>
          <t>Inventory Management</t>
        </is>
      </c>
      <c r="F449" t="inlineStr">
        <is>
          <t>Functional</t>
        </is>
      </c>
      <c r="G449" t="inlineStr">
        <is>
          <t>Functional</t>
        </is>
      </c>
      <c r="H449" t="inlineStr"/>
      <c r="I449" t="inlineStr"/>
      <c r="J449" t="inlineStr">
        <is>
          <t>Inventory Management</t>
        </is>
      </c>
      <c r="K449" t="inlineStr">
        <is>
          <t>N</t>
        </is>
      </c>
      <c r="L449" t="inlineStr">
        <is>
          <t>Y</t>
        </is>
      </c>
      <c r="M449" t="inlineStr">
        <is>
          <t>N</t>
        </is>
      </c>
      <c r="N449" t="inlineStr">
        <is>
          <t>Action type: Steps to Enable. To enable scanning of barcodes using item number, GTIN, MPN, or SPN without a predefined barcode format, configure th</t>
        </is>
      </c>
      <c r="O449" t="inlineStr">
        <is>
          <t>Medium</t>
        </is>
      </c>
      <c r="P449" t="inlineStr">
        <is>
          <t>2025-06-20</t>
        </is>
      </c>
      <c r="Q449" t="inlineStr">
        <is>
          <t>Oracle Fusion 26C Readiness — Inventory Management</t>
        </is>
      </c>
      <c r="R449" t="inlineStr"/>
    </row>
    <row r="450">
      <c r="A450" t="inlineStr">
        <is>
          <t>CHG_IMP_0425</t>
        </is>
      </c>
      <c r="B450" t="inlineStr">
        <is>
          <t>REL_26C</t>
        </is>
      </c>
      <c r="C450" t="inlineStr">
        <is>
          <t>Redwood: Use Additional Business Rules - Make Additional Fields Hidden, Read-Only, or Required</t>
        </is>
      </c>
      <c r="D450" t="inlineStr">
        <is>
          <t>Redwood: Use Additional Business Rules - Make Additional Fields Hidden, Read-Only, or Required. Module: Inventory Management. Release: 26C. Business rules allow you to control the appearance and behavior of fields within various Redwood pages. This can include hiding fields that aren't necessary for your business process or making extra fields required for every transaction. In this update, the av</t>
        </is>
      </c>
      <c r="E450" t="inlineStr">
        <is>
          <t>Inventory Management</t>
        </is>
      </c>
      <c r="F450" t="inlineStr">
        <is>
          <t>Functional</t>
        </is>
      </c>
      <c r="G450" t="inlineStr">
        <is>
          <t>Functional</t>
        </is>
      </c>
      <c r="H450" t="inlineStr"/>
      <c r="I450" t="inlineStr"/>
      <c r="J450" t="inlineStr">
        <is>
          <t>Inventory Management</t>
        </is>
      </c>
      <c r="K450" t="inlineStr">
        <is>
          <t>N</t>
        </is>
      </c>
      <c r="L450" t="inlineStr">
        <is>
          <t>Y</t>
        </is>
      </c>
      <c r="M450" t="inlineStr">
        <is>
          <t>N</t>
        </is>
      </c>
      <c r="N450" t="inlineStr">
        <is>
          <t>Action type: Steps to Enable. Leverage the Visual Builder Studio to expose your applications. To learn more about extending your application using Visu</t>
        </is>
      </c>
      <c r="O450" t="inlineStr">
        <is>
          <t>Medium</t>
        </is>
      </c>
      <c r="P450" t="inlineStr">
        <is>
          <t>2025-06-20</t>
        </is>
      </c>
      <c r="Q450" t="inlineStr">
        <is>
          <t>Oracle Fusion 26C Readiness — Inventory Management</t>
        </is>
      </c>
      <c r="R450" t="inlineStr"/>
    </row>
    <row r="451">
      <c r="A451" t="inlineStr">
        <is>
          <t>CHG_IMP_0426</t>
        </is>
      </c>
      <c r="B451" t="inlineStr">
        <is>
          <t>REL_26C</t>
        </is>
      </c>
      <c r="C451" t="inlineStr">
        <is>
          <t>Redwood: Use HCM Rules for Movement Request Approval Rules</t>
        </is>
      </c>
      <c r="D451" t="inlineStr">
        <is>
          <t>Redwood: Use HCM Rules for Movement Request Approval Rules. Module: Inventory Management. Release: 26C. For organizations using movement requests to support internal requests to transfer or issue goods, some situations require clear and efficient approval processes to maintain control and accuracy. For instance, a very valuable and highly controlled item can only be moved within the warehouse unde</t>
        </is>
      </c>
      <c r="E451" t="inlineStr">
        <is>
          <t>Inventory Management</t>
        </is>
      </c>
      <c r="F451" t="inlineStr">
        <is>
          <t>Functional</t>
        </is>
      </c>
      <c r="G451" t="inlineStr">
        <is>
          <t>Functional</t>
        </is>
      </c>
      <c r="H451" t="inlineStr"/>
      <c r="I451" t="inlineStr"/>
      <c r="J451" t="inlineStr">
        <is>
          <t>Inventory Management</t>
        </is>
      </c>
      <c r="K451" t="inlineStr">
        <is>
          <t>N</t>
        </is>
      </c>
      <c r="L451" t="inlineStr">
        <is>
          <t>Y</t>
        </is>
      </c>
      <c r="M451" t="inlineStr">
        <is>
          <t>N</t>
        </is>
      </c>
      <c r="N451" t="inlineStr">
        <is>
          <t>Action type: Steps to Enable. Use the Opt In UI to enable this feature. For instructions, refer to the Optional Uptake of New Features section of this document. Offering: *Manufacturing a</t>
        </is>
      </c>
      <c r="O451" t="inlineStr">
        <is>
          <t>Medium</t>
        </is>
      </c>
      <c r="P451" t="inlineStr">
        <is>
          <t>2025-06-20</t>
        </is>
      </c>
      <c r="Q451" t="inlineStr">
        <is>
          <t>Oracle Fusion 26C Readiness — Inventory Management</t>
        </is>
      </c>
      <c r="R451" t="inlineStr"/>
    </row>
    <row r="452">
      <c r="A452" t="inlineStr">
        <is>
          <t>CHG_IMP_0427</t>
        </is>
      </c>
      <c r="B452" t="inlineStr">
        <is>
          <t>REL_26C</t>
        </is>
      </c>
      <c r="C452" t="inlineStr">
        <is>
          <t>Redwood: Use Time Zone in Cycle Count Sequences</t>
        </is>
      </c>
      <c r="D452" t="inlineStr">
        <is>
          <t>Redwood: Use Time Zone in Cycle Count Sequences. Module: Inventory Management. Release: 26C. For global organizations operating across multiple time zones, accurate and timely inventory management is critical to daily operations. When some organizations operate in regions far ahead of coordinated universal time (UTC), they can face challenges if their time zone isn't considered during sched Opt-in</t>
        </is>
      </c>
      <c r="E452" t="inlineStr">
        <is>
          <t>Inventory Management</t>
        </is>
      </c>
      <c r="F452" t="inlineStr">
        <is>
          <t>Functional</t>
        </is>
      </c>
      <c r="G452" t="inlineStr">
        <is>
          <t>Functional</t>
        </is>
      </c>
      <c r="H452" t="inlineStr"/>
      <c r="I452" t="inlineStr"/>
      <c r="J452" t="inlineStr">
        <is>
          <t>Inventory Management</t>
        </is>
      </c>
      <c r="K452" t="inlineStr">
        <is>
          <t>N</t>
        </is>
      </c>
      <c r="L452" t="inlineStr">
        <is>
          <t>Y</t>
        </is>
      </c>
      <c r="M452" t="inlineStr">
        <is>
          <t>N</t>
        </is>
      </c>
      <c r="N452" t="inlineStr">
        <is>
          <t>Action type: Steps to Enable. Use the Opt In UI to enable this feature. For instructions, refer to the Optional Uptake of New Features section of this document. Offering: *Manufacturing and Supply C</t>
        </is>
      </c>
      <c r="O452" t="inlineStr">
        <is>
          <t>Medium</t>
        </is>
      </c>
      <c r="P452" t="inlineStr">
        <is>
          <t>2025-06-20</t>
        </is>
      </c>
      <c r="Q452" t="inlineStr">
        <is>
          <t>Oracle Fusion 26C Readiness — Inventory Management</t>
        </is>
      </c>
      <c r="R452" t="inlineStr"/>
    </row>
    <row r="453">
      <c r="A453" t="inlineStr">
        <is>
          <t>CHG_IMP_0428</t>
        </is>
      </c>
      <c r="B453" t="inlineStr">
        <is>
          <t>REL_26C</t>
        </is>
      </c>
      <c r="C453" t="inlineStr">
        <is>
          <t>Redwood: Use Transit Time to Calculate Planned Delivery Date</t>
        </is>
      </c>
      <c r="D453" t="inlineStr">
        <is>
          <t>Redwood: Use Transit Time to Calculate Planned Delivery Date. Module: Inventory Management. Release: 26C. For organizations, accurately projecting when goods will arrive at their destination is critical for planning and downstream operations. In standard scenarios, the Planned Delivery Date on a shipment is derived from the original requested date. This works well when orders and transfers are req</t>
        </is>
      </c>
      <c r="E453" t="inlineStr">
        <is>
          <t>Inventory Management</t>
        </is>
      </c>
      <c r="F453" t="inlineStr">
        <is>
          <t>Functional</t>
        </is>
      </c>
      <c r="G453" t="inlineStr">
        <is>
          <t>Functional</t>
        </is>
      </c>
      <c r="H453" t="inlineStr"/>
      <c r="I453" t="inlineStr"/>
      <c r="J453" t="inlineStr">
        <is>
          <t>Inventory Management</t>
        </is>
      </c>
      <c r="K453" t="inlineStr">
        <is>
          <t>N</t>
        </is>
      </c>
      <c r="L453" t="inlineStr">
        <is>
          <t>Y</t>
        </is>
      </c>
      <c r="M453" t="inlineStr">
        <is>
          <t>N</t>
        </is>
      </c>
      <c r="N453" t="inlineStr">
        <is>
          <t>Action type: Steps to Enable. Use the Opt In UI to enable this feature. For instructions, refer to the Optional Uptake of New Features section of this document. Offering: *Manufacturing</t>
        </is>
      </c>
      <c r="O453" t="inlineStr">
        <is>
          <t>Medium</t>
        </is>
      </c>
      <c r="P453" t="inlineStr">
        <is>
          <t>2025-06-20</t>
        </is>
      </c>
      <c r="Q453" t="inlineStr">
        <is>
          <t>Oracle Fusion 26C Readiness — Inventory Management</t>
        </is>
      </c>
      <c r="R453" t="inlineStr"/>
    </row>
    <row r="454">
      <c r="A454" t="inlineStr">
        <is>
          <t>CHG_IMP_0429</t>
        </is>
      </c>
      <c r="B454" t="inlineStr">
        <is>
          <t>REL_26C</t>
        </is>
      </c>
      <c r="C454" t="inlineStr">
        <is>
          <t>Redwood: Use a REST Resource for Receipt Deliveries</t>
        </is>
      </c>
      <c r="D454" t="inlineStr">
        <is>
          <t>Redwood: Use a REST Resource for Receipt Deliveries. Module: Inventory Management. Release: 26C. When you handoff goods to PAR locations, satellite locations, or end requesters using receipt deliveries, it ensures that supplies reach their intended destination accurately and on time. However, without standardized integration points, managing, updating, or tracking these deliveries across system</t>
        </is>
      </c>
      <c r="E454" t="inlineStr">
        <is>
          <t>Inventory Management</t>
        </is>
      </c>
      <c r="F454" t="inlineStr">
        <is>
          <t>Functional</t>
        </is>
      </c>
      <c r="G454" t="inlineStr">
        <is>
          <t>Functional</t>
        </is>
      </c>
      <c r="H454" t="inlineStr"/>
      <c r="I454" t="inlineStr"/>
      <c r="J454" t="inlineStr">
        <is>
          <t>Inventory Management</t>
        </is>
      </c>
      <c r="K454" t="inlineStr">
        <is>
          <t>N</t>
        </is>
      </c>
      <c r="L454" t="inlineStr">
        <is>
          <t>Y</t>
        </is>
      </c>
      <c r="M454" t="inlineStr">
        <is>
          <t>N</t>
        </is>
      </c>
      <c r="N454" t="inlineStr">
        <is>
          <t>Action type: Steps to Enable. Review the REST service definition in the REST API guides to leverage (available from the Oracle Help Center &gt; *your apps service area of interest* &gt; APIs &amp; Schema)</t>
        </is>
      </c>
      <c r="O454" t="inlineStr">
        <is>
          <t>Medium</t>
        </is>
      </c>
      <c r="P454" t="inlineStr">
        <is>
          <t>2025-06-20</t>
        </is>
      </c>
      <c r="Q454" t="inlineStr">
        <is>
          <t>Oracle Fusion 26C Readiness — Inventory Management</t>
        </is>
      </c>
      <c r="R454" t="inlineStr"/>
    </row>
    <row r="455">
      <c r="A455" t="inlineStr">
        <is>
          <t>CHG_IMP_0430</t>
        </is>
      </c>
      <c r="B455" t="inlineStr">
        <is>
          <t>REL_26C</t>
        </is>
      </c>
      <c r="C455" t="inlineStr">
        <is>
          <t>Redwood: View and Capture Additional Lot Attributes</t>
        </is>
      </c>
      <c r="D455" t="inlineStr">
        <is>
          <t>Redwood: View and Capture Additional Lot Attributes. Module: Inventory Management. Release: 26C. In industries where lot-controlled goods are widely used, timely and accurate entry of lot-level information is critical for maintaining product quality, ensuring compliance, and supporting informed decision-making. If you're unable to capture key lot attributes, such as expiration date, material st</t>
        </is>
      </c>
      <c r="E455" t="inlineStr">
        <is>
          <t>Inventory Management</t>
        </is>
      </c>
      <c r="F455" t="inlineStr">
        <is>
          <t>Functional</t>
        </is>
      </c>
      <c r="G455" t="inlineStr">
        <is>
          <t>Functional</t>
        </is>
      </c>
      <c r="H455" t="inlineStr"/>
      <c r="I455" t="inlineStr"/>
      <c r="J455" t="inlineStr">
        <is>
          <t>Inventory Management</t>
        </is>
      </c>
      <c r="K455" t="inlineStr">
        <is>
          <t>N</t>
        </is>
      </c>
      <c r="L455" t="inlineStr">
        <is>
          <t>N</t>
        </is>
      </c>
      <c r="M455" t="inlineStr">
        <is>
          <t>N</t>
        </is>
      </c>
      <c r="N455" t="inlineStr">
        <is>
          <t>Auto-enabled — no action required</t>
        </is>
      </c>
      <c r="O455" t="inlineStr">
        <is>
          <t>Low</t>
        </is>
      </c>
      <c r="P455" t="inlineStr">
        <is>
          <t>2025-06-20</t>
        </is>
      </c>
      <c r="Q455" t="inlineStr">
        <is>
          <t>Oracle Fusion 26C Readiness — Inventory Management</t>
        </is>
      </c>
      <c r="R455" t="inlineStr"/>
    </row>
    <row r="456">
      <c r="A456" t="inlineStr">
        <is>
          <t>CHG_IMP_0431</t>
        </is>
      </c>
      <c r="B456" t="inlineStr">
        <is>
          <t>REL_26C</t>
        </is>
      </c>
      <c r="C456" t="inlineStr">
        <is>
          <t>Report Sales Order Import Errors</t>
        </is>
      </c>
      <c r="D456" t="inlineStr">
        <is>
          <t>Report Sales Order Import Errors. Module: Inventory Management. Release: 26C. You can now view Oracle Order Management failure or error notifications for inbound PO messages submitted via Collaboration Messaging (Purchase Order, Purchase Order Change, and Purchase Order Cancellation). These notifications are generated after the Import Sales Orders scheduled process runs, so t</t>
        </is>
      </c>
      <c r="E456" t="inlineStr">
        <is>
          <t>Inventory Management</t>
        </is>
      </c>
      <c r="F456" t="inlineStr">
        <is>
          <t>Functional</t>
        </is>
      </c>
      <c r="G456" t="inlineStr">
        <is>
          <t>Functional</t>
        </is>
      </c>
      <c r="H456" t="inlineStr"/>
      <c r="I456" t="inlineStr"/>
      <c r="J456" t="inlineStr">
        <is>
          <t>Inventory Management</t>
        </is>
      </c>
      <c r="K456" t="inlineStr">
        <is>
          <t>N</t>
        </is>
      </c>
      <c r="L456" t="inlineStr">
        <is>
          <t>Y</t>
        </is>
      </c>
      <c r="M456" t="inlineStr">
        <is>
          <t>N</t>
        </is>
      </c>
      <c r="N456" t="inlineStr">
        <is>
          <t xml:space="preserve">Action type: Steps to Enable. 1. Perform the following high-level tasks to set up your documents: • Define your providers. • Create connections. • Assign properties to your inbound order documents. • </t>
        </is>
      </c>
      <c r="O456" t="inlineStr">
        <is>
          <t>Medium</t>
        </is>
      </c>
      <c r="P456" t="inlineStr">
        <is>
          <t>2025-06-20</t>
        </is>
      </c>
      <c r="Q456" t="inlineStr">
        <is>
          <t>Oracle Fusion 26C Readiness — Inventory Management</t>
        </is>
      </c>
      <c r="R456" t="inlineStr"/>
    </row>
    <row r="457">
      <c r="A457" t="inlineStr">
        <is>
          <t>CHG_IMP_0432</t>
        </is>
      </c>
      <c r="B457" t="inlineStr">
        <is>
          <t>REL_26C</t>
        </is>
      </c>
      <c r="C457" t="inlineStr">
        <is>
          <t>Selected Inventory Management Bug Fixes in This Update</t>
        </is>
      </c>
      <c r="D457" t="inlineStr">
        <is>
          <t>Selected Inventory Management Bug Fixes in This Update. Module: Inventory Management. Release: 26C. This update includes some bug fixes that can change the way Oracle Inventory Management works. This isn't a full list of all the bug fixes in this update. This list includes the bug fixes that can cause a noticeable change in application behavior.
**View More Serial Numbers Associated with Inventor</t>
        </is>
      </c>
      <c r="E457" t="inlineStr">
        <is>
          <t>Inventory Management</t>
        </is>
      </c>
      <c r="F457" t="inlineStr">
        <is>
          <t>Functional</t>
        </is>
      </c>
      <c r="G457" t="inlineStr">
        <is>
          <t>Functional</t>
        </is>
      </c>
      <c r="H457" t="inlineStr"/>
      <c r="I457" t="inlineStr"/>
      <c r="J457" t="inlineStr">
        <is>
          <t>Inventory Management</t>
        </is>
      </c>
      <c r="K457" t="inlineStr">
        <is>
          <t>N</t>
        </is>
      </c>
      <c r="L457" t="inlineStr">
        <is>
          <t>N</t>
        </is>
      </c>
      <c r="M457" t="inlineStr">
        <is>
          <t>N</t>
        </is>
      </c>
      <c r="N457" t="inlineStr">
        <is>
          <t>Auto-enabled — no action required</t>
        </is>
      </c>
      <c r="O457" t="inlineStr">
        <is>
          <t>Low</t>
        </is>
      </c>
      <c r="P457" t="inlineStr">
        <is>
          <t>2025-06-20</t>
        </is>
      </c>
      <c r="Q457" t="inlineStr">
        <is>
          <t>Oracle Fusion 26C Readiness — Inventory Management</t>
        </is>
      </c>
      <c r="R457" t="inlineStr"/>
    </row>
    <row r="458">
      <c r="A458" t="inlineStr">
        <is>
          <t>CHG_IMP_0433</t>
        </is>
      </c>
      <c r="B458" t="inlineStr">
        <is>
          <t>REL_26C</t>
        </is>
      </c>
      <c r="C458" t="inlineStr">
        <is>
          <t>Selected Receiving Bug Fixes in This Update</t>
        </is>
      </c>
      <c r="D458" t="inlineStr">
        <is>
          <t>Selected Receiving Bug Fixes in This Update. Module: Inventory Management. Release: 26C. This update includes some bug fixes that can change the way Oracle Receiving works. This isn't a full list of all the bug fixes in this update. This list includes the bug fixes that can cause a noticeable change in application behavior.
**Populate Additional Date Columns in Receiving Receipt Import</t>
        </is>
      </c>
      <c r="E458" t="inlineStr">
        <is>
          <t>Inventory Management</t>
        </is>
      </c>
      <c r="F458" t="inlineStr">
        <is>
          <t>Functional</t>
        </is>
      </c>
      <c r="G458" t="inlineStr">
        <is>
          <t>Functional</t>
        </is>
      </c>
      <c r="H458" t="inlineStr"/>
      <c r="I458" t="inlineStr"/>
      <c r="J458" t="inlineStr">
        <is>
          <t>Inventory Management</t>
        </is>
      </c>
      <c r="K458" t="inlineStr">
        <is>
          <t>N</t>
        </is>
      </c>
      <c r="L458" t="inlineStr">
        <is>
          <t>N</t>
        </is>
      </c>
      <c r="M458" t="inlineStr">
        <is>
          <t>N</t>
        </is>
      </c>
      <c r="N458" t="inlineStr">
        <is>
          <t>Auto-enabled — no action required</t>
        </is>
      </c>
      <c r="O458" t="inlineStr">
        <is>
          <t>Low</t>
        </is>
      </c>
      <c r="P458" t="inlineStr">
        <is>
          <t>2025-06-20</t>
        </is>
      </c>
      <c r="Q458" t="inlineStr">
        <is>
          <t>Oracle Fusion 26C Readiness — Inventory Management</t>
        </is>
      </c>
      <c r="R458" t="inlineStr"/>
    </row>
    <row r="459">
      <c r="A459" t="inlineStr">
        <is>
          <t>CHG_IMP_0434</t>
        </is>
      </c>
      <c r="B459" t="inlineStr">
        <is>
          <t>REL_26C</t>
        </is>
      </c>
      <c r="C459" t="inlineStr">
        <is>
          <t>Selected Shipping Bug Fixes in This Update</t>
        </is>
      </c>
      <c r="D459" t="inlineStr">
        <is>
          <t>Selected Shipping Bug Fixes in This Update. Module: Inventory Management. Release: 26C. This update includes some bug fixes that can change the way Oracle Shipping works. This isn't a full list of all the bug fixes in this update. This list includes the bug fixes that can cause a noticeable change in application behavior.
**Delete Shipping Transaction Requests Using Download Shipping</t>
        </is>
      </c>
      <c r="E459" t="inlineStr">
        <is>
          <t>Inventory Management</t>
        </is>
      </c>
      <c r="F459" t="inlineStr">
        <is>
          <t>Functional</t>
        </is>
      </c>
      <c r="G459" t="inlineStr">
        <is>
          <t>Functional</t>
        </is>
      </c>
      <c r="H459" t="inlineStr"/>
      <c r="I459" t="inlineStr"/>
      <c r="J459" t="inlineStr">
        <is>
          <t>Inventory Management</t>
        </is>
      </c>
      <c r="K459" t="inlineStr">
        <is>
          <t>N</t>
        </is>
      </c>
      <c r="L459" t="inlineStr">
        <is>
          <t>N</t>
        </is>
      </c>
      <c r="M459" t="inlineStr">
        <is>
          <t>N</t>
        </is>
      </c>
      <c r="N459" t="inlineStr">
        <is>
          <t>Auto-enabled — no action required</t>
        </is>
      </c>
      <c r="O459" t="inlineStr">
        <is>
          <t>Low</t>
        </is>
      </c>
      <c r="P459" t="inlineStr">
        <is>
          <t>2025-06-20</t>
        </is>
      </c>
      <c r="Q459" t="inlineStr">
        <is>
          <t>Oracle Fusion 26C Readiness — Inventory Management</t>
        </is>
      </c>
      <c r="R459" t="inlineStr"/>
    </row>
    <row r="460">
      <c r="A460" t="inlineStr">
        <is>
          <t>CHG_IMP_0435</t>
        </is>
      </c>
      <c r="B460" t="inlineStr">
        <is>
          <t>REL_26C</t>
        </is>
      </c>
      <c r="C460" t="inlineStr">
        <is>
          <t>Streamline the Import and Export of Messaging Setup Data</t>
        </is>
      </c>
      <c r="D460" t="inlineStr">
        <is>
          <t>Streamline the Import and Export of Messaging Setup Data. Module: Inventory Management. Release: 26C. You can now export and import Oracle Collaboration Messaging setup data to migrate your configuration across pods and environments like development, test, and production. Setup data includes messaging providers, connections, and partner configurations for both suppliers and customers.
You now hav</t>
        </is>
      </c>
      <c r="E460" t="inlineStr">
        <is>
          <t>Inventory Management</t>
        </is>
      </c>
      <c r="F460" t="inlineStr">
        <is>
          <t>Functional</t>
        </is>
      </c>
      <c r="G460" t="inlineStr">
        <is>
          <t>Functional</t>
        </is>
      </c>
      <c r="H460" t="inlineStr"/>
      <c r="I460" t="inlineStr"/>
      <c r="J460" t="inlineStr">
        <is>
          <t>Inventory Management</t>
        </is>
      </c>
      <c r="K460" t="inlineStr">
        <is>
          <t>N</t>
        </is>
      </c>
      <c r="L460" t="inlineStr">
        <is>
          <t>Y</t>
        </is>
      </c>
      <c r="M460" t="inlineStr">
        <is>
          <t>N</t>
        </is>
      </c>
      <c r="N460" t="inlineStr">
        <is>
          <t>Action type: Steps to Enable. After you enable the **Simplify Configuration and Processing for B2B Messaging** feature, perform the following high-level tasks: 1. Create an implementation project. 2.</t>
        </is>
      </c>
      <c r="O460" t="inlineStr">
        <is>
          <t>Medium</t>
        </is>
      </c>
      <c r="P460" t="inlineStr">
        <is>
          <t>2025-06-20</t>
        </is>
      </c>
      <c r="Q460" t="inlineStr">
        <is>
          <t>Oracle Fusion 26C Readiness — Inventory Management</t>
        </is>
      </c>
      <c r="R460" t="inlineStr"/>
    </row>
    <row r="461">
      <c r="A461" t="inlineStr">
        <is>
          <t>CHG_IMP_0436</t>
        </is>
      </c>
      <c r="B461" t="inlineStr">
        <is>
          <t>REL_26C</t>
        </is>
      </c>
      <c r="C461" t="inlineStr">
        <is>
          <t>Track Rework Costs Across Standard and Nonstandard Discrete Work Orders</t>
        </is>
      </c>
      <c r="D461" t="inlineStr">
        <is>
          <t>Track Rework Costs Across Standard and Nonstandard Discrete Work Orders. Module: Inventory Management. Release: 26C. You can now optionally create a new Rework operation in a discrete standard or nonstandard work order to track the costs incurred in rework activities and capture the cost of poor quality for scenarios involving a rework.
Material and resource costs that are incurred in the automat</t>
        </is>
      </c>
      <c r="E461" t="inlineStr">
        <is>
          <t>Inventory Management</t>
        </is>
      </c>
      <c r="F461" t="inlineStr">
        <is>
          <t>Functional</t>
        </is>
      </c>
      <c r="G461" t="inlineStr">
        <is>
          <t>Functional</t>
        </is>
      </c>
      <c r="H461" t="inlineStr"/>
      <c r="I461" t="inlineStr"/>
      <c r="J461" t="inlineStr">
        <is>
          <t>Inventory Management</t>
        </is>
      </c>
      <c r="K461" t="inlineStr">
        <is>
          <t>N</t>
        </is>
      </c>
      <c r="L461" t="inlineStr">
        <is>
          <t>Y</t>
        </is>
      </c>
      <c r="M461" t="inlineStr">
        <is>
          <t>N</t>
        </is>
      </c>
      <c r="N461" t="inlineStr">
        <is>
          <t>Action type: Steps to Enable. There are no steps required to enable this feature.</t>
        </is>
      </c>
      <c r="O461" t="inlineStr">
        <is>
          <t>Medium</t>
        </is>
      </c>
      <c r="P461" t="inlineStr">
        <is>
          <t>2025-06-20</t>
        </is>
      </c>
      <c r="Q461" t="inlineStr">
        <is>
          <t>Oracle Fusion 26C Readiness — Inventory Management</t>
        </is>
      </c>
      <c r="R461" t="inlineStr"/>
    </row>
    <row r="462">
      <c r="A462" t="inlineStr">
        <is>
          <t>CHG_IMP_0437</t>
        </is>
      </c>
      <c r="B462" t="inlineStr">
        <is>
          <t>REL_26C</t>
        </is>
      </c>
      <c r="C462" t="inlineStr">
        <is>
          <t>Use Message Converter Service for Outbound Flows</t>
        </is>
      </c>
      <c r="D462" t="inlineStr">
        <is>
          <t>Use Message Converter Service for Outbound Flows. Module: Inventory Management. Release: 26C. You can now enable outbound flows such as ASN Outbound and PO Outbound to use the Message Converter Service when a message definition is configured in mapping file mode. The service retrieves the source payload using the appropriate REST API resource, converts it to XML using configurable JSON mappi</t>
        </is>
      </c>
      <c r="E462" t="inlineStr">
        <is>
          <t>Inventory Management</t>
        </is>
      </c>
      <c r="F462" t="inlineStr">
        <is>
          <t>Functional</t>
        </is>
      </c>
      <c r="G462" t="inlineStr">
        <is>
          <t>Functional</t>
        </is>
      </c>
      <c r="H462" t="inlineStr"/>
      <c r="I462" t="inlineStr"/>
      <c r="J462" t="inlineStr">
        <is>
          <t>Inventory Management</t>
        </is>
      </c>
      <c r="K462" t="inlineStr">
        <is>
          <t>N</t>
        </is>
      </c>
      <c r="L462" t="inlineStr">
        <is>
          <t>Y</t>
        </is>
      </c>
      <c r="M462" t="inlineStr">
        <is>
          <t>N</t>
        </is>
      </c>
      <c r="N462" t="inlineStr">
        <is>
          <t>Action type: Steps to Enable. You can access this functionality by enabling the feature **Simplify Configuration and Processing for B2B Messaging**. Perform the following high-level tasks to set up yo</t>
        </is>
      </c>
      <c r="O462" t="inlineStr">
        <is>
          <t>Medium</t>
        </is>
      </c>
      <c r="P462" t="inlineStr">
        <is>
          <t>2025-06-20</t>
        </is>
      </c>
      <c r="Q462" t="inlineStr">
        <is>
          <t>Oracle Fusion 26C Readiness — Inventory Management</t>
        </is>
      </c>
      <c r="R462" t="inlineStr"/>
    </row>
    <row r="463">
      <c r="A463" t="inlineStr">
        <is>
          <t>CHG_IMP_0438</t>
        </is>
      </c>
      <c r="B463" t="inlineStr">
        <is>
          <t>REL_26C</t>
        </is>
      </c>
      <c r="C463" t="inlineStr">
        <is>
          <t>Use the Enhanced OTBI Subject Area to Report on Back-to-Back Transfer Orders</t>
        </is>
      </c>
      <c r="D463" t="inlineStr">
        <is>
          <t>Use the Enhanced OTBI Subject Area to Report on Back-to-Back Transfer Orders. Module: Inventory Management. Release: 26C. Use the enhanced Supply Chain Financial Orchestration OTBI subject area to analyze back-to-back transfer-order transactions in more detail. This update extends the existing source document-based transfer pricing support by exposing additional reporting attributes. Business user</t>
        </is>
      </c>
      <c r="E463" t="inlineStr">
        <is>
          <t>Inventory Management</t>
        </is>
      </c>
      <c r="F463" t="inlineStr">
        <is>
          <t>Functional</t>
        </is>
      </c>
      <c r="G463" t="inlineStr">
        <is>
          <t>Functional</t>
        </is>
      </c>
      <c r="H463" t="inlineStr"/>
      <c r="I463" t="inlineStr"/>
      <c r="J463" t="inlineStr">
        <is>
          <t>Inventory Management</t>
        </is>
      </c>
      <c r="K463" t="inlineStr">
        <is>
          <t>N</t>
        </is>
      </c>
      <c r="L463" t="inlineStr">
        <is>
          <t>N</t>
        </is>
      </c>
      <c r="M463" t="inlineStr">
        <is>
          <t>N</t>
        </is>
      </c>
      <c r="N463" t="inlineStr">
        <is>
          <t>Auto-enabled — no action required</t>
        </is>
      </c>
      <c r="O463" t="inlineStr">
        <is>
          <t>Low</t>
        </is>
      </c>
      <c r="P463" t="inlineStr">
        <is>
          <t>2025-06-20</t>
        </is>
      </c>
      <c r="Q463" t="inlineStr">
        <is>
          <t>Oracle Fusion 26C Readiness — Inventory Management</t>
        </is>
      </c>
      <c r="R463" t="inlineStr"/>
    </row>
    <row r="464">
      <c r="A464" t="inlineStr">
        <is>
          <t>CHG_IMP_0439</t>
        </is>
      </c>
      <c r="B464" t="inlineStr">
        <is>
          <t>REL_26C</t>
        </is>
      </c>
      <c r="C464" t="inlineStr">
        <is>
          <t>AI Agent: Claim Settlement Assistant</t>
        </is>
      </c>
      <c r="D464" t="inlineStr">
        <is>
          <t>AI Agent: Claim Settlement Assistant. Module: Order Management. Release: 26C. Use the Claim Settlement Assistant to improve the efficiency of promotional deduction settlements. The agent automatically interprets deduction references, identifies the applicable program, finds related accruals, validates balances, and associates the deduction to the correct accrual. Additionally Opt-in required: true</t>
        </is>
      </c>
      <c r="E464" t="inlineStr">
        <is>
          <t>Order Management</t>
        </is>
      </c>
      <c r="F464" t="inlineStr">
        <is>
          <t>AI Feature</t>
        </is>
      </c>
      <c r="G464" t="inlineStr">
        <is>
          <t>AI Feature</t>
        </is>
      </c>
      <c r="H464" t="inlineStr"/>
      <c r="I464" t="inlineStr"/>
      <c r="J464" t="inlineStr">
        <is>
          <t>Order Management</t>
        </is>
      </c>
      <c r="K464" t="inlineStr">
        <is>
          <t>N</t>
        </is>
      </c>
      <c r="L464" t="inlineStr">
        <is>
          <t>Y</t>
        </is>
      </c>
      <c r="M464" t="inlineStr">
        <is>
          <t>N</t>
        </is>
      </c>
      <c r="N464" t="inlineStr">
        <is>
          <t xml:space="preserve">Action type: Steps to Enable. Use the Opt In UI to enable this feature. For instructions, refer to the Optional Uptake of New Features section of this document. Offering: *Order Management* 1. If you </t>
        </is>
      </c>
      <c r="O464" t="inlineStr">
        <is>
          <t>Medium</t>
        </is>
      </c>
      <c r="P464" t="inlineStr">
        <is>
          <t>2025-06-20</t>
        </is>
      </c>
      <c r="Q464" t="inlineStr">
        <is>
          <t>Oracle Fusion 26C Readiness — Order Management</t>
        </is>
      </c>
      <c r="R464" t="inlineStr"/>
    </row>
    <row r="465">
      <c r="A465" t="inlineStr">
        <is>
          <t>CHG_IMP_0440</t>
        </is>
      </c>
      <c r="B465" t="inlineStr">
        <is>
          <t>REL_26C</t>
        </is>
      </c>
      <c r="C465" t="inlineStr">
        <is>
          <t>AI Agent: Order Exception Assistant Enhancements</t>
        </is>
      </c>
      <c r="D465" t="inlineStr">
        <is>
          <t>AI Agent: Order Exception Assistant Enhancements. Module: Order Management. Release: 26C. You can now resolve selected fulfillment, functional, and technical order exceptions directly from the Oracle Exception Assistant.  You can also review affected orders and lines, understand why processing stopped, and take guided actions such as processing pending fulfillment responses, canceling el</t>
        </is>
      </c>
      <c r="E465" t="inlineStr">
        <is>
          <t>Order Management</t>
        </is>
      </c>
      <c r="F465" t="inlineStr">
        <is>
          <t>AI Feature</t>
        </is>
      </c>
      <c r="G465" t="inlineStr">
        <is>
          <t>AI Feature</t>
        </is>
      </c>
      <c r="H465" t="inlineStr"/>
      <c r="I465" t="inlineStr"/>
      <c r="J465" t="inlineStr">
        <is>
          <t>Order Management</t>
        </is>
      </c>
      <c r="K465" t="inlineStr">
        <is>
          <t>N</t>
        </is>
      </c>
      <c r="L465" t="inlineStr">
        <is>
          <t>Y</t>
        </is>
      </c>
      <c r="M465" t="inlineStr">
        <is>
          <t>N</t>
        </is>
      </c>
      <c r="N465" t="inlineStr">
        <is>
          <t xml:space="preserve">Action type: Steps to Enable. This feature is available as part of Order Exception Assistant. No separate opt-in is required. Users can access the assistant from the Order Management dashboard, order </t>
        </is>
      </c>
      <c r="O465" t="inlineStr">
        <is>
          <t>Medium</t>
        </is>
      </c>
      <c r="P465" t="inlineStr">
        <is>
          <t>2025-06-20</t>
        </is>
      </c>
      <c r="Q465" t="inlineStr">
        <is>
          <t>Oracle Fusion 26C Readiness — Order Management</t>
        </is>
      </c>
      <c r="R465" t="inlineStr"/>
    </row>
    <row r="466">
      <c r="A466" t="inlineStr">
        <is>
          <t>CHG_IMP_0441</t>
        </is>
      </c>
      <c r="B466" t="inlineStr">
        <is>
          <t>REL_26C</t>
        </is>
      </c>
      <c r="C466" t="inlineStr">
        <is>
          <t>AI Agent: Price Administration Assistant</t>
        </is>
      </c>
      <c r="D466" t="inlineStr">
        <is>
          <t>AI Agent: Price Administration Assistant. Module: Order Management. Release: 26C. Use the Price Administration Assistant to streamline how you change pricing. The agent will accept change requests through a chat experience and changes the list prices on price lists.
Realize these benefits:
• Faster time-to-market for price changes
• Increased operational efficiencies
• Reduce d</t>
        </is>
      </c>
      <c r="E466" t="inlineStr">
        <is>
          <t>Order Management</t>
        </is>
      </c>
      <c r="F466" t="inlineStr">
        <is>
          <t>AI Feature</t>
        </is>
      </c>
      <c r="G466" t="inlineStr">
        <is>
          <t>AI Feature</t>
        </is>
      </c>
      <c r="H466" t="inlineStr"/>
      <c r="I466" t="inlineStr"/>
      <c r="J466" t="inlineStr">
        <is>
          <t>Order Management</t>
        </is>
      </c>
      <c r="K466" t="inlineStr">
        <is>
          <t>N</t>
        </is>
      </c>
      <c r="L466" t="inlineStr">
        <is>
          <t>Y</t>
        </is>
      </c>
      <c r="M466" t="inlineStr">
        <is>
          <t>N</t>
        </is>
      </c>
      <c r="N466" t="inlineStr">
        <is>
          <t>Action type: Steps to Enable. 1. Go to **Home** &gt; **Tools**&gt; **AI Agent Studio**, and then search for Price Administration Assistant. 2. Click **Copy Template.** In the Copy Template dialog box, enter</t>
        </is>
      </c>
      <c r="O466" t="inlineStr">
        <is>
          <t>Medium</t>
        </is>
      </c>
      <c r="P466" t="inlineStr">
        <is>
          <t>2025-06-20</t>
        </is>
      </c>
      <c r="Q466" t="inlineStr">
        <is>
          <t>Oracle Fusion 26C Readiness — Order Management</t>
        </is>
      </c>
      <c r="R466" t="inlineStr"/>
    </row>
    <row r="467">
      <c r="A467" t="inlineStr">
        <is>
          <t>CHG_IMP_0442</t>
        </is>
      </c>
      <c r="B467" t="inlineStr">
        <is>
          <t>REL_26C</t>
        </is>
      </c>
      <c r="C467" t="inlineStr">
        <is>
          <t>AI Agent: Purchase Order to Sales Order Converter via email</t>
        </is>
      </c>
      <c r="D467" t="inlineStr">
        <is>
          <t>AI Agent: Purchase Order to Sales Order Converter via email. Module: Order Management. Release: 26C. This feature maximizes your teams efficiency by automating the conversion of purchase orders into sales orders. The agent creates a touchless order-entry process by configuring email to receive purchase orders and processing each purchase order.  Users can rely on the system to automatically pick u</t>
        </is>
      </c>
      <c r="E467" t="inlineStr">
        <is>
          <t>Order Management</t>
        </is>
      </c>
      <c r="F467" t="inlineStr">
        <is>
          <t>AI Feature</t>
        </is>
      </c>
      <c r="G467" t="inlineStr">
        <is>
          <t>AI Feature</t>
        </is>
      </c>
      <c r="H467" t="inlineStr"/>
      <c r="I467" t="inlineStr"/>
      <c r="J467" t="inlineStr">
        <is>
          <t>Order Management</t>
        </is>
      </c>
      <c r="K467" t="inlineStr">
        <is>
          <t>N</t>
        </is>
      </c>
      <c r="L467" t="inlineStr">
        <is>
          <t>Y</t>
        </is>
      </c>
      <c r="M467" t="inlineStr">
        <is>
          <t>N</t>
        </is>
      </c>
      <c r="N467" t="inlineStr">
        <is>
          <t>Action type: Steps to Enable. Setting up this feature requires a few easy steps. 1. Configure the inbound purchase order email account in AI Agent Studio, including the email address, monito</t>
        </is>
      </c>
      <c r="O467" t="inlineStr">
        <is>
          <t>Medium</t>
        </is>
      </c>
      <c r="P467" t="inlineStr">
        <is>
          <t>2025-06-20</t>
        </is>
      </c>
      <c r="Q467" t="inlineStr">
        <is>
          <t>Oracle Fusion 26C Readiness — Order Management</t>
        </is>
      </c>
      <c r="R467" t="inlineStr"/>
    </row>
    <row r="468">
      <c r="A468" t="inlineStr">
        <is>
          <t>CHG_IMP_0443</t>
        </is>
      </c>
      <c r="B468" t="inlineStr">
        <is>
          <t>REL_26C</t>
        </is>
      </c>
      <c r="C468" t="inlineStr">
        <is>
          <t>AI Agent: Sales Order Correction Assistant</t>
        </is>
      </c>
      <c r="D468" t="inlineStr">
        <is>
          <t>AI Agent: Sales Order Correction Assistant. Module: Order Management. Release: 26C. Use this assistant to be sure that the orders you import in Oracle Order Management are accurate and ready to fulfill. This agent uses smart matching to examine existing sales orders and automatically detect and fix problems in your import data and orders submitted to fulfillment.  The agent automat</t>
        </is>
      </c>
      <c r="E468" t="inlineStr">
        <is>
          <t>Order Management</t>
        </is>
      </c>
      <c r="F468" t="inlineStr">
        <is>
          <t>AI Feature</t>
        </is>
      </c>
      <c r="G468" t="inlineStr">
        <is>
          <t>AI Feature</t>
        </is>
      </c>
      <c r="H468" t="inlineStr"/>
      <c r="I468" t="inlineStr"/>
      <c r="J468" t="inlineStr">
        <is>
          <t>Order Management</t>
        </is>
      </c>
      <c r="K468" t="inlineStr">
        <is>
          <t>N</t>
        </is>
      </c>
      <c r="L468" t="inlineStr">
        <is>
          <t>N</t>
        </is>
      </c>
      <c r="M468" t="inlineStr">
        <is>
          <t>N</t>
        </is>
      </c>
      <c r="N468" t="inlineStr">
        <is>
          <t>Auto-enabled — no action required</t>
        </is>
      </c>
      <c r="O468" t="inlineStr">
        <is>
          <t>Low</t>
        </is>
      </c>
      <c r="P468" t="inlineStr">
        <is>
          <t>2025-06-20</t>
        </is>
      </c>
      <c r="Q468" t="inlineStr">
        <is>
          <t>Oracle Fusion 26C Readiness — Order Management</t>
        </is>
      </c>
      <c r="R468" t="inlineStr"/>
    </row>
    <row r="469">
      <c r="A469" t="inlineStr">
        <is>
          <t>CHG_IMP_0444</t>
        </is>
      </c>
      <c r="B469" t="inlineStr">
        <is>
          <t>REL_26C</t>
        </is>
      </c>
      <c r="C469" t="inlineStr">
        <is>
          <t>AI Agentic App: Sales Order Command Center</t>
        </is>
      </c>
      <c r="D469" t="inlineStr">
        <is>
          <t>AI Agentic App: Sales Order Command Center. Module: Order Management. Release: 26C. The new Sales Order Command Center is an AI-powered unified workspace that will improve customer satisfaction by giving Customer Service Representatives a simple way to continuously review sales order exceptions, review sales orders on hold, and coordinate and execute priority actions to drive faste</t>
        </is>
      </c>
      <c r="E469" t="inlineStr">
        <is>
          <t>Order Management</t>
        </is>
      </c>
      <c r="F469" t="inlineStr">
        <is>
          <t>AI Feature</t>
        </is>
      </c>
      <c r="G469" t="inlineStr">
        <is>
          <t>AI Feature</t>
        </is>
      </c>
      <c r="H469" t="inlineStr"/>
      <c r="I469" t="inlineStr"/>
      <c r="J469" t="inlineStr">
        <is>
          <t>Order Management</t>
        </is>
      </c>
      <c r="K469" t="inlineStr">
        <is>
          <t>N</t>
        </is>
      </c>
      <c r="L469" t="inlineStr">
        <is>
          <t>Y</t>
        </is>
      </c>
      <c r="M469" t="inlineStr">
        <is>
          <t>N</t>
        </is>
      </c>
      <c r="N469" t="inlineStr">
        <is>
          <t>Action type: Steps to Enable. To use this feature, the first thing you need to do is enable the Sales Order Command Center Agentic App Enabled profile option at the site and user level. ORA_FOM_COMMAN</t>
        </is>
      </c>
      <c r="O469" t="inlineStr">
        <is>
          <t>Medium</t>
        </is>
      </c>
      <c r="P469" t="inlineStr">
        <is>
          <t>2025-06-20</t>
        </is>
      </c>
      <c r="Q469" t="inlineStr">
        <is>
          <t>Oracle Fusion 26C Readiness — Order Management</t>
        </is>
      </c>
      <c r="R469" t="inlineStr"/>
    </row>
    <row r="470">
      <c r="A470" t="inlineStr">
        <is>
          <t>CHG_IMP_0445</t>
        </is>
      </c>
      <c r="B470" t="inlineStr">
        <is>
          <t>REL_26C</t>
        </is>
      </c>
      <c r="C470" t="inlineStr">
        <is>
          <t>Create Transfer Orders with Header Level Descriptive Flexfields</t>
        </is>
      </c>
      <c r="D470" t="inlineStr">
        <is>
          <t>Create Transfer Orders with Header Level Descriptive Flexfields. Module: Order Management. Release: 26C. Use the Oracle Supply Chain Orchestration Supply Requests REST API and the Supply Order Import FBDI template to create transfer orders with header level descriptive flexfields.
Oracle Supply Chain Orchestration now supports transfer order header-level descriptive flexfields in the Supply Reque</t>
        </is>
      </c>
      <c r="E470" t="inlineStr">
        <is>
          <t>Order Management</t>
        </is>
      </c>
      <c r="F470" t="inlineStr">
        <is>
          <t>Functional</t>
        </is>
      </c>
      <c r="G470" t="inlineStr">
        <is>
          <t>Functional</t>
        </is>
      </c>
      <c r="H470" t="inlineStr"/>
      <c r="I470" t="inlineStr"/>
      <c r="J470" t="inlineStr">
        <is>
          <t>Order Management</t>
        </is>
      </c>
      <c r="K470" t="inlineStr">
        <is>
          <t>N</t>
        </is>
      </c>
      <c r="L470" t="inlineStr">
        <is>
          <t>N</t>
        </is>
      </c>
      <c r="M470" t="inlineStr">
        <is>
          <t>N</t>
        </is>
      </c>
      <c r="N470" t="inlineStr">
        <is>
          <t>Auto-enabled — no action required</t>
        </is>
      </c>
      <c r="O470" t="inlineStr">
        <is>
          <t>Low</t>
        </is>
      </c>
      <c r="P470" t="inlineStr">
        <is>
          <t>2025-06-20</t>
        </is>
      </c>
      <c r="Q470" t="inlineStr">
        <is>
          <t>Oracle Fusion 26C Readiness — Order Management</t>
        </is>
      </c>
      <c r="R470" t="inlineStr"/>
    </row>
    <row r="471">
      <c r="A471" t="inlineStr">
        <is>
          <t>CHG_IMP_0446</t>
        </is>
      </c>
      <c r="B471" t="inlineStr">
        <is>
          <t>REL_26C</t>
        </is>
      </c>
      <c r="C471" t="inlineStr">
        <is>
          <t>Create Work Orders with Find Numbers for Substituted Components</t>
        </is>
      </c>
      <c r="D471" t="inlineStr">
        <is>
          <t>Create Work Orders with Find Numbers for Substituted Components. Module: Order Management. Release: 26C. Supply Chain Orchestration now supports receiving find numbers for substituted components from Oracle Supply Chain Planning and passing them to Oracle Manufacturing during work order creation.
This enhancement preserves component-specific details when the same item appears multiple times in an</t>
        </is>
      </c>
      <c r="E471" t="inlineStr">
        <is>
          <t>Order Management</t>
        </is>
      </c>
      <c r="F471" t="inlineStr">
        <is>
          <t>Functional</t>
        </is>
      </c>
      <c r="G471" t="inlineStr">
        <is>
          <t>Functional</t>
        </is>
      </c>
      <c r="H471" t="inlineStr"/>
      <c r="I471" t="inlineStr"/>
      <c r="J471" t="inlineStr">
        <is>
          <t>Order Management</t>
        </is>
      </c>
      <c r="K471" t="inlineStr">
        <is>
          <t>N</t>
        </is>
      </c>
      <c r="L471" t="inlineStr">
        <is>
          <t>N</t>
        </is>
      </c>
      <c r="M471" t="inlineStr">
        <is>
          <t>N</t>
        </is>
      </c>
      <c r="N471" t="inlineStr">
        <is>
          <t>Auto-enabled — no action required</t>
        </is>
      </c>
      <c r="O471" t="inlineStr">
        <is>
          <t>Low</t>
        </is>
      </c>
      <c r="P471" t="inlineStr">
        <is>
          <t>2025-06-20</t>
        </is>
      </c>
      <c r="Q471" t="inlineStr">
        <is>
          <t>Oracle Fusion 26C Readiness — Order Management</t>
        </is>
      </c>
      <c r="R471" t="inlineStr"/>
    </row>
    <row r="472">
      <c r="A472" t="inlineStr">
        <is>
          <t>CHG_IMP_0447</t>
        </is>
      </c>
      <c r="B472" t="inlineStr">
        <is>
          <t>REL_26C</t>
        </is>
      </c>
      <c r="C472" t="inlineStr">
        <is>
          <t>Generate Bills of Resources Incrementally for New Assembly Items</t>
        </is>
      </c>
      <c r="D472" t="inlineStr">
        <is>
          <t>Generate Bills of Resources Incrementally for New Assembly Items. Module: Order Management. Release: 26C. This capability enables planners to generate bills of resources (BOR) incrementally by processing only newly added or removed assembly items from a catalog, rather than performing a full BOR refresh across the entire dataset. By leveraging net-change identification of new and removed assemblie</t>
        </is>
      </c>
      <c r="E472" t="inlineStr">
        <is>
          <t>Order Management</t>
        </is>
      </c>
      <c r="F472" t="inlineStr">
        <is>
          <t>Functional</t>
        </is>
      </c>
      <c r="G472" t="inlineStr">
        <is>
          <t>Functional</t>
        </is>
      </c>
      <c r="H472" t="inlineStr"/>
      <c r="I472" t="inlineStr"/>
      <c r="J472" t="inlineStr">
        <is>
          <t>Order Management</t>
        </is>
      </c>
      <c r="K472" t="inlineStr">
        <is>
          <t>N</t>
        </is>
      </c>
      <c r="L472" t="inlineStr">
        <is>
          <t>N</t>
        </is>
      </c>
      <c r="M472" t="inlineStr">
        <is>
          <t>N</t>
        </is>
      </c>
      <c r="N472" t="inlineStr">
        <is>
          <t>Auto-enabled — no action required</t>
        </is>
      </c>
      <c r="O472" t="inlineStr">
        <is>
          <t>Low</t>
        </is>
      </c>
      <c r="P472" t="inlineStr">
        <is>
          <t>2025-06-20</t>
        </is>
      </c>
      <c r="Q472" t="inlineStr">
        <is>
          <t>Oracle Fusion 26C Readiness — Order Management</t>
        </is>
      </c>
      <c r="R472" t="inlineStr"/>
    </row>
    <row r="473">
      <c r="A473" t="inlineStr">
        <is>
          <t>CHG_IMP_0448</t>
        </is>
      </c>
      <c r="B473" t="inlineStr">
        <is>
          <t>REL_26C</t>
        </is>
      </c>
      <c r="C473" t="inlineStr">
        <is>
          <t>Purge Expired Outbound and Inbound Message Files from the Oracle Content Repository</t>
        </is>
      </c>
      <c r="D473" t="inlineStr">
        <is>
          <t>Purge Expired Outbound and Inbound Message Files from the Oracle Content Repository. Module: Order Management. Release: 26C. Oracle Collaboration Messaging stores integration artifacts in specific repository accounts. Over time, these files can accumulate, driving storage growth and slowing down queries, which can impact overall processing performance.
 You can use the **Run Data Lifecycle Proces</t>
        </is>
      </c>
      <c r="E473" t="inlineStr">
        <is>
          <t>Order Management</t>
        </is>
      </c>
      <c r="F473" t="inlineStr">
        <is>
          <t>Functional</t>
        </is>
      </c>
      <c r="G473" t="inlineStr">
        <is>
          <t>Functional</t>
        </is>
      </c>
      <c r="H473" t="inlineStr"/>
      <c r="I473" t="inlineStr"/>
      <c r="J473" t="inlineStr">
        <is>
          <t>Order Management</t>
        </is>
      </c>
      <c r="K473" t="inlineStr">
        <is>
          <t>N</t>
        </is>
      </c>
      <c r="L473" t="inlineStr">
        <is>
          <t>Y</t>
        </is>
      </c>
      <c r="M473" t="inlineStr">
        <is>
          <t>N</t>
        </is>
      </c>
      <c r="N473" t="inlineStr">
        <is>
          <t>Action type: Steps to Enable. Here's how you can clean up accumulated files: 1. From the **Scheduled Processes** area, schedule the **Run Data Lifecycle Process for Collabo</t>
        </is>
      </c>
      <c r="O473" t="inlineStr">
        <is>
          <t>Medium</t>
        </is>
      </c>
      <c r="P473" t="inlineStr">
        <is>
          <t>2025-06-20</t>
        </is>
      </c>
      <c r="Q473" t="inlineStr">
        <is>
          <t>Oracle Fusion 26C Readiness — Order Management</t>
        </is>
      </c>
      <c r="R473" t="inlineStr"/>
    </row>
    <row r="474">
      <c r="A474" t="inlineStr">
        <is>
          <t>CHG_IMP_0449</t>
        </is>
      </c>
      <c r="B474" t="inlineStr">
        <is>
          <t>REL_26C</t>
        </is>
      </c>
      <c r="C474" t="inlineStr">
        <is>
          <t>Redwood: Add Pricing Matrix to Shipping Charges</t>
        </is>
      </c>
      <c r="D474" t="inlineStr">
        <is>
          <t>Redwood: Add Pricing Matrix to Shipping Charges. Module: Order Management. Release: 26C. Use a redesigned page to add a pricing matrix to each shipping charge.
Realize this benefit: Differentiate how you price shipping charges based on attributes
Within the redesigned Shipping Charge Lists UI, you can now use a pricing matrix to manage how you define shipping charges using one or more Opt-in req</t>
        </is>
      </c>
      <c r="E474" t="inlineStr">
        <is>
          <t>Order Management</t>
        </is>
      </c>
      <c r="F474" t="inlineStr">
        <is>
          <t>Functional</t>
        </is>
      </c>
      <c r="G474" t="inlineStr">
        <is>
          <t>Functional</t>
        </is>
      </c>
      <c r="H474" t="inlineStr"/>
      <c r="I474" t="inlineStr"/>
      <c r="J474" t="inlineStr">
        <is>
          <t>Order Management</t>
        </is>
      </c>
      <c r="K474" t="inlineStr">
        <is>
          <t>N</t>
        </is>
      </c>
      <c r="L474" t="inlineStr">
        <is>
          <t>Y</t>
        </is>
      </c>
      <c r="M474" t="inlineStr">
        <is>
          <t>N</t>
        </is>
      </c>
      <c r="N474" t="inlineStr">
        <is>
          <t>Action type: Steps to Enable. Use the Opt In UI to enable this feature. For instructions, refer to the Optional Uptake of New Features section of this document. Offering: *Order Management* Functional</t>
        </is>
      </c>
      <c r="O474" t="inlineStr">
        <is>
          <t>Medium</t>
        </is>
      </c>
      <c r="P474" t="inlineStr">
        <is>
          <t>2025-06-20</t>
        </is>
      </c>
      <c r="Q474" t="inlineStr">
        <is>
          <t>Oracle Fusion 26C Readiness — Order Management</t>
        </is>
      </c>
      <c r="R474" t="inlineStr"/>
    </row>
    <row r="475">
      <c r="A475" t="inlineStr">
        <is>
          <t>CHG_IMP_0450</t>
        </is>
      </c>
      <c r="B475" t="inlineStr">
        <is>
          <t>REL_26C</t>
        </is>
      </c>
      <c r="C475" t="inlineStr">
        <is>
          <t>Redwood: Asset Picker to Add Assets to be Covered</t>
        </is>
      </c>
      <c r="D475" t="inlineStr">
        <is>
          <t>Redwood: Asset Picker to Add Assets to be Covered. Module: Order Management. Release: 26C. Use this feature to quickly add assets to a parent transaction in one step. Now users can search and filter from a list of available assets and refine the list, select or deselect multiple assets, and then review and apply selected assets.This experience replaces the lengthy and time consuming proce Opt-in r</t>
        </is>
      </c>
      <c r="E475" t="inlineStr">
        <is>
          <t>Order Management</t>
        </is>
      </c>
      <c r="F475" t="inlineStr">
        <is>
          <t>Functional</t>
        </is>
      </c>
      <c r="G475" t="inlineStr">
        <is>
          <t>Functional</t>
        </is>
      </c>
      <c r="H475" t="inlineStr"/>
      <c r="I475" t="inlineStr"/>
      <c r="J475" t="inlineStr">
        <is>
          <t>Order Management</t>
        </is>
      </c>
      <c r="K475" t="inlineStr">
        <is>
          <t>N</t>
        </is>
      </c>
      <c r="L475" t="inlineStr">
        <is>
          <t>Y</t>
        </is>
      </c>
      <c r="M475" t="inlineStr">
        <is>
          <t>N</t>
        </is>
      </c>
      <c r="N475" t="inlineStr">
        <is>
          <t xml:space="preserve">Action type: Steps to Enable. Use the Opt In UI to enable this feature. For instructions, refer to the Optional Uptake of New Features section of this document. Offering: *Sales* You must also opt in </t>
        </is>
      </c>
      <c r="O475" t="inlineStr">
        <is>
          <t>Medium</t>
        </is>
      </c>
      <c r="P475" t="inlineStr">
        <is>
          <t>2025-06-20</t>
        </is>
      </c>
      <c r="Q475" t="inlineStr">
        <is>
          <t>Oracle Fusion 26C Readiness — Order Management</t>
        </is>
      </c>
      <c r="R475" t="inlineStr"/>
    </row>
    <row r="476">
      <c r="A476" t="inlineStr">
        <is>
          <t>CHG_IMP_0451</t>
        </is>
      </c>
      <c r="B476" t="inlineStr">
        <is>
          <t>REL_26C</t>
        </is>
      </c>
      <c r="C476" t="inlineStr">
        <is>
          <t>Redwood: Attach Subscription or Coverage Line to Existing Subscription</t>
        </is>
      </c>
      <c r="D476" t="inlineStr">
        <is>
          <t>Redwood: Attach Subscription or Coverage Line to Existing Subscription. Module: Order Management. Release: 26C. Order entry users can save time and reduce errors by specifying an existing subscription on subscription or coverage lines in the Redwood sales order experience, including the sales order line, Manage Subscriptions and Coverages tab, and subscription or coverage drawers. The target subsc</t>
        </is>
      </c>
      <c r="E476" t="inlineStr">
        <is>
          <t>Order Management</t>
        </is>
      </c>
      <c r="F476" t="inlineStr">
        <is>
          <t>Functional</t>
        </is>
      </c>
      <c r="G476" t="inlineStr">
        <is>
          <t>Functional</t>
        </is>
      </c>
      <c r="H476" t="inlineStr"/>
      <c r="I476" t="inlineStr"/>
      <c r="J476" t="inlineStr">
        <is>
          <t>Order Management</t>
        </is>
      </c>
      <c r="K476" t="inlineStr">
        <is>
          <t>N</t>
        </is>
      </c>
      <c r="L476" t="inlineStr">
        <is>
          <t>Y</t>
        </is>
      </c>
      <c r="M476" t="inlineStr">
        <is>
          <t>N</t>
        </is>
      </c>
      <c r="N476" t="inlineStr">
        <is>
          <t xml:space="preserve">Action type: Steps to Enable. Use the Opt In UI to enable this feature. For instructions, refer to the Optional Uptake of New Features section of this document. Offering: *Sales* </t>
        </is>
      </c>
      <c r="O476" t="inlineStr">
        <is>
          <t>Medium</t>
        </is>
      </c>
      <c r="P476" t="inlineStr">
        <is>
          <t>2025-06-20</t>
        </is>
      </c>
      <c r="Q476" t="inlineStr">
        <is>
          <t>Oracle Fusion 26C Readiness — Order Management</t>
        </is>
      </c>
      <c r="R476" t="inlineStr"/>
    </row>
    <row r="477">
      <c r="A477" t="inlineStr">
        <is>
          <t>CHG_IMP_0452</t>
        </is>
      </c>
      <c r="B477" t="inlineStr">
        <is>
          <t>REL_26C</t>
        </is>
      </c>
      <c r="C477" t="inlineStr">
        <is>
          <t>Redwood: Automate How You Generate Price Books</t>
        </is>
      </c>
      <c r="D477" t="inlineStr">
        <is>
          <t>Redwood: Automate How You Generate Price Books. Module: Order Management. Release: 26C. Automatically maintain a comprehensive price book that you can use for runtime pricing.
Realize these benefits:
• Set a schedule to automate generation of comprehensive price book – weekly, monthly, quarterly, yearly basis.
• Generate a single price book that contains all pricing for all strategie Opt-in requ</t>
        </is>
      </c>
      <c r="E477" t="inlineStr">
        <is>
          <t>Order Management</t>
        </is>
      </c>
      <c r="F477" t="inlineStr">
        <is>
          <t>Functional</t>
        </is>
      </c>
      <c r="G477" t="inlineStr">
        <is>
          <t>Functional</t>
        </is>
      </c>
      <c r="H477" t="inlineStr"/>
      <c r="I477" t="inlineStr"/>
      <c r="J477" t="inlineStr">
        <is>
          <t>Order Management</t>
        </is>
      </c>
      <c r="K477" t="inlineStr">
        <is>
          <t>N</t>
        </is>
      </c>
      <c r="L477" t="inlineStr">
        <is>
          <t>Y</t>
        </is>
      </c>
      <c r="M477" t="inlineStr">
        <is>
          <t>N</t>
        </is>
      </c>
      <c r="N477" t="inlineStr">
        <is>
          <t>Action type: Steps to Enable. Use the Opt In UI to enable this feature. For instructions, refer to the Optional Uptake of New Features section of this document. Offering: *Order Management* This featu</t>
        </is>
      </c>
      <c r="O477" t="inlineStr">
        <is>
          <t>Medium</t>
        </is>
      </c>
      <c r="P477" t="inlineStr">
        <is>
          <t>2025-06-20</t>
        </is>
      </c>
      <c r="Q477" t="inlineStr">
        <is>
          <t>Oracle Fusion 26C Readiness — Order Management</t>
        </is>
      </c>
      <c r="R477" t="inlineStr"/>
    </row>
    <row r="478">
      <c r="A478" t="inlineStr">
        <is>
          <t>CHG_IMP_0453</t>
        </is>
      </c>
      <c r="B478" t="inlineStr">
        <is>
          <t>REL_26C</t>
        </is>
      </c>
      <c r="C478" t="inlineStr">
        <is>
          <t>Redwood: Configure Custom Qualifiers in Customer Program Eligibility Rules when Interfacing Invoiced Sales Orders</t>
        </is>
      </c>
      <c r="D478" t="inlineStr">
        <is>
          <t>Redwood: Configure Custom Qualifiers in Customer Program Eligibility Rules when Interfacing Invoiced Sales Orders. Module: Order Management. Release: 26C. Configure custom qualifiers for customer program eligibility rules in customer rebate and customer volume programs when interfacing invoiced sales order transactions directly to Channel Revenue Management. The custom qualifiers are based on AR i</t>
        </is>
      </c>
      <c r="E478" t="inlineStr">
        <is>
          <t>Order Management</t>
        </is>
      </c>
      <c r="F478" t="inlineStr">
        <is>
          <t>Functional</t>
        </is>
      </c>
      <c r="G478" t="inlineStr">
        <is>
          <t>Functional</t>
        </is>
      </c>
      <c r="H478" t="inlineStr"/>
      <c r="I478" t="inlineStr"/>
      <c r="J478" t="inlineStr">
        <is>
          <t>Order Management</t>
        </is>
      </c>
      <c r="K478" t="inlineStr">
        <is>
          <t>N</t>
        </is>
      </c>
      <c r="L478" t="inlineStr">
        <is>
          <t>Y</t>
        </is>
      </c>
      <c r="M478" t="inlineStr">
        <is>
          <t>N</t>
        </is>
      </c>
      <c r="N478" t="inlineStr">
        <is>
          <t>Action type: Steps to Enable. Use the Opt In UI to enable this feature. For instructions, refer to the Optional Uptake of New Features s</t>
        </is>
      </c>
      <c r="O478" t="inlineStr">
        <is>
          <t>Medium</t>
        </is>
      </c>
      <c r="P478" t="inlineStr">
        <is>
          <t>2025-06-20</t>
        </is>
      </c>
      <c r="Q478" t="inlineStr">
        <is>
          <t>Oracle Fusion 26C Readiness — Order Management</t>
        </is>
      </c>
      <c r="R478" t="inlineStr"/>
    </row>
    <row r="479">
      <c r="A479" t="inlineStr">
        <is>
          <t>CHG_IMP_0454</t>
        </is>
      </c>
      <c r="B479" t="inlineStr">
        <is>
          <t>REL_26C</t>
        </is>
      </c>
      <c r="C479" t="inlineStr">
        <is>
          <t>Redwood: Create and Manage Price Elements</t>
        </is>
      </c>
      <c r="D479" t="inlineStr">
        <is>
          <t>Redwood: Create and Manage Price Elements. Module: Order Management. Release: 26C. Use the redesigned Price Elements page to create and manage price elements. Use it to create, duplicate, update, or delete price elements.
The redesign preserves the existing price element functionality, so you continue to work with the same price element concepts and setup behaviour as before.
Ge</t>
        </is>
      </c>
      <c r="E479" t="inlineStr">
        <is>
          <t>Order Management</t>
        </is>
      </c>
      <c r="F479" t="inlineStr">
        <is>
          <t>Functional</t>
        </is>
      </c>
      <c r="G479" t="inlineStr">
        <is>
          <t>Functional</t>
        </is>
      </c>
      <c r="H479" t="inlineStr"/>
      <c r="I479" t="inlineStr"/>
      <c r="J479" t="inlineStr">
        <is>
          <t>Order Management</t>
        </is>
      </c>
      <c r="K479" t="inlineStr">
        <is>
          <t>N</t>
        </is>
      </c>
      <c r="L479" t="inlineStr">
        <is>
          <t>Y</t>
        </is>
      </c>
      <c r="M479" t="inlineStr">
        <is>
          <t>N</t>
        </is>
      </c>
      <c r="N479" t="inlineStr">
        <is>
          <t>Action type: Steps to Enable. You must enable the ORA_QP_PRICE_ELEMENTS_REDWOOD_ENABLED (Redwood Page for Price Elements Enabled) Follow these steps to enable this feature: 1. In the Setup and Mainten</t>
        </is>
      </c>
      <c r="O479" t="inlineStr">
        <is>
          <t>Medium</t>
        </is>
      </c>
      <c r="P479" t="inlineStr">
        <is>
          <t>2025-06-20</t>
        </is>
      </c>
      <c r="Q479" t="inlineStr">
        <is>
          <t>Oracle Fusion 26C Readiness — Order Management</t>
        </is>
      </c>
      <c r="R479" t="inlineStr"/>
    </row>
    <row r="480">
      <c r="A480" t="inlineStr">
        <is>
          <t>CHG_IMP_0455</t>
        </is>
      </c>
      <c r="B480" t="inlineStr">
        <is>
          <t>REL_26C</t>
        </is>
      </c>
      <c r="C480" t="inlineStr">
        <is>
          <t>Redwood: Create and Manage Pricing Bases</t>
        </is>
      </c>
      <c r="D480" t="inlineStr">
        <is>
          <t>Redwood: Create and Manage Pricing Bases. Module: Order Management. Release: 26C. Use the redesigned Redwood Pricing Bases page to create and manage pricing bases with the same underlying functionality as the existing ADF page.
The redesign preserves the existing pricing basis functionality, so you continue to work with the same pricing basis concepts and setup behaviour as befo</t>
        </is>
      </c>
      <c r="E480" t="inlineStr">
        <is>
          <t>Order Management</t>
        </is>
      </c>
      <c r="F480" t="inlineStr">
        <is>
          <t>Functional</t>
        </is>
      </c>
      <c r="G480" t="inlineStr">
        <is>
          <t>Functional</t>
        </is>
      </c>
      <c r="H480" t="inlineStr"/>
      <c r="I480" t="inlineStr"/>
      <c r="J480" t="inlineStr">
        <is>
          <t>Order Management</t>
        </is>
      </c>
      <c r="K480" t="inlineStr">
        <is>
          <t>N</t>
        </is>
      </c>
      <c r="L480" t="inlineStr">
        <is>
          <t>Y</t>
        </is>
      </c>
      <c r="M480" t="inlineStr">
        <is>
          <t>N</t>
        </is>
      </c>
      <c r="N480" t="inlineStr">
        <is>
          <t>Action type: Steps to Enable. You must enable the ORA_QP_PRICING_BASES_REDWOOD_ENABLED (Redwood Page for Pricing Bases Enabled) Follow these steps to enable this feature: 1. In the Setup and Maintenan</t>
        </is>
      </c>
      <c r="O480" t="inlineStr">
        <is>
          <t>Medium</t>
        </is>
      </c>
      <c r="P480" t="inlineStr">
        <is>
          <t>2025-06-20</t>
        </is>
      </c>
      <c r="Q480" t="inlineStr">
        <is>
          <t>Oracle Fusion 26C Readiness — Order Management</t>
        </is>
      </c>
      <c r="R480" t="inlineStr"/>
    </row>
    <row r="481">
      <c r="A481" t="inlineStr">
        <is>
          <t>CHG_IMP_0456</t>
        </is>
      </c>
      <c r="B481" t="inlineStr">
        <is>
          <t>REL_26C</t>
        </is>
      </c>
      <c r="C481" t="inlineStr">
        <is>
          <t>Redwood: Create and Manage Pricing Charge Definitions</t>
        </is>
      </c>
      <c r="D481" t="inlineStr">
        <is>
          <t>Redwood: Create and Manage Pricing Charge Definitions. Module: Order Management. Release: 26C. Use the redesigned Redwood Pricing Charge Definitions page to create and manage charge definitions with the same underlying functionality as the existing ADF page.
The redesign preserves the existing pricing charge definition functionality, so you continue to work with the same charge definition co</t>
        </is>
      </c>
      <c r="E481" t="inlineStr">
        <is>
          <t>Order Management</t>
        </is>
      </c>
      <c r="F481" t="inlineStr">
        <is>
          <t>Functional</t>
        </is>
      </c>
      <c r="G481" t="inlineStr">
        <is>
          <t>Functional</t>
        </is>
      </c>
      <c r="H481" t="inlineStr"/>
      <c r="I481" t="inlineStr"/>
      <c r="J481" t="inlineStr">
        <is>
          <t>Order Management</t>
        </is>
      </c>
      <c r="K481" t="inlineStr">
        <is>
          <t>N</t>
        </is>
      </c>
      <c r="L481" t="inlineStr">
        <is>
          <t>Y</t>
        </is>
      </c>
      <c r="M481" t="inlineStr">
        <is>
          <t>N</t>
        </is>
      </c>
      <c r="N481" t="inlineStr">
        <is>
          <t>Action type: Steps to Enable. You must enable the ORA_QP_PRICING_CHARGE_DEFINITIONS_REDWOOD_ENABLED (Redwood Page for Pricing Charge Definitions Enabled) Follow these steps to enable this feature:</t>
        </is>
      </c>
      <c r="O481" t="inlineStr">
        <is>
          <t>Medium</t>
        </is>
      </c>
      <c r="P481" t="inlineStr">
        <is>
          <t>2025-06-20</t>
        </is>
      </c>
      <c r="Q481" t="inlineStr">
        <is>
          <t>Oracle Fusion 26C Readiness — Order Management</t>
        </is>
      </c>
      <c r="R481" t="inlineStr"/>
    </row>
    <row r="482">
      <c r="A482" t="inlineStr">
        <is>
          <t>CHG_IMP_0457</t>
        </is>
      </c>
      <c r="B482" t="inlineStr">
        <is>
          <t>REL_26C</t>
        </is>
      </c>
      <c r="C482" t="inlineStr">
        <is>
          <t>Redwood: Create and Manage Pricing Process Assignments</t>
        </is>
      </c>
      <c r="D482" t="inlineStr">
        <is>
          <t>Redwood: Create and Manage Pricing Process Assignments. Module: Order Management. Release: 26C. Use the redesigned Redwood Pricing Process Assignments page to create, update, and delete pricing process assignments with the same underlying functionality as the existing ADF page.
The redesign preserves the existing pricing process assignment behaviour, so you continue to manage the same operati</t>
        </is>
      </c>
      <c r="E482" t="inlineStr">
        <is>
          <t>Order Management</t>
        </is>
      </c>
      <c r="F482" t="inlineStr">
        <is>
          <t>Functional</t>
        </is>
      </c>
      <c r="G482" t="inlineStr">
        <is>
          <t>Functional</t>
        </is>
      </c>
      <c r="H482" t="inlineStr"/>
      <c r="I482" t="inlineStr"/>
      <c r="J482" t="inlineStr">
        <is>
          <t>Order Management</t>
        </is>
      </c>
      <c r="K482" t="inlineStr">
        <is>
          <t>N</t>
        </is>
      </c>
      <c r="L482" t="inlineStr">
        <is>
          <t>Y</t>
        </is>
      </c>
      <c r="M482" t="inlineStr">
        <is>
          <t>N</t>
        </is>
      </c>
      <c r="N482" t="inlineStr">
        <is>
          <t>Action type: Steps to Enable. You must enable the ORA_QP_PRICING_PROCESS_ASSIGNMENTS_REDWOOD_ENABLED (Redwood Page for Pricing Process Assignments Enabled) Follow these steps to enable this featu</t>
        </is>
      </c>
      <c r="O482" t="inlineStr">
        <is>
          <t>Medium</t>
        </is>
      </c>
      <c r="P482" t="inlineStr">
        <is>
          <t>2025-06-20</t>
        </is>
      </c>
      <c r="Q482" t="inlineStr">
        <is>
          <t>Oracle Fusion 26C Readiness — Order Management</t>
        </is>
      </c>
      <c r="R482" t="inlineStr"/>
    </row>
    <row r="483">
      <c r="A483" t="inlineStr">
        <is>
          <t>CHG_IMP_0458</t>
        </is>
      </c>
      <c r="B483" t="inlineStr">
        <is>
          <t>REL_26C</t>
        </is>
      </c>
      <c r="C483" t="inlineStr">
        <is>
          <t>Redwood: Customer Strategies, Segments, and Profiles</t>
        </is>
      </c>
      <c r="D483" t="inlineStr">
        <is>
          <t>Redwood: Customer Strategies, Segments, and Profiles. Module: Order Management. Release: 26C. Use redesigned pages in the Pricing Administration work area to search for, edit, and create pricing strategies, strategy assignment rules, segment pricing profiles, and segment pricing rules. Add more than one list to a pricing strategy in a single action, or use a scheduled process to do a mass ac</t>
        </is>
      </c>
      <c r="E483" t="inlineStr">
        <is>
          <t>Order Management</t>
        </is>
      </c>
      <c r="F483" t="inlineStr">
        <is>
          <t>Functional</t>
        </is>
      </c>
      <c r="G483" t="inlineStr">
        <is>
          <t>Functional</t>
        </is>
      </c>
      <c r="H483" t="inlineStr"/>
      <c r="I483" t="inlineStr"/>
      <c r="J483" t="inlineStr">
        <is>
          <t>Order Management</t>
        </is>
      </c>
      <c r="K483" t="inlineStr">
        <is>
          <t>N</t>
        </is>
      </c>
      <c r="L483" t="inlineStr">
        <is>
          <t>Y</t>
        </is>
      </c>
      <c r="M483" t="inlineStr">
        <is>
          <t>N</t>
        </is>
      </c>
      <c r="N483" t="inlineStr">
        <is>
          <t>Action type: Steps to Enable. • To enable the Redwood Segment Pricing Profile and the Pricing Segments UI, go to **Home**&gt; **My Enterprise** &gt; **Setup and Maintenance** &gt; **Tasks**&gt; **Search**&gt; Man</t>
        </is>
      </c>
      <c r="O483" t="inlineStr">
        <is>
          <t>Medium</t>
        </is>
      </c>
      <c r="P483" t="inlineStr">
        <is>
          <t>2025-06-20</t>
        </is>
      </c>
      <c r="Q483" t="inlineStr">
        <is>
          <t>Oracle Fusion 26C Readiness — Order Management</t>
        </is>
      </c>
      <c r="R483" t="inlineStr"/>
    </row>
    <row r="484">
      <c r="A484" t="inlineStr">
        <is>
          <t>CHG_IMP_0459</t>
        </is>
      </c>
      <c r="B484" t="inlineStr">
        <is>
          <t>REL_26C</t>
        </is>
      </c>
      <c r="C484" t="inlineStr">
        <is>
          <t>Redwood: Deep Links to Planning Pages and Visualizations with Context</t>
        </is>
      </c>
      <c r="D484" t="inlineStr">
        <is>
          <t xml:space="preserve">Redwood: Deep Links to Planning Pages and Visualizations with Context. Module: Order Management. Release: 26C. You can now navigate between planning pages using deep links that preserve context such as plan, page, page group, visualization, and filter details. It improves analysis efficiency by directly accessing relevant pages or visualizations with up to five filter context values applied. This </t>
        </is>
      </c>
      <c r="E484" t="inlineStr">
        <is>
          <t>Order Management</t>
        </is>
      </c>
      <c r="F484" t="inlineStr">
        <is>
          <t>Functional</t>
        </is>
      </c>
      <c r="G484" t="inlineStr">
        <is>
          <t>Functional</t>
        </is>
      </c>
      <c r="H484" t="inlineStr"/>
      <c r="I484" t="inlineStr"/>
      <c r="J484" t="inlineStr">
        <is>
          <t>Order Management</t>
        </is>
      </c>
      <c r="K484" t="inlineStr">
        <is>
          <t>N</t>
        </is>
      </c>
      <c r="L484" t="inlineStr">
        <is>
          <t>N</t>
        </is>
      </c>
      <c r="M484" t="inlineStr">
        <is>
          <t>N</t>
        </is>
      </c>
      <c r="N484" t="inlineStr">
        <is>
          <t>Auto-enabled — no action required</t>
        </is>
      </c>
      <c r="O484" t="inlineStr">
        <is>
          <t>Low</t>
        </is>
      </c>
      <c r="P484" t="inlineStr">
        <is>
          <t>2025-06-20</t>
        </is>
      </c>
      <c r="Q484" t="inlineStr">
        <is>
          <t>Oracle Fusion 26C Readiness — Order Management</t>
        </is>
      </c>
      <c r="R484" t="inlineStr"/>
    </row>
    <row r="485">
      <c r="A485" t="inlineStr">
        <is>
          <t>CHG_IMP_0460</t>
        </is>
      </c>
      <c r="B485" t="inlineStr">
        <is>
          <t>REL_26C</t>
        </is>
      </c>
      <c r="C485" t="inlineStr">
        <is>
          <t>Redwood: Diagnose Scheduling Delays for Configure-to-Order, Allocated, and Source-Promised Items</t>
        </is>
      </c>
      <c r="D485" t="inlineStr">
        <is>
          <t>Redwood: Diagnose Scheduling Delays for Configure-to-Order, Allocated, and Source-Promised Items. Module: Order Management. Release: 26C. Run and review the Scheduling Diagnostics report to analyze promising delays for across a broader range of order lines. The report now displays results for configure-to-order items, including assemble-to-order, pick-to-order, and pick-to-order kits. It also prov</t>
        </is>
      </c>
      <c r="E485" t="inlineStr">
        <is>
          <t>Order Management</t>
        </is>
      </c>
      <c r="F485" t="inlineStr">
        <is>
          <t>Functional</t>
        </is>
      </c>
      <c r="G485" t="inlineStr">
        <is>
          <t>Functional</t>
        </is>
      </c>
      <c r="H485" t="inlineStr"/>
      <c r="I485" t="inlineStr"/>
      <c r="J485" t="inlineStr">
        <is>
          <t>Order Management</t>
        </is>
      </c>
      <c r="K485" t="inlineStr">
        <is>
          <t>N</t>
        </is>
      </c>
      <c r="L485" t="inlineStr">
        <is>
          <t>Y</t>
        </is>
      </c>
      <c r="M485" t="inlineStr">
        <is>
          <t>N</t>
        </is>
      </c>
      <c r="N485" t="inlineStr">
        <is>
          <t>Action type: Steps to Enable. To enable Scheduling Diagnostics for real-time promising during order submission from Fusion Order Management (Auto Schedul</t>
        </is>
      </c>
      <c r="O485" t="inlineStr">
        <is>
          <t>Medium</t>
        </is>
      </c>
      <c r="P485" t="inlineStr">
        <is>
          <t>2025-06-20</t>
        </is>
      </c>
      <c r="Q485" t="inlineStr">
        <is>
          <t>Oracle Fusion 26C Readiness — Order Management</t>
        </is>
      </c>
      <c r="R485" t="inlineStr"/>
    </row>
    <row r="486">
      <c r="A486" t="inlineStr">
        <is>
          <t>CHG_IMP_0461</t>
        </is>
      </c>
      <c r="B486" t="inlineStr">
        <is>
          <t>REL_26C</t>
        </is>
      </c>
      <c r="C486" t="inlineStr">
        <is>
          <t>Redwood: Do More Actions on Cost Lists</t>
        </is>
      </c>
      <c r="D486" t="inlineStr">
        <is>
          <t>Redwood: Do More Actions on Cost Lists. Module: Order Management. Release: 26C. In an earlier update, you could use a mass action to simplify how you managed cost lists. Now you can use a scheduled process to do more when you apply a mass action. Apply it according to another cost list or from a set of selected items. View any errors that come up during the action.
Get these b</t>
        </is>
      </c>
      <c r="E486" t="inlineStr">
        <is>
          <t>Order Management</t>
        </is>
      </c>
      <c r="F486" t="inlineStr">
        <is>
          <t>Functional</t>
        </is>
      </c>
      <c r="G486" t="inlineStr">
        <is>
          <t>Functional</t>
        </is>
      </c>
      <c r="H486" t="inlineStr"/>
      <c r="I486" t="inlineStr"/>
      <c r="J486" t="inlineStr">
        <is>
          <t>Order Management</t>
        </is>
      </c>
      <c r="K486" t="inlineStr">
        <is>
          <t>N</t>
        </is>
      </c>
      <c r="L486" t="inlineStr">
        <is>
          <t>N</t>
        </is>
      </c>
      <c r="M486" t="inlineStr">
        <is>
          <t>N</t>
        </is>
      </c>
      <c r="N486" t="inlineStr">
        <is>
          <t>Auto-enabled — no action required</t>
        </is>
      </c>
      <c r="O486" t="inlineStr">
        <is>
          <t>Low</t>
        </is>
      </c>
      <c r="P486" t="inlineStr">
        <is>
          <t>2025-06-20</t>
        </is>
      </c>
      <c r="Q486" t="inlineStr">
        <is>
          <t>Oracle Fusion 26C Readiness — Order Management</t>
        </is>
      </c>
      <c r="R486" t="inlineStr"/>
    </row>
    <row r="487">
      <c r="A487" t="inlineStr">
        <is>
          <t>CHG_IMP_0462</t>
        </is>
      </c>
      <c r="B487" t="inlineStr">
        <is>
          <t>REL_26C</t>
        </is>
      </c>
      <c r="C487" t="inlineStr">
        <is>
          <t>Redwood: Generate Price Books That Have Coverages and Promotions</t>
        </is>
      </c>
      <c r="D487" t="inlineStr">
        <is>
          <t>Redwood: Generate Price Books That Have Coverages and Promotions. Module: Order Management. Release: 26C. You can now include coverages and promotions when you generate a price book.
Get these benefits:
• Flat rate coverage pricing is included in the price book and available for runtime pricing
• Coverage pricing that’s based on the value of the item’s price is included in the price book as a pl</t>
        </is>
      </c>
      <c r="E487" t="inlineStr">
        <is>
          <t>Order Management</t>
        </is>
      </c>
      <c r="F487" t="inlineStr">
        <is>
          <t>Functional</t>
        </is>
      </c>
      <c r="G487" t="inlineStr">
        <is>
          <t>Functional</t>
        </is>
      </c>
      <c r="H487" t="inlineStr"/>
      <c r="I487" t="inlineStr"/>
      <c r="J487" t="inlineStr">
        <is>
          <t>Order Management</t>
        </is>
      </c>
      <c r="K487" t="inlineStr">
        <is>
          <t>N</t>
        </is>
      </c>
      <c r="L487" t="inlineStr">
        <is>
          <t>Y</t>
        </is>
      </c>
      <c r="M487" t="inlineStr">
        <is>
          <t>N</t>
        </is>
      </c>
      <c r="N487" t="inlineStr">
        <is>
          <t>Action type: Steps to Enable. **Setup Required** If you want to use the Redwood: Use Price Books to Price Coverages and Promotions feature, then you must opt in to another feature: Redw</t>
        </is>
      </c>
      <c r="O487" t="inlineStr">
        <is>
          <t>Medium</t>
        </is>
      </c>
      <c r="P487" t="inlineStr">
        <is>
          <t>2025-06-20</t>
        </is>
      </c>
      <c r="Q487" t="inlineStr">
        <is>
          <t>Oracle Fusion 26C Readiness — Order Management</t>
        </is>
      </c>
      <c r="R487" t="inlineStr"/>
    </row>
    <row r="488">
      <c r="A488" t="inlineStr">
        <is>
          <t>CHG_IMP_0463</t>
        </is>
      </c>
      <c r="B488" t="inlineStr">
        <is>
          <t>REL_26C</t>
        </is>
      </c>
      <c r="C488" t="inlineStr">
        <is>
          <t>Redwood: Manage B2B Certificates</t>
        </is>
      </c>
      <c r="D488" t="inlineStr">
        <is>
          <t>Redwood: Manage B2B Certificates. Module: Order Management. Release: 26C. You can now use a Redwood page to define, manage, and maintain the digital certificates used to enable encryption and decryption for collaboration messages exchanged with your trading partners using the AS2 protocol via Oracle B2B.
This helps protect sensitive data in transit and meet organizationa</t>
        </is>
      </c>
      <c r="E488" t="inlineStr">
        <is>
          <t>Order Management</t>
        </is>
      </c>
      <c r="F488" t="inlineStr">
        <is>
          <t>Functional</t>
        </is>
      </c>
      <c r="G488" t="inlineStr">
        <is>
          <t>Functional</t>
        </is>
      </c>
      <c r="H488" t="inlineStr"/>
      <c r="I488" t="inlineStr"/>
      <c r="J488" t="inlineStr">
        <is>
          <t>Order Management</t>
        </is>
      </c>
      <c r="K488" t="inlineStr">
        <is>
          <t>N</t>
        </is>
      </c>
      <c r="L488" t="inlineStr">
        <is>
          <t>Y</t>
        </is>
      </c>
      <c r="M488" t="inlineStr">
        <is>
          <t>N</t>
        </is>
      </c>
      <c r="N488" t="inlineStr">
        <is>
          <t>Action type: Steps to Enable. You can access this functionality by enabling the feature **Simplify Configuration and Processing for B2B Messaging**orthe profile option **ORA_CMK_MESSAGING_CERTIFICATES</t>
        </is>
      </c>
      <c r="O488" t="inlineStr">
        <is>
          <t>Medium</t>
        </is>
      </c>
      <c r="P488" t="inlineStr">
        <is>
          <t>2025-06-20</t>
        </is>
      </c>
      <c r="Q488" t="inlineStr">
        <is>
          <t>Oracle Fusion 26C Readiness — Order Management</t>
        </is>
      </c>
      <c r="R488" t="inlineStr"/>
    </row>
    <row r="489">
      <c r="A489" t="inlineStr">
        <is>
          <t>CHG_IMP_0464</t>
        </is>
      </c>
      <c r="B489" t="inlineStr">
        <is>
          <t>REL_26C</t>
        </is>
      </c>
      <c r="C489" t="inlineStr">
        <is>
          <t>Redwood: Manage Business Event Trigger Points</t>
        </is>
      </c>
      <c r="D489" t="inlineStr">
        <is>
          <t>Redwood: Manage Business Event Trigger Points. Module: Order Management. Release: 26C. You can now use the Redwood pages to manage event trigger points much faster and more efficiently the you could in previous releases. Prior to this release, you could only manage trigger points on the classic pages in the Setup and Maintenance work area.
**Get these benefits**
• Use a modern, intu</t>
        </is>
      </c>
      <c r="E489" t="inlineStr">
        <is>
          <t>Order Management</t>
        </is>
      </c>
      <c r="F489" t="inlineStr">
        <is>
          <t>Functional</t>
        </is>
      </c>
      <c r="G489" t="inlineStr">
        <is>
          <t>Functional</t>
        </is>
      </c>
      <c r="H489" t="inlineStr"/>
      <c r="I489" t="inlineStr"/>
      <c r="J489" t="inlineStr">
        <is>
          <t>Order Management</t>
        </is>
      </c>
      <c r="K489" t="inlineStr">
        <is>
          <t>N</t>
        </is>
      </c>
      <c r="L489" t="inlineStr">
        <is>
          <t>Y</t>
        </is>
      </c>
      <c r="M489" t="inlineStr">
        <is>
          <t>N</t>
        </is>
      </c>
      <c r="N489" t="inlineStr">
        <is>
          <t xml:space="preserve">Action type: Steps to Enable. 1. Navigate to Setup and Maintenance and open the task - Manage Administrator Profile Values. 2. Search for the profile option code ORA_FOM_RW_MANAGE_BUSINESS_EVENTS. 3. </t>
        </is>
      </c>
      <c r="O489" t="inlineStr">
        <is>
          <t>Medium</t>
        </is>
      </c>
      <c r="P489" t="inlineStr">
        <is>
          <t>2025-06-20</t>
        </is>
      </c>
      <c r="Q489" t="inlineStr">
        <is>
          <t>Oracle Fusion 26C Readiness — Order Management</t>
        </is>
      </c>
      <c r="R489" t="inlineStr"/>
    </row>
    <row r="490">
      <c r="A490" t="inlineStr">
        <is>
          <t>CHG_IMP_0465</t>
        </is>
      </c>
      <c r="B490" t="inlineStr">
        <is>
          <t>REL_26C</t>
        </is>
      </c>
      <c r="C490" t="inlineStr">
        <is>
          <t>Redwood: Manage Configurator Rules in Commercial Change Orders</t>
        </is>
      </c>
      <c r="D490" t="inlineStr">
        <is>
          <t>Redwood: Manage Configurator Rules in Commercial Change Orders. Module: Order Management. Release: 26C. In update 25D, you were able to use effective dates to control when new or updated configurator rules take effect. Starting in update 26C, rule creation and updates must be managed through a Commercial Change Order (CCO), which governs when the rule logic becomes effective.
Realize these benefi</t>
        </is>
      </c>
      <c r="E490" t="inlineStr">
        <is>
          <t>Order Management</t>
        </is>
      </c>
      <c r="F490" t="inlineStr">
        <is>
          <t>Functional</t>
        </is>
      </c>
      <c r="G490" t="inlineStr">
        <is>
          <t>Functional</t>
        </is>
      </c>
      <c r="H490" t="inlineStr"/>
      <c r="I490" t="inlineStr"/>
      <c r="J490" t="inlineStr">
        <is>
          <t>Order Management</t>
        </is>
      </c>
      <c r="K490" t="inlineStr">
        <is>
          <t>N</t>
        </is>
      </c>
      <c r="L490" t="inlineStr">
        <is>
          <t>Y</t>
        </is>
      </c>
      <c r="M490" t="inlineStr">
        <is>
          <t>N</t>
        </is>
      </c>
      <c r="N490" t="inlineStr">
        <is>
          <t>Action type: Steps to Enable. To use the Redwood: Manage Configurator Rules in Commercial Change Orders feature, opt in to the **Redwood: Author Configurator Rules in Product Management**</t>
        </is>
      </c>
      <c r="O490" t="inlineStr">
        <is>
          <t>Medium</t>
        </is>
      </c>
      <c r="P490" t="inlineStr">
        <is>
          <t>2025-06-20</t>
        </is>
      </c>
      <c r="Q490" t="inlineStr">
        <is>
          <t>Oracle Fusion 26C Readiness — Order Management</t>
        </is>
      </c>
      <c r="R490" t="inlineStr"/>
    </row>
    <row r="491">
      <c r="A491" t="inlineStr">
        <is>
          <t>CHG_IMP_0466</t>
        </is>
      </c>
      <c r="B491" t="inlineStr">
        <is>
          <t>REL_26C</t>
        </is>
      </c>
      <c r="C491" t="inlineStr">
        <is>
          <t>Redwood: Manage External Interface Web Service Details</t>
        </is>
      </c>
      <c r="D491" t="inlineStr">
        <is>
          <t>Redwood: Manage External Interface Web Service Details. Module: Order Management. Release: 26C. Use the new Redwood pages to simplify how you manage external web service details.  Before this update for 26C the external services could only be managed in the Setup and Maintenance work area.
**Get these benefits**
• Configure connector details for a target system, including connector name, con</t>
        </is>
      </c>
      <c r="E491" t="inlineStr">
        <is>
          <t>Order Management</t>
        </is>
      </c>
      <c r="F491" t="inlineStr">
        <is>
          <t>Functional</t>
        </is>
      </c>
      <c r="G491" t="inlineStr">
        <is>
          <t>Functional</t>
        </is>
      </c>
      <c r="H491" t="inlineStr"/>
      <c r="I491" t="inlineStr"/>
      <c r="J491" t="inlineStr">
        <is>
          <t>Order Management</t>
        </is>
      </c>
      <c r="K491" t="inlineStr">
        <is>
          <t>N</t>
        </is>
      </c>
      <c r="L491" t="inlineStr">
        <is>
          <t>Y</t>
        </is>
      </c>
      <c r="M491" t="inlineStr">
        <is>
          <t>N</t>
        </is>
      </c>
      <c r="N491" t="inlineStr">
        <is>
          <t>Action type: Steps to Enable. 1. Open Setup and Maintenance and navigate to Manage Administrator Profile Values. 2. Search for the profile option code ORA_FOM_REDESIGNED_MANAGE_EXT_INT_WS_DETAILS</t>
        </is>
      </c>
      <c r="O491" t="inlineStr">
        <is>
          <t>Medium</t>
        </is>
      </c>
      <c r="P491" t="inlineStr">
        <is>
          <t>2025-06-20</t>
        </is>
      </c>
      <c r="Q491" t="inlineStr">
        <is>
          <t>Oracle Fusion 26C Readiness — Order Management</t>
        </is>
      </c>
      <c r="R491" t="inlineStr"/>
    </row>
    <row r="492">
      <c r="A492" t="inlineStr">
        <is>
          <t>CHG_IMP_0467</t>
        </is>
      </c>
      <c r="B492" t="inlineStr">
        <is>
          <t>REL_26C</t>
        </is>
      </c>
      <c r="C492" t="inlineStr">
        <is>
          <t>Redwood: Manage Hold Definitions</t>
        </is>
      </c>
      <c r="D492" t="inlineStr">
        <is>
          <t>Redwood: Manage Hold Definitions. Module: Order Management. Release: 26C. Use the Holds Definition setup to create unique holds with code and descriptions, and to indicate if the hold applies to all tasks, or if it is specific to a particular task.
**Get these benefits**
• Control sales order processing by creating holds with unique codes, types, and business unit appli</t>
        </is>
      </c>
      <c r="E492" t="inlineStr">
        <is>
          <t>Order Management</t>
        </is>
      </c>
      <c r="F492" t="inlineStr">
        <is>
          <t>Functional</t>
        </is>
      </c>
      <c r="G492" t="inlineStr">
        <is>
          <t>Functional</t>
        </is>
      </c>
      <c r="H492" t="inlineStr"/>
      <c r="I492" t="inlineStr"/>
      <c r="J492" t="inlineStr">
        <is>
          <t>Order Management</t>
        </is>
      </c>
      <c r="K492" t="inlineStr">
        <is>
          <t>N</t>
        </is>
      </c>
      <c r="L492" t="inlineStr">
        <is>
          <t>Y</t>
        </is>
      </c>
      <c r="M492" t="inlineStr">
        <is>
          <t>N</t>
        </is>
      </c>
      <c r="N492" t="inlineStr">
        <is>
          <t>Action type: Steps to Enable. **To access Redwood hold definitions UI** 1. Sign in to the application. 2. Open the functional setup manager. 3. Navigate to the Manage hold codes user interface. **Land</t>
        </is>
      </c>
      <c r="O492" t="inlineStr">
        <is>
          <t>Medium</t>
        </is>
      </c>
      <c r="P492" t="inlineStr">
        <is>
          <t>2025-06-20</t>
        </is>
      </c>
      <c r="Q492" t="inlineStr">
        <is>
          <t>Oracle Fusion 26C Readiness — Order Management</t>
        </is>
      </c>
      <c r="R492" t="inlineStr"/>
    </row>
    <row r="493">
      <c r="A493" t="inlineStr">
        <is>
          <t>CHG_IMP_0468</t>
        </is>
      </c>
      <c r="B493" t="inlineStr">
        <is>
          <t>REL_26C</t>
        </is>
      </c>
      <c r="C493" t="inlineStr">
        <is>
          <t>Redwood: Manage Order Promising Demands from External Source Systems</t>
        </is>
      </c>
      <c r="D493" t="inlineStr">
        <is>
          <t>Redwood: Manage Order Promising Demands from External Source Systems. Module: Order Management. Release: 26C. You can use the Redwood user experience to manage order promising for sales order lines collected from an order management system. Use search criteria to filter and select order lines, then prioritize and schedule them in required sequence. You can also review key details for selected orde</t>
        </is>
      </c>
      <c r="E493" t="inlineStr">
        <is>
          <t>Order Management</t>
        </is>
      </c>
      <c r="F493" t="inlineStr">
        <is>
          <t>Functional</t>
        </is>
      </c>
      <c r="G493" t="inlineStr">
        <is>
          <t>Functional</t>
        </is>
      </c>
      <c r="H493" t="inlineStr"/>
      <c r="I493" t="inlineStr"/>
      <c r="J493" t="inlineStr">
        <is>
          <t>Order Management</t>
        </is>
      </c>
      <c r="K493" t="inlineStr">
        <is>
          <t>N</t>
        </is>
      </c>
      <c r="L493" t="inlineStr">
        <is>
          <t>N</t>
        </is>
      </c>
      <c r="M493" t="inlineStr">
        <is>
          <t>N</t>
        </is>
      </c>
      <c r="N493" t="inlineStr">
        <is>
          <t>Auto-enabled — no action required</t>
        </is>
      </c>
      <c r="O493" t="inlineStr">
        <is>
          <t>Low</t>
        </is>
      </c>
      <c r="P493" t="inlineStr">
        <is>
          <t>2025-06-20</t>
        </is>
      </c>
      <c r="Q493" t="inlineStr">
        <is>
          <t>Oracle Fusion 26C Readiness — Order Management</t>
        </is>
      </c>
      <c r="R493" t="inlineStr"/>
    </row>
    <row r="494">
      <c r="A494" t="inlineStr">
        <is>
          <t>CHG_IMP_0469</t>
        </is>
      </c>
      <c r="B494" t="inlineStr">
        <is>
          <t>REL_26C</t>
        </is>
      </c>
      <c r="C494" t="inlineStr">
        <is>
          <t>Redwood: Manage Pick-to-Order Configured Items with Kits on Sales Orders</t>
        </is>
      </c>
      <c r="D494" t="inlineStr">
        <is>
          <t>Redwood: Manage Pick-to-Order Configured Items with Kits on Sales Orders. Module: Order Management. Release: 26C. Use this feature on the Oracle Order Management work area, or REST API to add, manage and fulfill pick-to-order (PTO) configured items that contain a kit component on a sales order or return order.
**Get these benefits**
• Greater flexibility in product configuration.
• Efficiently s</t>
        </is>
      </c>
      <c r="E494" t="inlineStr">
        <is>
          <t>Order Management</t>
        </is>
      </c>
      <c r="F494" t="inlineStr">
        <is>
          <t>Functional</t>
        </is>
      </c>
      <c r="G494" t="inlineStr">
        <is>
          <t>Functional</t>
        </is>
      </c>
      <c r="H494" t="inlineStr"/>
      <c r="I494" t="inlineStr"/>
      <c r="J494" t="inlineStr">
        <is>
          <t>Order Management</t>
        </is>
      </c>
      <c r="K494" t="inlineStr">
        <is>
          <t>N</t>
        </is>
      </c>
      <c r="L494" t="inlineStr">
        <is>
          <t>Y</t>
        </is>
      </c>
      <c r="M494" t="inlineStr">
        <is>
          <t>N</t>
        </is>
      </c>
      <c r="N494" t="inlineStr">
        <is>
          <t>Action type: Steps to Enable. 1. You need to set up these prerequisite features to use this feature. You don’t need to set them up again if they're already set up. • Redwood: Se</t>
        </is>
      </c>
      <c r="O494" t="inlineStr">
        <is>
          <t>Medium</t>
        </is>
      </c>
      <c r="P494" t="inlineStr">
        <is>
          <t>2025-06-20</t>
        </is>
      </c>
      <c r="Q494" t="inlineStr">
        <is>
          <t>Oracle Fusion 26C Readiness — Order Management</t>
        </is>
      </c>
      <c r="R494" t="inlineStr"/>
    </row>
    <row r="495">
      <c r="A495" t="inlineStr">
        <is>
          <t>CHG_IMP_0470</t>
        </is>
      </c>
      <c r="B495" t="inlineStr">
        <is>
          <t>REL_26C</t>
        </is>
      </c>
      <c r="C495" t="inlineStr">
        <is>
          <t>Redwood: Manage Shipping Charge Lists</t>
        </is>
      </c>
      <c r="D495" t="inlineStr">
        <is>
          <t>Redwood: Manage Shipping Charge Lists. Module: Order Management. Release: 26C. Use a redesigned page to search for, edit, and create shipping charge lists more efficiently, and to simplify setting up shipping charges. Use a mass action to add items to a shipping charge list in a single action. Enter charges manually.
Realize these benefits:
• Spend less time managing shippin</t>
        </is>
      </c>
      <c r="E495" t="inlineStr">
        <is>
          <t>Order Management</t>
        </is>
      </c>
      <c r="F495" t="inlineStr">
        <is>
          <t>Functional</t>
        </is>
      </c>
      <c r="G495" t="inlineStr">
        <is>
          <t>Functional</t>
        </is>
      </c>
      <c r="H495" t="inlineStr"/>
      <c r="I495" t="inlineStr"/>
      <c r="J495" t="inlineStr">
        <is>
          <t>Order Management</t>
        </is>
      </c>
      <c r="K495" t="inlineStr">
        <is>
          <t>N</t>
        </is>
      </c>
      <c r="L495" t="inlineStr">
        <is>
          <t>Y</t>
        </is>
      </c>
      <c r="M495" t="inlineStr">
        <is>
          <t>N</t>
        </is>
      </c>
      <c r="N495" t="inlineStr">
        <is>
          <t>Action type: Steps to Enable. Go to **Home**&gt;**My Enterprise** &gt; **Setup and Maintenance** &gt; **Tasks**&gt; **Search**&gt; Manage Administrator Profile Values, and then enable the Redwood Page for Shipping C</t>
        </is>
      </c>
      <c r="O495" t="inlineStr">
        <is>
          <t>Medium</t>
        </is>
      </c>
      <c r="P495" t="inlineStr">
        <is>
          <t>2025-06-20</t>
        </is>
      </c>
      <c r="Q495" t="inlineStr">
        <is>
          <t>Oracle Fusion 26C Readiness — Order Management</t>
        </is>
      </c>
      <c r="R495" t="inlineStr"/>
    </row>
    <row r="496">
      <c r="A496" t="inlineStr">
        <is>
          <t>CHG_IMP_0471</t>
        </is>
      </c>
      <c r="B496" t="inlineStr">
        <is>
          <t>REL_26C</t>
        </is>
      </c>
      <c r="C496" t="inlineStr">
        <is>
          <t>Redwood: Manage Supplier Claims</t>
        </is>
      </c>
      <c r="D496" t="inlineStr">
        <is>
          <t>Redwood: Manage Supplier Claims. Module: Order Management. Release: 26C. Use a redesigned page that helps you manage your supplier claims more efficiently.
Realize these benefits:
• Improved smart search
• Improved responsive user interface for program managers
• Improved usability of claim pages
Supplier Claims
Claim Filters Part 1
Claim Filters Part 2
Claim Filte Opt-in required: true.</t>
        </is>
      </c>
      <c r="E496" t="inlineStr">
        <is>
          <t>Order Management</t>
        </is>
      </c>
      <c r="F496" t="inlineStr">
        <is>
          <t>Functional</t>
        </is>
      </c>
      <c r="G496" t="inlineStr">
        <is>
          <t>Functional</t>
        </is>
      </c>
      <c r="H496" t="inlineStr"/>
      <c r="I496" t="inlineStr"/>
      <c r="J496" t="inlineStr">
        <is>
          <t>Order Management</t>
        </is>
      </c>
      <c r="K496" t="inlineStr">
        <is>
          <t>N</t>
        </is>
      </c>
      <c r="L496" t="inlineStr">
        <is>
          <t>Y</t>
        </is>
      </c>
      <c r="M496" t="inlineStr">
        <is>
          <t>N</t>
        </is>
      </c>
      <c r="N496" t="inlineStr">
        <is>
          <t xml:space="preserve">Action type: Steps to Enable. Use the Opt In UI to enable this feature. For instructions, refer to the Optional Uptake of New Features section of this document. Offering: *Order Management* 1. If you </t>
        </is>
      </c>
      <c r="O496" t="inlineStr">
        <is>
          <t>Medium</t>
        </is>
      </c>
      <c r="P496" t="inlineStr">
        <is>
          <t>2025-06-20</t>
        </is>
      </c>
      <c r="Q496" t="inlineStr">
        <is>
          <t>Oracle Fusion 26C Readiness — Order Management</t>
        </is>
      </c>
      <c r="R496" t="inlineStr"/>
    </row>
    <row r="497">
      <c r="A497" t="inlineStr">
        <is>
          <t>CHG_IMP_0472</t>
        </is>
      </c>
      <c r="B497" t="inlineStr">
        <is>
          <t>REL_26C</t>
        </is>
      </c>
      <c r="C497" t="inlineStr">
        <is>
          <t>Redwood: Migrate B2B Location Codes to Customer B2B properties</t>
        </is>
      </c>
      <c r="D497" t="inlineStr">
        <is>
          <t xml:space="preserve">Redwood: Migrate B2B Location Codes to Customer B2B properties. Module: Order Management. Release: 26C. You can use a Redwood page to define and maintain location codes used to identify ship-to and bill-to locations when processing order-to-cash messages.
Here are the messages that support this feature:
• Purchase Order - Inbound
• Purchase Order Change - Inbound
• Purchase Order Cancellation – </t>
        </is>
      </c>
      <c r="E497" t="inlineStr">
        <is>
          <t>Order Management</t>
        </is>
      </c>
      <c r="F497" t="inlineStr">
        <is>
          <t>Functional</t>
        </is>
      </c>
      <c r="G497" t="inlineStr">
        <is>
          <t>Functional</t>
        </is>
      </c>
      <c r="H497" t="inlineStr"/>
      <c r="I497" t="inlineStr"/>
      <c r="J497" t="inlineStr">
        <is>
          <t>Order Management</t>
        </is>
      </c>
      <c r="K497" t="inlineStr">
        <is>
          <t>N</t>
        </is>
      </c>
      <c r="L497" t="inlineStr">
        <is>
          <t>Y</t>
        </is>
      </c>
      <c r="M497" t="inlineStr">
        <is>
          <t>N</t>
        </is>
      </c>
      <c r="N497" t="inlineStr">
        <is>
          <t>Action type: Steps to Enable. You can access this functionality by enabling the feature **Simplify Configuration and Processing for B2B Messaging**. 1. Perform the following standard steps to s</t>
        </is>
      </c>
      <c r="O497" t="inlineStr">
        <is>
          <t>Medium</t>
        </is>
      </c>
      <c r="P497" t="inlineStr">
        <is>
          <t>2025-06-20</t>
        </is>
      </c>
      <c r="Q497" t="inlineStr">
        <is>
          <t>Oracle Fusion 26C Readiness — Order Management</t>
        </is>
      </c>
      <c r="R497" t="inlineStr"/>
    </row>
    <row r="498">
      <c r="A498" t="inlineStr">
        <is>
          <t>CHG_IMP_0473</t>
        </is>
      </c>
      <c r="B498" t="inlineStr">
        <is>
          <t>REL_26C</t>
        </is>
      </c>
      <c r="C498" t="inlineStr">
        <is>
          <t>Redwood: Search Attributes and Filters for Project Details</t>
        </is>
      </c>
      <c r="D498" t="inlineStr">
        <is>
          <t>Redwood: Search Attributes and Filters for Project Details. Module: Order Management. Release: 26C. Use new search attributes and filters in the line-level project details to help you manage project attributes on an order.
**Get these benefits**
• Quickly locate and filter project-specific order lines using multiple criteria, enabling faster identification and more targeted updates.
• Streamline</t>
        </is>
      </c>
      <c r="E498" t="inlineStr">
        <is>
          <t>Order Management</t>
        </is>
      </c>
      <c r="F498" t="inlineStr">
        <is>
          <t>Functional</t>
        </is>
      </c>
      <c r="G498" t="inlineStr">
        <is>
          <t>Functional</t>
        </is>
      </c>
      <c r="H498" t="inlineStr"/>
      <c r="I498" t="inlineStr"/>
      <c r="J498" t="inlineStr">
        <is>
          <t>Order Management</t>
        </is>
      </c>
      <c r="K498" t="inlineStr">
        <is>
          <t>N</t>
        </is>
      </c>
      <c r="L498" t="inlineStr">
        <is>
          <t>Y</t>
        </is>
      </c>
      <c r="M498" t="inlineStr">
        <is>
          <t>N</t>
        </is>
      </c>
      <c r="N498" t="inlineStr">
        <is>
          <t>Action type: Steps to Enable. If you want to use the Redwood: Add Project Details to Sales feature, then you must opt in to its parent Project-Driven Supply Chain feature in the Manufacturing</t>
        </is>
      </c>
      <c r="O498" t="inlineStr">
        <is>
          <t>Medium</t>
        </is>
      </c>
      <c r="P498" t="inlineStr">
        <is>
          <t>2025-06-20</t>
        </is>
      </c>
      <c r="Q498" t="inlineStr">
        <is>
          <t>Oracle Fusion 26C Readiness — Order Management</t>
        </is>
      </c>
      <c r="R498" t="inlineStr"/>
    </row>
    <row r="499">
      <c r="A499" t="inlineStr">
        <is>
          <t>CHG_IMP_0474</t>
        </is>
      </c>
      <c r="B499" t="inlineStr">
        <is>
          <t>REL_26C</t>
        </is>
      </c>
      <c r="C499" t="inlineStr">
        <is>
          <t>Redwood: Use More Ways to Set Up Shipping Charges</t>
        </is>
      </c>
      <c r="D499" t="inlineStr">
        <is>
          <t>Redwood: Use More Ways to Set Up Shipping Charges. Module: Order Management. Release: 26C. Use more than one way to set up your shipping charges. Apply the shipping charge according to the item, the item and unit of measure, or the shipping method. Include some other shipping charge list or a price list to set the rule.
Realize these benefits:
• Work more efficiently. Optimize your ship</t>
        </is>
      </c>
      <c r="E499" t="inlineStr">
        <is>
          <t>Order Management</t>
        </is>
      </c>
      <c r="F499" t="inlineStr">
        <is>
          <t>Functional</t>
        </is>
      </c>
      <c r="G499" t="inlineStr">
        <is>
          <t>Functional</t>
        </is>
      </c>
      <c r="H499" t="inlineStr"/>
      <c r="I499" t="inlineStr"/>
      <c r="J499" t="inlineStr">
        <is>
          <t>Order Management</t>
        </is>
      </c>
      <c r="K499" t="inlineStr">
        <is>
          <t>N</t>
        </is>
      </c>
      <c r="L499" t="inlineStr">
        <is>
          <t>Y</t>
        </is>
      </c>
      <c r="M499" t="inlineStr">
        <is>
          <t>N</t>
        </is>
      </c>
      <c r="N499" t="inlineStr">
        <is>
          <t>Action type: Steps to Enable. Go to **Home**&gt; M**y Enterprise** &gt;**Setup and Maintenance** &gt; **Tasks**&gt; **Search**&gt; Manage Administrator Profile Values, and then enable the Redwood Page for Shipping C</t>
        </is>
      </c>
      <c r="O499" t="inlineStr">
        <is>
          <t>Medium</t>
        </is>
      </c>
      <c r="P499" t="inlineStr">
        <is>
          <t>2025-06-20</t>
        </is>
      </c>
      <c r="Q499" t="inlineStr">
        <is>
          <t>Oracle Fusion 26C Readiness — Order Management</t>
        </is>
      </c>
      <c r="R499" t="inlineStr"/>
    </row>
    <row r="500">
      <c r="A500" t="inlineStr">
        <is>
          <t>CHG_IMP_0475</t>
        </is>
      </c>
      <c r="B500" t="inlineStr">
        <is>
          <t>REL_26C</t>
        </is>
      </c>
      <c r="C500" t="inlineStr">
        <is>
          <t>Redwood: Use Price Books to Price Coverages and Promotions</t>
        </is>
      </c>
      <c r="D500" t="inlineStr">
        <is>
          <t>Redwood: Use Price Books to Price Coverages and Promotions. Module: Order Management. Release: 26C. You can now use a price book to price a coverage or promotion in your quote or sales order.
Realize these benefits:
• Flat rate coverage pricing is based on lookup to price book.
• Promotions that do not rely on order data are priced through price book data.
• Volume pricing through line and docum</t>
        </is>
      </c>
      <c r="E500" t="inlineStr">
        <is>
          <t>Order Management</t>
        </is>
      </c>
      <c r="F500" t="inlineStr">
        <is>
          <t>Functional</t>
        </is>
      </c>
      <c r="G500" t="inlineStr">
        <is>
          <t>Functional</t>
        </is>
      </c>
      <c r="H500" t="inlineStr"/>
      <c r="I500" t="inlineStr"/>
      <c r="J500" t="inlineStr">
        <is>
          <t>Order Management</t>
        </is>
      </c>
      <c r="K500" t="inlineStr">
        <is>
          <t>N</t>
        </is>
      </c>
      <c r="L500" t="inlineStr">
        <is>
          <t>Y</t>
        </is>
      </c>
      <c r="M500" t="inlineStr">
        <is>
          <t>N</t>
        </is>
      </c>
      <c r="N500" t="inlineStr">
        <is>
          <t xml:space="preserve">Action type: Steps to Enable. If you want to use this feature, then you must opt in to these features: Redwood: Use Price Books to Price Sales Orders and Redwood: Create Price Books to Price </t>
        </is>
      </c>
      <c r="O500" t="inlineStr">
        <is>
          <t>Medium</t>
        </is>
      </c>
      <c r="P500" t="inlineStr">
        <is>
          <t>2025-06-20</t>
        </is>
      </c>
      <c r="Q500" t="inlineStr">
        <is>
          <t>Oracle Fusion 26C Readiness — Order Management</t>
        </is>
      </c>
      <c r="R500" t="inlineStr"/>
    </row>
    <row r="501">
      <c r="A501" t="inlineStr">
        <is>
          <t>CHG_IMP_0476</t>
        </is>
      </c>
      <c r="B501" t="inlineStr">
        <is>
          <t>REL_26C</t>
        </is>
      </c>
      <c r="C501" t="inlineStr">
        <is>
          <t>Redwood: Use Transactional Item Attributes in Configurator Rules</t>
        </is>
      </c>
      <c r="D501" t="inlineStr">
        <is>
          <t>Redwood: Use Transactional Item Attributes in Configurator Rules. Module: Order Management. Release: 26C. Use item class transactional attributes to influence rule evaluation during a configuration session. These attributes provide runtime values that you can reference in rule conditions to dynamically control the model for example, automatically select or exclude options and enforce constraints b</t>
        </is>
      </c>
      <c r="E501" t="inlineStr">
        <is>
          <t>Order Management</t>
        </is>
      </c>
      <c r="F501" t="inlineStr">
        <is>
          <t>Functional</t>
        </is>
      </c>
      <c r="G501" t="inlineStr">
        <is>
          <t>Functional</t>
        </is>
      </c>
      <c r="H501" t="inlineStr"/>
      <c r="I501" t="inlineStr"/>
      <c r="J501" t="inlineStr">
        <is>
          <t>Order Management</t>
        </is>
      </c>
      <c r="K501" t="inlineStr">
        <is>
          <t>N</t>
        </is>
      </c>
      <c r="L501" t="inlineStr">
        <is>
          <t>N</t>
        </is>
      </c>
      <c r="M501" t="inlineStr">
        <is>
          <t>N</t>
        </is>
      </c>
      <c r="N501" t="inlineStr">
        <is>
          <t>Auto-enabled — no action required</t>
        </is>
      </c>
      <c r="O501" t="inlineStr">
        <is>
          <t>Low</t>
        </is>
      </c>
      <c r="P501" t="inlineStr">
        <is>
          <t>2025-06-20</t>
        </is>
      </c>
      <c r="Q501" t="inlineStr">
        <is>
          <t>Oracle Fusion 26C Readiness — Order Management</t>
        </is>
      </c>
      <c r="R501" t="inlineStr"/>
    </row>
    <row r="502">
      <c r="A502" t="inlineStr">
        <is>
          <t>CHG_IMP_0477</t>
        </is>
      </c>
      <c r="B502" t="inlineStr">
        <is>
          <t>REL_26C</t>
        </is>
      </c>
      <c r="C502" t="inlineStr">
        <is>
          <t>Redwood: Use the Transaction Console to Manage Approval Rules for Sales Orders</t>
        </is>
      </c>
      <c r="D502" t="inlineStr">
        <is>
          <t>Redwood: Use the Transaction Console to Manage Approval Rules for Sales Orders. Module: Order Management. Release: 26C. You can now use the Transaction Console to create and manage approval rules for sales orders.
**Get these benefits**
• Streamline sales order approval setup and maintenance with an approval configuration experience that is consistent with other Fusion applications.
• Manage com</t>
        </is>
      </c>
      <c r="E502" t="inlineStr">
        <is>
          <t>Order Management</t>
        </is>
      </c>
      <c r="F502" t="inlineStr">
        <is>
          <t>Functional</t>
        </is>
      </c>
      <c r="G502" t="inlineStr">
        <is>
          <t>Functional</t>
        </is>
      </c>
      <c r="H502" t="inlineStr"/>
      <c r="I502" t="inlineStr"/>
      <c r="J502" t="inlineStr">
        <is>
          <t>Order Management</t>
        </is>
      </c>
      <c r="K502" t="inlineStr">
        <is>
          <t>N</t>
        </is>
      </c>
      <c r="L502" t="inlineStr">
        <is>
          <t>Y</t>
        </is>
      </c>
      <c r="M502" t="inlineStr">
        <is>
          <t>N</t>
        </is>
      </c>
      <c r="N502" t="inlineStr">
        <is>
          <t xml:space="preserve">Action type: Steps to Enable. Use the Opt In UI to enable this feature. For instructions, refer to the Optional Uptake of New Features section of this document. Offering: </t>
        </is>
      </c>
      <c r="O502" t="inlineStr">
        <is>
          <t>Medium</t>
        </is>
      </c>
      <c r="P502" t="inlineStr">
        <is>
          <t>2025-06-20</t>
        </is>
      </c>
      <c r="Q502" t="inlineStr">
        <is>
          <t>Oracle Fusion 26C Readiness — Order Management</t>
        </is>
      </c>
      <c r="R502" t="inlineStr"/>
    </row>
    <row r="503">
      <c r="A503" t="inlineStr">
        <is>
          <t>CHG_IMP_0478</t>
        </is>
      </c>
      <c r="B503" t="inlineStr">
        <is>
          <t>REL_26C</t>
        </is>
      </c>
      <c r="C503" t="inlineStr">
        <is>
          <t>Redwood: View Program Checkbook for Supplier Rebate and Supplier Ship and Debit Programs</t>
        </is>
      </c>
      <c r="D503" t="inlineStr">
        <is>
          <t>Redwood: View Program Checkbook for Supplier Rebate and Supplier Ship and Debit Programs. Module: Order Management. Release: 26C. Use a redesigned page that helps you view the financial balances of an individual supplier rebate or supplier ship and debit program more efficiently.
Realize these benefits:
• Improved responsive user interface for program managers
• Improved usability of program che</t>
        </is>
      </c>
      <c r="E503" t="inlineStr">
        <is>
          <t>Order Management</t>
        </is>
      </c>
      <c r="F503" t="inlineStr">
        <is>
          <t>Functional</t>
        </is>
      </c>
      <c r="G503" t="inlineStr">
        <is>
          <t>Functional</t>
        </is>
      </c>
      <c r="H503" t="inlineStr"/>
      <c r="I503" t="inlineStr"/>
      <c r="J503" t="inlineStr">
        <is>
          <t>Order Management</t>
        </is>
      </c>
      <c r="K503" t="inlineStr">
        <is>
          <t>N</t>
        </is>
      </c>
      <c r="L503" t="inlineStr">
        <is>
          <t>Y</t>
        </is>
      </c>
      <c r="M503" t="inlineStr">
        <is>
          <t>N</t>
        </is>
      </c>
      <c r="N503" t="inlineStr">
        <is>
          <t xml:space="preserve">Action type: Steps to Enable. Use the Opt In UI to enable this feature. For instructions, refer to the Optional Uptake of New Features section of this document. </t>
        </is>
      </c>
      <c r="O503" t="inlineStr">
        <is>
          <t>Medium</t>
        </is>
      </c>
      <c r="P503" t="inlineStr">
        <is>
          <t>2025-06-20</t>
        </is>
      </c>
      <c r="Q503" t="inlineStr">
        <is>
          <t>Oracle Fusion 26C Readiness — Order Management</t>
        </is>
      </c>
      <c r="R503" t="inlineStr"/>
    </row>
    <row r="504">
      <c r="A504" t="inlineStr">
        <is>
          <t>CHG_IMP_0479</t>
        </is>
      </c>
      <c r="B504" t="inlineStr">
        <is>
          <t>REL_26C</t>
        </is>
      </c>
      <c r="C504" t="inlineStr">
        <is>
          <t>Report Sales Order Import Errors</t>
        </is>
      </c>
      <c r="D504" t="inlineStr">
        <is>
          <t>Report Sales Order Import Errors. Module: Order Management. Release: 26C. You can now view Oracle Order Management failure or error notifications for inbound PO messages submitted via Collaboration Messaging (Purchase Order, Purchase Order Change, and Purchase Order Cancellation). These notifications are generated after the Import Sales Orders scheduled process runs, so t</t>
        </is>
      </c>
      <c r="E504" t="inlineStr">
        <is>
          <t>Order Management</t>
        </is>
      </c>
      <c r="F504" t="inlineStr">
        <is>
          <t>Functional</t>
        </is>
      </c>
      <c r="G504" t="inlineStr">
        <is>
          <t>Functional</t>
        </is>
      </c>
      <c r="H504" t="inlineStr"/>
      <c r="I504" t="inlineStr"/>
      <c r="J504" t="inlineStr">
        <is>
          <t>Order Management</t>
        </is>
      </c>
      <c r="K504" t="inlineStr">
        <is>
          <t>N</t>
        </is>
      </c>
      <c r="L504" t="inlineStr">
        <is>
          <t>Y</t>
        </is>
      </c>
      <c r="M504" t="inlineStr">
        <is>
          <t>N</t>
        </is>
      </c>
      <c r="N504" t="inlineStr">
        <is>
          <t xml:space="preserve">Action type: Steps to Enable. 1. Perform the following high-level tasks to set up your documents: • Define your providers. • Create connections. • Assign properties to your inbound order documents. • </t>
        </is>
      </c>
      <c r="O504" t="inlineStr">
        <is>
          <t>Medium</t>
        </is>
      </c>
      <c r="P504" t="inlineStr">
        <is>
          <t>2025-06-20</t>
        </is>
      </c>
      <c r="Q504" t="inlineStr">
        <is>
          <t>Oracle Fusion 26C Readiness — Order Management</t>
        </is>
      </c>
      <c r="R504" t="inlineStr"/>
    </row>
    <row r="505">
      <c r="A505" t="inlineStr">
        <is>
          <t>CHG_IMP_0480</t>
        </is>
      </c>
      <c r="B505" t="inlineStr">
        <is>
          <t>REL_26C</t>
        </is>
      </c>
      <c r="C505" t="inlineStr">
        <is>
          <t>Schedule PTO Kits at Any Level of a PTO Model's Configuration</t>
        </is>
      </c>
      <c r="D505" t="inlineStr">
        <is>
          <t>Schedule PTO Kits at Any Level of a PTO Model's Configuration. Module: Order Management. Release: 26C. You can include PTO kits at all levels beneath PTO models during check availability, auto-schedule, and schedule sales order operations. You can also review supply availability information for all configure-to-order item components within the item structure. This capability improves order promisi</t>
        </is>
      </c>
      <c r="E505" t="inlineStr">
        <is>
          <t>Order Management</t>
        </is>
      </c>
      <c r="F505" t="inlineStr">
        <is>
          <t>Functional</t>
        </is>
      </c>
      <c r="G505" t="inlineStr">
        <is>
          <t>Functional</t>
        </is>
      </c>
      <c r="H505" t="inlineStr"/>
      <c r="I505" t="inlineStr"/>
      <c r="J505" t="inlineStr">
        <is>
          <t>Order Management</t>
        </is>
      </c>
      <c r="K505" t="inlineStr">
        <is>
          <t>N</t>
        </is>
      </c>
      <c r="L505" t="inlineStr">
        <is>
          <t>Y</t>
        </is>
      </c>
      <c r="M505" t="inlineStr">
        <is>
          <t>N</t>
        </is>
      </c>
      <c r="N505" t="inlineStr">
        <is>
          <t>Action type: Steps to Enable. This feature is disabled by default. To enable, set the following Order Management profile option: **Profile Option**: ORA_FOM_SEND_KIT_STRUCTURE **Value:** Y</t>
        </is>
      </c>
      <c r="O505" t="inlineStr">
        <is>
          <t>Medium</t>
        </is>
      </c>
      <c r="P505" t="inlineStr">
        <is>
          <t>2025-06-20</t>
        </is>
      </c>
      <c r="Q505" t="inlineStr">
        <is>
          <t>Oracle Fusion 26C Readiness — Order Management</t>
        </is>
      </c>
      <c r="R505" t="inlineStr"/>
    </row>
    <row r="506">
      <c r="A506" t="inlineStr">
        <is>
          <t>CHG_IMP_0481</t>
        </is>
      </c>
      <c r="B506" t="inlineStr">
        <is>
          <t>REL_26C</t>
        </is>
      </c>
      <c r="C506" t="inlineStr">
        <is>
          <t>Send Import Errors and Statuses from Order Management to Collaboration Messaging</t>
        </is>
      </c>
      <c r="D506" t="inlineStr">
        <is>
          <t>Send Import Errors and Statuses from Order Management to Collaboration Messaging. Module: Order Management. Release: 26C. You can now use Collaboration Messaging to view Oracle Order Management failure or error notifications for inbound PO messages submitted via Collaboration Messaging.
**Get these benefits**
• View failure or error notifications on purchase orders, order changes, and cancellati</t>
        </is>
      </c>
      <c r="E506" t="inlineStr">
        <is>
          <t>Order Management</t>
        </is>
      </c>
      <c r="F506" t="inlineStr">
        <is>
          <t>Functional</t>
        </is>
      </c>
      <c r="G506" t="inlineStr">
        <is>
          <t>Functional</t>
        </is>
      </c>
      <c r="H506" t="inlineStr"/>
      <c r="I506" t="inlineStr"/>
      <c r="J506" t="inlineStr">
        <is>
          <t>Order Management</t>
        </is>
      </c>
      <c r="K506" t="inlineStr">
        <is>
          <t>N</t>
        </is>
      </c>
      <c r="L506" t="inlineStr">
        <is>
          <t>N</t>
        </is>
      </c>
      <c r="M506" t="inlineStr">
        <is>
          <t>N</t>
        </is>
      </c>
      <c r="N506" t="inlineStr">
        <is>
          <t>Auto-enabled — no action required</t>
        </is>
      </c>
      <c r="O506" t="inlineStr">
        <is>
          <t>Low</t>
        </is>
      </c>
      <c r="P506" t="inlineStr">
        <is>
          <t>2025-06-20</t>
        </is>
      </c>
      <c r="Q506" t="inlineStr">
        <is>
          <t>Oracle Fusion 26C Readiness — Order Management</t>
        </is>
      </c>
      <c r="R506" t="inlineStr"/>
    </row>
    <row r="507">
      <c r="A507" t="inlineStr">
        <is>
          <t>CHG_IMP_0482</t>
        </is>
      </c>
      <c r="B507" t="inlineStr">
        <is>
          <t>REL_26C</t>
        </is>
      </c>
      <c r="C507" t="inlineStr">
        <is>
          <t>Streamline the Import and Export of Messaging Setup Data</t>
        </is>
      </c>
      <c r="D507" t="inlineStr">
        <is>
          <t>Streamline the Import and Export of Messaging Setup Data. Module: Order Management. Release: 26C. You can now export and import Oracle Collaboration Messaging setup data to migrate your configuration across pods and environments like development, test, and production. Setup data includes messaging providers, connections, and partner configurations for both suppliers and customers.
You now have:</t>
        </is>
      </c>
      <c r="E507" t="inlineStr">
        <is>
          <t>Order Management</t>
        </is>
      </c>
      <c r="F507" t="inlineStr">
        <is>
          <t>Functional</t>
        </is>
      </c>
      <c r="G507" t="inlineStr">
        <is>
          <t>Functional</t>
        </is>
      </c>
      <c r="H507" t="inlineStr"/>
      <c r="I507" t="inlineStr"/>
      <c r="J507" t="inlineStr">
        <is>
          <t>Order Management</t>
        </is>
      </c>
      <c r="K507" t="inlineStr">
        <is>
          <t>N</t>
        </is>
      </c>
      <c r="L507" t="inlineStr">
        <is>
          <t>Y</t>
        </is>
      </c>
      <c r="M507" t="inlineStr">
        <is>
          <t>N</t>
        </is>
      </c>
      <c r="N507" t="inlineStr">
        <is>
          <t>Action type: Steps to Enable. After you enable the **Simplify Configuration and Processing for B2B Messaging** feature, perform the following high-level tasks: 1. Create an implementation project. 2.</t>
        </is>
      </c>
      <c r="O507" t="inlineStr">
        <is>
          <t>Medium</t>
        </is>
      </c>
      <c r="P507" t="inlineStr">
        <is>
          <t>2025-06-20</t>
        </is>
      </c>
      <c r="Q507" t="inlineStr">
        <is>
          <t>Oracle Fusion 26C Readiness — Order Management</t>
        </is>
      </c>
      <c r="R507" t="inlineStr"/>
    </row>
    <row r="508">
      <c r="A508" t="inlineStr">
        <is>
          <t>CHG_IMP_0483</t>
        </is>
      </c>
      <c r="B508" t="inlineStr">
        <is>
          <t>REL_26C</t>
        </is>
      </c>
      <c r="C508" t="inlineStr">
        <is>
          <t>Support More Pricing Entities in Pricing Formulas</t>
        </is>
      </c>
      <c r="D508" t="inlineStr">
        <is>
          <t>Support More Pricing Entities in Pricing Formulas. Module: Order Management. Release: 26C. Use the Redwood Formulas page to create and manage pricing formulas with a richer expression builder that now supports additional item entities, such as item class, item categories, item attributes in addition to price list and cost list while you create a pricing formula. You can also use predefine</t>
        </is>
      </c>
      <c r="E508" t="inlineStr">
        <is>
          <t>Order Management</t>
        </is>
      </c>
      <c r="F508" t="inlineStr">
        <is>
          <t>Functional</t>
        </is>
      </c>
      <c r="G508" t="inlineStr">
        <is>
          <t>Functional</t>
        </is>
      </c>
      <c r="H508" t="inlineStr"/>
      <c r="I508" t="inlineStr"/>
      <c r="J508" t="inlineStr">
        <is>
          <t>Order Management</t>
        </is>
      </c>
      <c r="K508" t="inlineStr">
        <is>
          <t>N</t>
        </is>
      </c>
      <c r="L508" t="inlineStr">
        <is>
          <t>N</t>
        </is>
      </c>
      <c r="M508" t="inlineStr">
        <is>
          <t>N</t>
        </is>
      </c>
      <c r="N508" t="inlineStr">
        <is>
          <t>Auto-enabled — no action required</t>
        </is>
      </c>
      <c r="O508" t="inlineStr">
        <is>
          <t>Low</t>
        </is>
      </c>
      <c r="P508" t="inlineStr">
        <is>
          <t>2025-06-20</t>
        </is>
      </c>
      <c r="Q508" t="inlineStr">
        <is>
          <t>Oracle Fusion 26C Readiness — Order Management</t>
        </is>
      </c>
      <c r="R508" t="inlineStr"/>
    </row>
    <row r="509">
      <c r="A509" t="inlineStr">
        <is>
          <t>CHG_IMP_0484</t>
        </is>
      </c>
      <c r="B509" t="inlineStr">
        <is>
          <t>REL_26C</t>
        </is>
      </c>
      <c r="C509" t="inlineStr">
        <is>
          <t>Use Message Converter Service for Outbound Flows</t>
        </is>
      </c>
      <c r="D509" t="inlineStr">
        <is>
          <t>Use Message Converter Service for Outbound Flows. Module: Order Management. Release: 26C. You can now enable outbound flows such as ASN Outbound and PO Outbound to use the Message Converter Service when a message definition is configured in mapping file mode. The service retrieves the source payload using the appropriate REST API resource, converts it to XML using configurable JSON mappi</t>
        </is>
      </c>
      <c r="E509" t="inlineStr">
        <is>
          <t>Order Management</t>
        </is>
      </c>
      <c r="F509" t="inlineStr">
        <is>
          <t>Functional</t>
        </is>
      </c>
      <c r="G509" t="inlineStr">
        <is>
          <t>Functional</t>
        </is>
      </c>
      <c r="H509" t="inlineStr"/>
      <c r="I509" t="inlineStr"/>
      <c r="J509" t="inlineStr">
        <is>
          <t>Order Management</t>
        </is>
      </c>
      <c r="K509" t="inlineStr">
        <is>
          <t>N</t>
        </is>
      </c>
      <c r="L509" t="inlineStr">
        <is>
          <t>Y</t>
        </is>
      </c>
      <c r="M509" t="inlineStr">
        <is>
          <t>N</t>
        </is>
      </c>
      <c r="N509" t="inlineStr">
        <is>
          <t>Action type: Steps to Enable. You can access this functionality by enabling the feature **Simplify Configuration and Processing for B2B Messaging**. Perform the following high-level tasks to set up yo</t>
        </is>
      </c>
      <c r="O509" t="inlineStr">
        <is>
          <t>Medium</t>
        </is>
      </c>
      <c r="P509" t="inlineStr">
        <is>
          <t>2025-06-20</t>
        </is>
      </c>
      <c r="Q509" t="inlineStr">
        <is>
          <t>Oracle Fusion 26C Readiness — Order Management</t>
        </is>
      </c>
      <c r="R509" t="inlineStr"/>
    </row>
    <row r="510">
      <c r="A510" t="inlineStr">
        <is>
          <t>CHG_IMP_0485</t>
        </is>
      </c>
      <c r="B510" t="inlineStr">
        <is>
          <t>REL_26C</t>
        </is>
      </c>
      <c r="C510" t="inlineStr">
        <is>
          <t>AI Agent: Negotiation Surrogate Response Assistant</t>
        </is>
      </c>
      <c r="D510" t="inlineStr">
        <is>
          <t>AI Agent: Negotiation Surrogate Response Assistant. Module: Procurement. Release: 26C. Deploy the Surrogate Response Assistant to automate creation of supplier negotiation responses. This new AI Agent template enables category managers to create surrogate responses from supplier response documents received in email.
You can forward the supplier's email with the attached quote documen</t>
        </is>
      </c>
      <c r="E510" t="inlineStr">
        <is>
          <t>Procurement</t>
        </is>
      </c>
      <c r="F510" t="inlineStr">
        <is>
          <t>AI Feature</t>
        </is>
      </c>
      <c r="G510" t="inlineStr">
        <is>
          <t>AI Feature</t>
        </is>
      </c>
      <c r="H510" t="inlineStr"/>
      <c r="I510" t="inlineStr"/>
      <c r="J510" t="inlineStr">
        <is>
          <t>Procurement</t>
        </is>
      </c>
      <c r="K510" t="inlineStr">
        <is>
          <t>N</t>
        </is>
      </c>
      <c r="L510" t="inlineStr">
        <is>
          <t>Y</t>
        </is>
      </c>
      <c r="M510" t="inlineStr">
        <is>
          <t>N</t>
        </is>
      </c>
      <c r="N510" t="inlineStr">
        <is>
          <t>Action type: Steps to Enable. To use this feature, you must enable this profile option: • Redwood Pages for Sourcing Enabled (ORA_PON_SOURCING_REDWOOD_ENABLED), if not already enabled. For instruction</t>
        </is>
      </c>
      <c r="O510" t="inlineStr">
        <is>
          <t>High</t>
        </is>
      </c>
      <c r="P510" t="inlineStr">
        <is>
          <t>2025-06-20</t>
        </is>
      </c>
      <c r="Q510" t="inlineStr">
        <is>
          <t>Oracle Fusion 26C Readiness — Procurement</t>
        </is>
      </c>
      <c r="R510" t="inlineStr"/>
    </row>
    <row r="511">
      <c r="A511" t="inlineStr">
        <is>
          <t>CHG_IMP_0486</t>
        </is>
      </c>
      <c r="B511" t="inlineStr">
        <is>
          <t>REL_26C</t>
        </is>
      </c>
      <c r="C511" t="inlineStr">
        <is>
          <t>AI Agent: Research Suppliers Using Products and Services Categories</t>
        </is>
      </c>
      <c r="D511" t="inlineStr">
        <is>
          <t>AI Agent: Research Suppliers Using Products and Services Categories. Module: Procurement. Release: 26C. Use natural language to research suppliers. The results now include suppliers matched with products and services categories in their supplier profile. In update 26B, you can research suppliers based on transaction history and other supplier information. Here are the enhancements in the 26C updat</t>
        </is>
      </c>
      <c r="E511" t="inlineStr">
        <is>
          <t>Procurement</t>
        </is>
      </c>
      <c r="F511" t="inlineStr">
        <is>
          <t>AI Feature</t>
        </is>
      </c>
      <c r="G511" t="inlineStr">
        <is>
          <t>AI Feature</t>
        </is>
      </c>
      <c r="H511" t="inlineStr"/>
      <c r="I511" t="inlineStr"/>
      <c r="J511" t="inlineStr">
        <is>
          <t>Procurement</t>
        </is>
      </c>
      <c r="K511" t="inlineStr">
        <is>
          <t>N</t>
        </is>
      </c>
      <c r="L511" t="inlineStr">
        <is>
          <t>Y</t>
        </is>
      </c>
      <c r="M511" t="inlineStr">
        <is>
          <t>N</t>
        </is>
      </c>
      <c r="N511" t="inlineStr">
        <is>
          <t>Action type: Steps to Enable. Use the Opt In UI to enable this feature. For instructions, refer to the Optional Uptake of New Features section of this document. Offering: *Procurement* Fo</t>
        </is>
      </c>
      <c r="O511" t="inlineStr">
        <is>
          <t>High</t>
        </is>
      </c>
      <c r="P511" t="inlineStr">
        <is>
          <t>2025-06-20</t>
        </is>
      </c>
      <c r="Q511" t="inlineStr">
        <is>
          <t>Oracle Fusion 26C Readiness — Procurement</t>
        </is>
      </c>
      <c r="R511" t="inlineStr"/>
    </row>
    <row r="512">
      <c r="A512" t="inlineStr">
        <is>
          <t>CHG_IMP_0487</t>
        </is>
      </c>
      <c r="B512" t="inlineStr">
        <is>
          <t>REL_26C</t>
        </is>
      </c>
      <c r="C512" t="inlineStr">
        <is>
          <t>AI Agentic App: Supplier Qualification Workspace</t>
        </is>
      </c>
      <c r="D512" t="inlineStr">
        <is>
          <t>AI Agentic App: Supplier Qualification Workspace. Module: Procurement. Release: 26C. The Supplier Qualification Workspace agentic app leverages AI to monitor supplier compliance, identify suppliers with adverse qualification outcomes or missing critical qualifications, and prioritize follow-up actions. Based on your supplier segmentation strategy, the AI extracts key suppliers and p</t>
        </is>
      </c>
      <c r="E512" t="inlineStr">
        <is>
          <t>Procurement</t>
        </is>
      </c>
      <c r="F512" t="inlineStr">
        <is>
          <t>AI Feature</t>
        </is>
      </c>
      <c r="G512" t="inlineStr">
        <is>
          <t>AI Feature</t>
        </is>
      </c>
      <c r="H512" t="inlineStr"/>
      <c r="I512" t="inlineStr"/>
      <c r="J512" t="inlineStr">
        <is>
          <t>Procurement</t>
        </is>
      </c>
      <c r="K512" t="inlineStr">
        <is>
          <t>N</t>
        </is>
      </c>
      <c r="L512" t="inlineStr">
        <is>
          <t>Y</t>
        </is>
      </c>
      <c r="M512" t="inlineStr">
        <is>
          <t>N</t>
        </is>
      </c>
      <c r="N512" t="inlineStr">
        <is>
          <t>Action type: Steps to Enable. To use this feature, you must 1. Enable the following profile option: Supplier Qualification Workspace Application (ORA_POQ_SUPPLIER_QUALIFICATION_AGENTIC_APP_ENABLED) Fo</t>
        </is>
      </c>
      <c r="O512" t="inlineStr">
        <is>
          <t>High</t>
        </is>
      </c>
      <c r="P512" t="inlineStr">
        <is>
          <t>2025-06-20</t>
        </is>
      </c>
      <c r="Q512" t="inlineStr">
        <is>
          <t>Oracle Fusion 26C Readiness — Procurement</t>
        </is>
      </c>
      <c r="R512" t="inlineStr"/>
    </row>
    <row r="513">
      <c r="A513" t="inlineStr">
        <is>
          <t>CHG_IMP_0488</t>
        </is>
      </c>
      <c r="B513" t="inlineStr">
        <is>
          <t>REL_26C</t>
        </is>
      </c>
      <c r="C513" t="inlineStr">
        <is>
          <t>Author Contract Terms using Policy Playbook in the Word Add-In</t>
        </is>
      </c>
      <c r="D513" t="inlineStr">
        <is>
          <t>Author Contract Terms using Policy Playbook in the Word Add-In. Module: Procurement. Release: 26C. You can use the new AI powered Word Add-in, that works well for Windows as well as Mac computers, to author contract terms. You can, not only add, modify, delete, sections and clauses, but also take the help of the out-of-the-box AI Agents to improve the clause language compared to the earlier metho</t>
        </is>
      </c>
      <c r="E513" t="inlineStr">
        <is>
          <t>Procurement</t>
        </is>
      </c>
      <c r="F513" t="inlineStr">
        <is>
          <t>AI Feature</t>
        </is>
      </c>
      <c r="G513" t="inlineStr">
        <is>
          <t>AI Feature</t>
        </is>
      </c>
      <c r="H513" t="inlineStr"/>
      <c r="I513" t="inlineStr"/>
      <c r="J513" t="inlineStr">
        <is>
          <t>Procurement</t>
        </is>
      </c>
      <c r="K513" t="inlineStr">
        <is>
          <t>N</t>
        </is>
      </c>
      <c r="L513" t="inlineStr">
        <is>
          <t>Y</t>
        </is>
      </c>
      <c r="M513" t="inlineStr">
        <is>
          <t>N</t>
        </is>
      </c>
      <c r="N513" t="inlineStr">
        <is>
          <t>Action type: Steps to Enable. Refer 'Author Contract Terms with AI Powered Word Add-in' section of Enterprise Contracts user guide under Oracle Fusion Cloud Sales Automation for setup details.</t>
        </is>
      </c>
      <c r="O513" t="inlineStr">
        <is>
          <t>High</t>
        </is>
      </c>
      <c r="P513" t="inlineStr">
        <is>
          <t>2025-06-20</t>
        </is>
      </c>
      <c r="Q513" t="inlineStr">
        <is>
          <t>Oracle Fusion 26C Readiness — Procurement</t>
        </is>
      </c>
      <c r="R513" t="inlineStr"/>
    </row>
    <row r="514">
      <c r="A514" t="inlineStr">
        <is>
          <t>CHG_IMP_0489</t>
        </is>
      </c>
      <c r="B514" t="inlineStr">
        <is>
          <t>REL_26C</t>
        </is>
      </c>
      <c r="C514" t="inlineStr">
        <is>
          <t>Automatically Populate Descriptive Flexfields Using Reference Parameters for Purchase Orders Created from Backing Requisitions</t>
        </is>
      </c>
      <c r="D514" t="inlineStr">
        <is>
          <t>Automatically Populate Descriptive Flexfields Using Reference Parameters for Purchase Orders Created from Backing Requisitions. Module: Procurement. Release: 26C. Automatically populate descriptive flexfields, including Project descriptive flexfields, using reference parameters when creating purchase orders from backing requisitions. Before this update, the application could automatically populate</t>
        </is>
      </c>
      <c r="E514" t="inlineStr">
        <is>
          <t>Procurement</t>
        </is>
      </c>
      <c r="F514" t="inlineStr">
        <is>
          <t>Functional</t>
        </is>
      </c>
      <c r="G514" t="inlineStr">
        <is>
          <t>Functional</t>
        </is>
      </c>
      <c r="H514" t="inlineStr"/>
      <c r="I514" t="inlineStr"/>
      <c r="J514" t="inlineStr">
        <is>
          <t>Procurement</t>
        </is>
      </c>
      <c r="K514" t="inlineStr">
        <is>
          <t>N</t>
        </is>
      </c>
      <c r="L514" t="inlineStr">
        <is>
          <t>N</t>
        </is>
      </c>
      <c r="M514" t="inlineStr">
        <is>
          <t>N</t>
        </is>
      </c>
      <c r="N514" t="inlineStr">
        <is>
          <t>Auto-enabled — no action required</t>
        </is>
      </c>
      <c r="O514" t="inlineStr">
        <is>
          <t>Low</t>
        </is>
      </c>
      <c r="P514" t="inlineStr">
        <is>
          <t>2025-06-20</t>
        </is>
      </c>
      <c r="Q514" t="inlineStr">
        <is>
          <t>Oracle Fusion 26C Readiness — Procurement</t>
        </is>
      </c>
      <c r="R514" t="inlineStr"/>
    </row>
    <row r="515">
      <c r="A515" t="inlineStr">
        <is>
          <t>CHG_IMP_0490</t>
        </is>
      </c>
      <c r="B515" t="inlineStr">
        <is>
          <t>REL_26C</t>
        </is>
      </c>
      <c r="C515" t="inlineStr">
        <is>
          <t>Contract Collaboration using Microsoft SharePoint</t>
        </is>
      </c>
      <c r="D515" t="inlineStr">
        <is>
          <t>Contract Collaboration using Microsoft SharePoint. Module: Procurement. Release: 26C. You can now collaborate on contract terms using Microsoft SharePoint from the Microsoft Word Add-in. This feature lets contract managers, legal users, and internal stakeholders review and update a shared contract terms document in SharePoint instead of exchanging multiple document copies over email.</t>
        </is>
      </c>
      <c r="E515" t="inlineStr">
        <is>
          <t>Procurement</t>
        </is>
      </c>
      <c r="F515" t="inlineStr">
        <is>
          <t>Functional</t>
        </is>
      </c>
      <c r="G515" t="inlineStr">
        <is>
          <t>Functional</t>
        </is>
      </c>
      <c r="H515" t="inlineStr"/>
      <c r="I515" t="inlineStr"/>
      <c r="J515" t="inlineStr">
        <is>
          <t>Procurement</t>
        </is>
      </c>
      <c r="K515" t="inlineStr">
        <is>
          <t>N</t>
        </is>
      </c>
      <c r="L515" t="inlineStr">
        <is>
          <t>Y</t>
        </is>
      </c>
      <c r="M515" t="inlineStr">
        <is>
          <t>N</t>
        </is>
      </c>
      <c r="N515" t="inlineStr">
        <is>
          <t>Action type: Steps to Enable. **Step 1:** **Configure the Microsoft Azure Application** **Register the Application** As an Azure administrator, sign in to the Microsoft Entra admin center: https://ent</t>
        </is>
      </c>
      <c r="O515" t="inlineStr">
        <is>
          <t>High</t>
        </is>
      </c>
      <c r="P515" t="inlineStr">
        <is>
          <t>2025-06-20</t>
        </is>
      </c>
      <c r="Q515" t="inlineStr">
        <is>
          <t>Oracle Fusion 26C Readiness — Procurement</t>
        </is>
      </c>
      <c r="R515" t="inlineStr"/>
    </row>
    <row r="516">
      <c r="A516" t="inlineStr">
        <is>
          <t>CHG_IMP_0491</t>
        </is>
      </c>
      <c r="B516" t="inlineStr">
        <is>
          <t>REL_26C</t>
        </is>
      </c>
      <c r="C516" t="inlineStr">
        <is>
          <t>Contract Compliance Workspace</t>
        </is>
      </c>
      <c r="D516" t="inlineStr">
        <is>
          <t>Contract Compliance Workspace. Module: Procurement. Release: 26C. Contract Compliance Workspace is an agentic app that helps legal and contract teams identify actively negotiated contracts that need attention because of clause deviations and terms risk. The workspace uses agentic capabilities to analyze negotiation feedback, calculate contract terms risk severity,</t>
        </is>
      </c>
      <c r="E516" t="inlineStr">
        <is>
          <t>Procurement</t>
        </is>
      </c>
      <c r="F516" t="inlineStr">
        <is>
          <t>Functional</t>
        </is>
      </c>
      <c r="G516" t="inlineStr">
        <is>
          <t>Functional</t>
        </is>
      </c>
      <c r="H516" t="inlineStr"/>
      <c r="I516" t="inlineStr"/>
      <c r="J516" t="inlineStr">
        <is>
          <t>Procurement</t>
        </is>
      </c>
      <c r="K516" t="inlineStr">
        <is>
          <t>N</t>
        </is>
      </c>
      <c r="L516" t="inlineStr">
        <is>
          <t>Y</t>
        </is>
      </c>
      <c r="M516" t="inlineStr">
        <is>
          <t>N</t>
        </is>
      </c>
      <c r="N516" t="inlineStr">
        <is>
          <t xml:space="preserve">Action type: Steps to Enable. **Manage Contract Type** Enable the contract type for Contract Compliance Workspace agentic app from the Manage Contract Type UI. Contract Type **Contract Playbook** For </t>
        </is>
      </c>
      <c r="O516" t="inlineStr">
        <is>
          <t>High</t>
        </is>
      </c>
      <c r="P516" t="inlineStr">
        <is>
          <t>2025-06-20</t>
        </is>
      </c>
      <c r="Q516" t="inlineStr">
        <is>
          <t>Oracle Fusion 26C Readiness — Procurement</t>
        </is>
      </c>
      <c r="R516" t="inlineStr"/>
    </row>
    <row r="517">
      <c r="A517" t="inlineStr">
        <is>
          <t>CHG_IMP_0492</t>
        </is>
      </c>
      <c r="B517" t="inlineStr">
        <is>
          <t>REL_26C</t>
        </is>
      </c>
      <c r="C517" t="inlineStr">
        <is>
          <t>Create Transfer Orders with Header Level Descriptive Flexfields</t>
        </is>
      </c>
      <c r="D517" t="inlineStr">
        <is>
          <t>Create Transfer Orders with Header Level Descriptive Flexfields. Module: Procurement. Release: 26C. Use the Oracle Supply Chain Orchestration Supply Requests REST API and the Supply Order Import FBDI template to create transfer orders with header level descriptive flexfields.
Oracle Supply Chain Orchestration now supports transfer order header-level descriptive flexfields in the Supply Requests R</t>
        </is>
      </c>
      <c r="E517" t="inlineStr">
        <is>
          <t>Procurement</t>
        </is>
      </c>
      <c r="F517" t="inlineStr">
        <is>
          <t>Functional</t>
        </is>
      </c>
      <c r="G517" t="inlineStr">
        <is>
          <t>Functional</t>
        </is>
      </c>
      <c r="H517" t="inlineStr"/>
      <c r="I517" t="inlineStr"/>
      <c r="J517" t="inlineStr">
        <is>
          <t>Procurement</t>
        </is>
      </c>
      <c r="K517" t="inlineStr">
        <is>
          <t>N</t>
        </is>
      </c>
      <c r="L517" t="inlineStr">
        <is>
          <t>N</t>
        </is>
      </c>
      <c r="M517" t="inlineStr">
        <is>
          <t>N</t>
        </is>
      </c>
      <c r="N517" t="inlineStr">
        <is>
          <t>Auto-enabled — no action required</t>
        </is>
      </c>
      <c r="O517" t="inlineStr">
        <is>
          <t>Low</t>
        </is>
      </c>
      <c r="P517" t="inlineStr">
        <is>
          <t>2025-06-20</t>
        </is>
      </c>
      <c r="Q517" t="inlineStr">
        <is>
          <t>Oracle Fusion 26C Readiness — Procurement</t>
        </is>
      </c>
      <c r="R517" t="inlineStr"/>
    </row>
    <row r="518">
      <c r="A518" t="inlineStr">
        <is>
          <t>CHG_IMP_0493</t>
        </is>
      </c>
      <c r="B518" t="inlineStr">
        <is>
          <t>REL_26C</t>
        </is>
      </c>
      <c r="C518" t="inlineStr">
        <is>
          <t>Create Work Orders with Find Numbers for Substituted Components</t>
        </is>
      </c>
      <c r="D518" t="inlineStr">
        <is>
          <t>Create Work Orders with Find Numbers for Substituted Components. Module: Procurement. Release: 26C. Supply Chain Orchestration now supports receiving find numbers for substituted components from Oracle Supply Chain Planning and passing them to Oracle Manufacturing during work order creation.
This enhancement preserves component-specific details when the same item appears multiple times in an item</t>
        </is>
      </c>
      <c r="E518" t="inlineStr">
        <is>
          <t>Procurement</t>
        </is>
      </c>
      <c r="F518" t="inlineStr">
        <is>
          <t>Functional</t>
        </is>
      </c>
      <c r="G518" t="inlineStr">
        <is>
          <t>Functional</t>
        </is>
      </c>
      <c r="H518" t="inlineStr"/>
      <c r="I518" t="inlineStr"/>
      <c r="J518" t="inlineStr">
        <is>
          <t>Procurement</t>
        </is>
      </c>
      <c r="K518" t="inlineStr">
        <is>
          <t>N</t>
        </is>
      </c>
      <c r="L518" t="inlineStr">
        <is>
          <t>N</t>
        </is>
      </c>
      <c r="M518" t="inlineStr">
        <is>
          <t>N</t>
        </is>
      </c>
      <c r="N518" t="inlineStr">
        <is>
          <t>Auto-enabled — no action required</t>
        </is>
      </c>
      <c r="O518" t="inlineStr">
        <is>
          <t>Low</t>
        </is>
      </c>
      <c r="P518" t="inlineStr">
        <is>
          <t>2025-06-20</t>
        </is>
      </c>
      <c r="Q518" t="inlineStr">
        <is>
          <t>Oracle Fusion 26C Readiness — Procurement</t>
        </is>
      </c>
      <c r="R518" t="inlineStr"/>
    </row>
    <row r="519">
      <c r="A519" t="inlineStr">
        <is>
          <t>CHG_IMP_0494</t>
        </is>
      </c>
      <c r="B519" t="inlineStr">
        <is>
          <t>REL_26C</t>
        </is>
      </c>
      <c r="C519" t="inlineStr">
        <is>
          <t>Initiate Procurement Activities with Intake Requests</t>
        </is>
      </c>
      <c r="D519" t="inlineStr">
        <is>
          <t>Initiate Procurement Activities with Intake Requests. Module: Procurement. Release: 26C. Initiate procurement activities for noncatalog goods and services using Intake Requests. You can either use an AI assistant to help with creating the request or manually create the request and submit it for review and approval.
At any time after you submit a request, you can see the set of review t Opt-in req</t>
        </is>
      </c>
      <c r="E519" t="inlineStr">
        <is>
          <t>Procurement</t>
        </is>
      </c>
      <c r="F519" t="inlineStr">
        <is>
          <t>AI Feature</t>
        </is>
      </c>
      <c r="G519" t="inlineStr">
        <is>
          <t>AI Feature</t>
        </is>
      </c>
      <c r="H519" t="inlineStr"/>
      <c r="I519" t="inlineStr"/>
      <c r="J519" t="inlineStr">
        <is>
          <t>Procurement</t>
        </is>
      </c>
      <c r="K519" t="inlineStr">
        <is>
          <t>N</t>
        </is>
      </c>
      <c r="L519" t="inlineStr">
        <is>
          <t>Y</t>
        </is>
      </c>
      <c r="M519" t="inlineStr">
        <is>
          <t>N</t>
        </is>
      </c>
      <c r="N519" t="inlineStr">
        <is>
          <t>Action type: Steps to Enable. Use the Opt In UI to enable this feature. For instructions, refer to the Optional Uptake of New Features section of this document. Offering: *Procurement* **Set profile o</t>
        </is>
      </c>
      <c r="O519" t="inlineStr">
        <is>
          <t>High</t>
        </is>
      </c>
      <c r="P519" t="inlineStr">
        <is>
          <t>2025-06-20</t>
        </is>
      </c>
      <c r="Q519" t="inlineStr">
        <is>
          <t>Oracle Fusion 26C Readiness — Procurement</t>
        </is>
      </c>
      <c r="R519" t="inlineStr"/>
    </row>
    <row r="520">
      <c r="A520" t="inlineStr">
        <is>
          <t>CHG_IMP_0495</t>
        </is>
      </c>
      <c r="B520" t="inlineStr">
        <is>
          <t>REL_26C</t>
        </is>
      </c>
      <c r="C520" t="inlineStr">
        <is>
          <t>Integrate and Extend Procurement Using REST Resources</t>
        </is>
      </c>
      <c r="D520" t="inlineStr">
        <is>
          <t>Integrate and Extend Procurement Using REST Resources. Module: Procurement. Release: 26C. In this release, Oracle Fusion Cloud Procurement and Oracle Fusion Cloud Self Service Procurement deliver new and modified REST resources to enable and simplify integration with external systems.
The new REST resource introduced in this update is:
• Draft Purchase Agreements
• Supplier Negotiation</t>
        </is>
      </c>
      <c r="E520" t="inlineStr">
        <is>
          <t>Procurement</t>
        </is>
      </c>
      <c r="F520" t="inlineStr">
        <is>
          <t>Functional</t>
        </is>
      </c>
      <c r="G520" t="inlineStr">
        <is>
          <t>Functional</t>
        </is>
      </c>
      <c r="H520" t="inlineStr"/>
      <c r="I520" t="inlineStr"/>
      <c r="J520" t="inlineStr">
        <is>
          <t>Procurement</t>
        </is>
      </c>
      <c r="K520" t="inlineStr">
        <is>
          <t>N</t>
        </is>
      </c>
      <c r="L520" t="inlineStr">
        <is>
          <t>Y</t>
        </is>
      </c>
      <c r="M520" t="inlineStr">
        <is>
          <t>N</t>
        </is>
      </c>
      <c r="N520" t="inlineStr">
        <is>
          <t>Action type: Steps to Enable. Review the REST service definition in the REST API guides to leverage (available from the Oracle Help Center &gt; *your apps service area of interest* &gt; APIs &amp; Schema). If y</t>
        </is>
      </c>
      <c r="O520" t="inlineStr">
        <is>
          <t>High</t>
        </is>
      </c>
      <c r="P520" t="inlineStr">
        <is>
          <t>2025-06-20</t>
        </is>
      </c>
      <c r="Q520" t="inlineStr">
        <is>
          <t>Oracle Fusion 26C Readiness — Procurement</t>
        </is>
      </c>
      <c r="R520" t="inlineStr"/>
    </row>
    <row r="521">
      <c r="A521" t="inlineStr">
        <is>
          <t>CHG_IMP_0496</t>
        </is>
      </c>
      <c r="B521" t="inlineStr">
        <is>
          <t>REL_26C</t>
        </is>
      </c>
      <c r="C521" t="inlineStr">
        <is>
          <t>Purge Expired Outbound and Inbound Message Files from the Oracle Content Repository</t>
        </is>
      </c>
      <c r="D521" t="inlineStr">
        <is>
          <t>Purge Expired Outbound and Inbound Message Files from the Oracle Content Repository. Module: Procurement. Release: 26C. Oracle Collaboration Messaging stores integration artifacts in specific repository accounts. Over time, these files can accumulate, driving storage growth and slowing down queries, which can impact overall processing performance.
 You can use the **Run Data Lifecycle Process for</t>
        </is>
      </c>
      <c r="E521" t="inlineStr">
        <is>
          <t>Procurement</t>
        </is>
      </c>
      <c r="F521" t="inlineStr">
        <is>
          <t>Functional</t>
        </is>
      </c>
      <c r="G521" t="inlineStr">
        <is>
          <t>Functional</t>
        </is>
      </c>
      <c r="H521" t="inlineStr"/>
      <c r="I521" t="inlineStr"/>
      <c r="J521" t="inlineStr">
        <is>
          <t>Procurement</t>
        </is>
      </c>
      <c r="K521" t="inlineStr">
        <is>
          <t>N</t>
        </is>
      </c>
      <c r="L521" t="inlineStr">
        <is>
          <t>Y</t>
        </is>
      </c>
      <c r="M521" t="inlineStr">
        <is>
          <t>N</t>
        </is>
      </c>
      <c r="N521" t="inlineStr">
        <is>
          <t>Action type: Steps to Enable. Here's how you can clean up accumulated files: 1. From the **Scheduled Processes** area, schedule the **Run Data Lifecycle Process for Collabo</t>
        </is>
      </c>
      <c r="O521" t="inlineStr">
        <is>
          <t>High</t>
        </is>
      </c>
      <c r="P521" t="inlineStr">
        <is>
          <t>2025-06-20</t>
        </is>
      </c>
      <c r="Q521" t="inlineStr">
        <is>
          <t>Oracle Fusion 26C Readiness — Procurement</t>
        </is>
      </c>
      <c r="R521" t="inlineStr"/>
    </row>
    <row r="522">
      <c r="A522" t="inlineStr">
        <is>
          <t>CHG_IMP_0497</t>
        </is>
      </c>
      <c r="B522" t="inlineStr">
        <is>
          <t>REL_26C</t>
        </is>
      </c>
      <c r="C522" t="inlineStr">
        <is>
          <t>Redwood: Assess Supplier Eligibility</t>
        </is>
      </c>
      <c r="D522" t="inlineStr">
        <is>
          <t>Redwood: Assess Supplier Eligibility. Module: Procurement. Release: 26C. Leverage the new user experience to manage supplier eligibility for sourcing based on assessment outcomes. A supplier's assessment gives you a consolidated summary of whether the supplier meets the required compliance criteria and has completed the necessary steps to become eligible to participate i</t>
        </is>
      </c>
      <c r="E522" t="inlineStr">
        <is>
          <t>Procurement</t>
        </is>
      </c>
      <c r="F522" t="inlineStr">
        <is>
          <t>Functional</t>
        </is>
      </c>
      <c r="G522" t="inlineStr">
        <is>
          <t>Functional</t>
        </is>
      </c>
      <c r="H522" t="inlineStr"/>
      <c r="I522" t="inlineStr"/>
      <c r="J522" t="inlineStr">
        <is>
          <t>Procurement</t>
        </is>
      </c>
      <c r="K522" t="inlineStr">
        <is>
          <t>N</t>
        </is>
      </c>
      <c r="L522" t="inlineStr">
        <is>
          <t>Y</t>
        </is>
      </c>
      <c r="M522" t="inlineStr">
        <is>
          <t>N</t>
        </is>
      </c>
      <c r="N522" t="inlineStr">
        <is>
          <t>Action type: Steps to Enable. To use this feature, you must enable the following profile options. • Redwood Supplier Qualification Page Enabled (ORA_POQ_SUPPLIER_QUALIFICATION_REDWOOD_ENABLED). Enable</t>
        </is>
      </c>
      <c r="O522" t="inlineStr">
        <is>
          <t>High</t>
        </is>
      </c>
      <c r="P522" t="inlineStr">
        <is>
          <t>2025-06-20</t>
        </is>
      </c>
      <c r="Q522" t="inlineStr">
        <is>
          <t>Oracle Fusion 26C Readiness — Procurement</t>
        </is>
      </c>
      <c r="R522" t="inlineStr"/>
    </row>
    <row r="523">
      <c r="A523" t="inlineStr">
        <is>
          <t>CHG_IMP_0498</t>
        </is>
      </c>
      <c r="B523" t="inlineStr">
        <is>
          <t>REL_26C</t>
        </is>
      </c>
      <c r="C523" t="inlineStr">
        <is>
          <t>Redwood: Associate Item to Awarded Alternate Line</t>
        </is>
      </c>
      <c r="D523" t="inlineStr">
        <is>
          <t>Redwood: Associate Item to Awarded Alternate Line. Module: Procurement. Release: 26C. Associate an inventory item to an awarded alternate line when staging purchasing documents.
After finalizing an award, you have the option to review staged orders or agreements. For awarded alternate lines proposed by suppliers, you can now select any item from the same purchasing category to strea</t>
        </is>
      </c>
      <c r="E523" t="inlineStr">
        <is>
          <t>Procurement</t>
        </is>
      </c>
      <c r="F523" t="inlineStr">
        <is>
          <t>Functional</t>
        </is>
      </c>
      <c r="G523" t="inlineStr">
        <is>
          <t>Functional</t>
        </is>
      </c>
      <c r="H523" t="inlineStr"/>
      <c r="I523" t="inlineStr"/>
      <c r="J523" t="inlineStr">
        <is>
          <t>Procurement</t>
        </is>
      </c>
      <c r="K523" t="inlineStr">
        <is>
          <t>N</t>
        </is>
      </c>
      <c r="L523" t="inlineStr">
        <is>
          <t>Y</t>
        </is>
      </c>
      <c r="M523" t="inlineStr">
        <is>
          <t>N</t>
        </is>
      </c>
      <c r="N523" t="inlineStr">
        <is>
          <t xml:space="preserve">Action type: Steps to Enable. To use this feature, you must enable these profile options if you haven't already. • Redwood Pages for Sourcing Enabled (ORA_PON_SOURCING_REDWOOD_ENABLED) • Redwood Page </t>
        </is>
      </c>
      <c r="O523" t="inlineStr">
        <is>
          <t>High</t>
        </is>
      </c>
      <c r="P523" t="inlineStr">
        <is>
          <t>2025-06-20</t>
        </is>
      </c>
      <c r="Q523" t="inlineStr">
        <is>
          <t>Oracle Fusion 26C Readiness — Procurement</t>
        </is>
      </c>
      <c r="R523" t="inlineStr"/>
    </row>
    <row r="524">
      <c r="A524" t="inlineStr">
        <is>
          <t>CHG_IMP_0499</t>
        </is>
      </c>
      <c r="B524" t="inlineStr">
        <is>
          <t>REL_26C</t>
        </is>
      </c>
      <c r="C524" t="inlineStr">
        <is>
          <t>Redwood: Cancel an Approved Work Confirmation as a Buyer</t>
        </is>
      </c>
      <c r="D524" t="inlineStr">
        <is>
          <t>Redwood: Cancel an Approved Work Confirmation as a Buyer. Module: Procurement. Release: 26C. Cancel approved work confirmations as a buyer. Before this update, you couldn't cancel approved work confirmations. With this update, you can cancel an approved work confirmation and automatically reverse the received quantity or amount.
These screenshots illustrate the feature.
Cancel Action on a</t>
        </is>
      </c>
      <c r="E524" t="inlineStr">
        <is>
          <t>Procurement</t>
        </is>
      </c>
      <c r="F524" t="inlineStr">
        <is>
          <t>Functional</t>
        </is>
      </c>
      <c r="G524" t="inlineStr">
        <is>
          <t>Functional</t>
        </is>
      </c>
      <c r="H524" t="inlineStr"/>
      <c r="I524" t="inlineStr"/>
      <c r="J524" t="inlineStr">
        <is>
          <t>Procurement</t>
        </is>
      </c>
      <c r="K524" t="inlineStr">
        <is>
          <t>N</t>
        </is>
      </c>
      <c r="L524" t="inlineStr">
        <is>
          <t>Y</t>
        </is>
      </c>
      <c r="M524" t="inlineStr">
        <is>
          <t>N</t>
        </is>
      </c>
      <c r="N524" t="inlineStr">
        <is>
          <t>Action type: Steps to Enable. If you haven't enabled Redwood for Purchasing, see the Getting Started with Redwood in Purchasing topic on the SCM Resource Center in Customer Connect.</t>
        </is>
      </c>
      <c r="O524" t="inlineStr">
        <is>
          <t>High</t>
        </is>
      </c>
      <c r="P524" t="inlineStr">
        <is>
          <t>2025-06-20</t>
        </is>
      </c>
      <c r="Q524" t="inlineStr">
        <is>
          <t>Oracle Fusion 26C Readiness — Procurement</t>
        </is>
      </c>
      <c r="R524" t="inlineStr"/>
    </row>
    <row r="525">
      <c r="A525" t="inlineStr">
        <is>
          <t>CHG_IMP_0500</t>
        </is>
      </c>
      <c r="B525" t="inlineStr">
        <is>
          <t>REL_26C</t>
        </is>
      </c>
      <c r="C525" t="inlineStr">
        <is>
          <t>Redwood: Communicate Purchase Agreements to Multiple Email Recipients</t>
        </is>
      </c>
      <c r="D525" t="inlineStr">
        <is>
          <t>Redwood: Communicate Purchase Agreements to Multiple Email Recipients. Module: Procurement. Release: 26C. Add multiple email recipients when communicating purchase agreements to suppliers.
You can now notify internal stakeholders and additional supplier contacts through the same email sent when a new purchase agreement or change order is issued.
Communicate Agreements to Multiple Emails</t>
        </is>
      </c>
      <c r="E525" t="inlineStr">
        <is>
          <t>Procurement</t>
        </is>
      </c>
      <c r="F525" t="inlineStr">
        <is>
          <t>Functional</t>
        </is>
      </c>
      <c r="G525" t="inlineStr">
        <is>
          <t>Functional</t>
        </is>
      </c>
      <c r="H525" t="inlineStr"/>
      <c r="I525" t="inlineStr"/>
      <c r="J525" t="inlineStr">
        <is>
          <t>Procurement</t>
        </is>
      </c>
      <c r="K525" t="inlineStr">
        <is>
          <t>N</t>
        </is>
      </c>
      <c r="L525" t="inlineStr">
        <is>
          <t>Y</t>
        </is>
      </c>
      <c r="M525" t="inlineStr">
        <is>
          <t>N</t>
        </is>
      </c>
      <c r="N525" t="inlineStr">
        <is>
          <t>Action type: Steps to Enable. If you haven't enabled Redwood for Purchasing, see the Getting Started with Redwood in Purchasing topic on the SCM Resource Center in Customer Connect.</t>
        </is>
      </c>
      <c r="O525" t="inlineStr">
        <is>
          <t>High</t>
        </is>
      </c>
      <c r="P525" t="inlineStr">
        <is>
          <t>2025-06-20</t>
        </is>
      </c>
      <c r="Q525" t="inlineStr">
        <is>
          <t>Oracle Fusion 26C Readiness — Procurement</t>
        </is>
      </c>
      <c r="R525" t="inlineStr"/>
    </row>
    <row r="526">
      <c r="A526" t="inlineStr">
        <is>
          <t>CHG_IMP_0501</t>
        </is>
      </c>
      <c r="B526" t="inlineStr">
        <is>
          <t>REL_26C</t>
        </is>
      </c>
      <c r="C526" t="inlineStr">
        <is>
          <t>Redwood: Confirm Supplier Business Classification</t>
        </is>
      </c>
      <c r="D526" t="inlineStr">
        <is>
          <t>Redwood: Confirm Supplier Business Classification. Module: Procurement. Release: 26C. Accurate supplier business classification data is critical for reliable reporting on diversity spend and compliance. Incorrect classifications lead to poor data quality, misinformed decisions, and costly corrections. You now have a straightforward confirmation option when creating or editing classif</t>
        </is>
      </c>
      <c r="E526" t="inlineStr">
        <is>
          <t>Procurement</t>
        </is>
      </c>
      <c r="F526" t="inlineStr">
        <is>
          <t>Functional</t>
        </is>
      </c>
      <c r="G526" t="inlineStr">
        <is>
          <t>Functional</t>
        </is>
      </c>
      <c r="H526" t="inlineStr"/>
      <c r="I526" t="inlineStr"/>
      <c r="J526" t="inlineStr">
        <is>
          <t>Procurement</t>
        </is>
      </c>
      <c r="K526" t="inlineStr">
        <is>
          <t>N</t>
        </is>
      </c>
      <c r="L526" t="inlineStr">
        <is>
          <t>Y</t>
        </is>
      </c>
      <c r="M526" t="inlineStr">
        <is>
          <t>N</t>
        </is>
      </c>
      <c r="N526" t="inlineStr">
        <is>
          <t>Action type: Steps to Enable. Follow these steps to enable this feature: 1. In Oracle Visual Builder Business Rules, go to the layout for the supplier profile page flow you want to enable the feature:</t>
        </is>
      </c>
      <c r="O526" t="inlineStr">
        <is>
          <t>High</t>
        </is>
      </c>
      <c r="P526" t="inlineStr">
        <is>
          <t>2025-06-20</t>
        </is>
      </c>
      <c r="Q526" t="inlineStr">
        <is>
          <t>Oracle Fusion 26C Readiness — Procurement</t>
        </is>
      </c>
      <c r="R526" t="inlineStr"/>
    </row>
    <row r="527">
      <c r="A527" t="inlineStr">
        <is>
          <t>CHG_IMP_0502</t>
        </is>
      </c>
      <c r="B527" t="inlineStr">
        <is>
          <t>REL_26C</t>
        </is>
      </c>
      <c r="C527" t="inlineStr">
        <is>
          <t>Redwood: Create and Monitor Assessment Initiatives</t>
        </is>
      </c>
      <c r="D527" t="inlineStr">
        <is>
          <t>Redwood: Create and Monitor Assessment Initiatives. Module: Procurement. Release: 26C. Create assessment initiatives specifying suppliers and responders to generate questionnaires and assess suppliers.  Assessments can group together multiple qualification areas and roll up the individual qualifications so that you can evaluate an overall outcome for the supplier. For example, these o</t>
        </is>
      </c>
      <c r="E527" t="inlineStr">
        <is>
          <t>Procurement</t>
        </is>
      </c>
      <c r="F527" t="inlineStr">
        <is>
          <t>Functional</t>
        </is>
      </c>
      <c r="G527" t="inlineStr">
        <is>
          <t>Functional</t>
        </is>
      </c>
      <c r="H527" t="inlineStr"/>
      <c r="I527" t="inlineStr"/>
      <c r="J527" t="inlineStr">
        <is>
          <t>Procurement</t>
        </is>
      </c>
      <c r="K527" t="inlineStr">
        <is>
          <t>N</t>
        </is>
      </c>
      <c r="L527" t="inlineStr">
        <is>
          <t>Y</t>
        </is>
      </c>
      <c r="M527" t="inlineStr">
        <is>
          <t>N</t>
        </is>
      </c>
      <c r="N527" t="inlineStr">
        <is>
          <t>Action type: Steps to Enable. To use this feature, you must enable the following profile options. • Redwood Supplier Qualification Page Enabled (ORA_POQ_SUPPLIER_QUALIFICATION_REDWOOD_ENABLED). Enable</t>
        </is>
      </c>
      <c r="O527" t="inlineStr">
        <is>
          <t>High</t>
        </is>
      </c>
      <c r="P527" t="inlineStr">
        <is>
          <t>2025-06-20</t>
        </is>
      </c>
      <c r="Q527" t="inlineStr">
        <is>
          <t>Oracle Fusion 26C Readiness — Procurement</t>
        </is>
      </c>
      <c r="R527" t="inlineStr"/>
    </row>
    <row r="528">
      <c r="A528" t="inlineStr">
        <is>
          <t>CHG_IMP_0503</t>
        </is>
      </c>
      <c r="B528" t="inlineStr">
        <is>
          <t>REL_26C</t>
        </is>
      </c>
      <c r="C528" t="inlineStr">
        <is>
          <t>Redwood: Edit Charge Account Segments on Multiple Purchase Order Schedules</t>
        </is>
      </c>
      <c r="D528" t="inlineStr">
        <is>
          <t>Redwood: Edit Charge Account Segments on Multiple Purchase Order Schedules. Module: Procurement. Release: 26C. Select multiple schedules and edit the cost center and natural account segments directly from the Purchase Orders page.
You can choose to split partially delivered or billed distributions, and the application will update the segments on the new distribution for the unprocessed remainder.</t>
        </is>
      </c>
      <c r="E528" t="inlineStr">
        <is>
          <t>Procurement</t>
        </is>
      </c>
      <c r="F528" t="inlineStr">
        <is>
          <t>Functional</t>
        </is>
      </c>
      <c r="G528" t="inlineStr">
        <is>
          <t>Functional</t>
        </is>
      </c>
      <c r="H528" t="inlineStr"/>
      <c r="I528" t="inlineStr"/>
      <c r="J528" t="inlineStr">
        <is>
          <t>Procurement</t>
        </is>
      </c>
      <c r="K528" t="inlineStr">
        <is>
          <t>N</t>
        </is>
      </c>
      <c r="L528" t="inlineStr">
        <is>
          <t>Y</t>
        </is>
      </c>
      <c r="M528" t="inlineStr">
        <is>
          <t>N</t>
        </is>
      </c>
      <c r="N528" t="inlineStr">
        <is>
          <t>Action type: Steps to Enable. If you haven't enabled Redwood for Purchasing, see the Getting Started with Redwood in Purchasing topic on the SCM Resource Center in Customer Connect</t>
        </is>
      </c>
      <c r="O528" t="inlineStr">
        <is>
          <t>High</t>
        </is>
      </c>
      <c r="P528" t="inlineStr">
        <is>
          <t>2025-06-20</t>
        </is>
      </c>
      <c r="Q528" t="inlineStr">
        <is>
          <t>Oracle Fusion 26C Readiness — Procurement</t>
        </is>
      </c>
      <c r="R528" t="inlineStr"/>
    </row>
    <row r="529">
      <c r="A529" t="inlineStr">
        <is>
          <t>CHG_IMP_0504</t>
        </is>
      </c>
      <c r="B529" t="inlineStr">
        <is>
          <t>REL_26C</t>
        </is>
      </c>
      <c r="C529" t="inlineStr">
        <is>
          <t>Redwood: Evaluate Assessments</t>
        </is>
      </c>
      <c r="D529" t="inlineStr">
        <is>
          <t>Redwood: Evaluate Assessments. Module: Procurement. Release: 26C. Evaluate supplier assessments using the new Redwood user experience. Assessments allow you to evaluate suppliers across a group of qualifications to determine an overall outcome.
**Search Assessments**
As a qualification manager or an evaluator, use the Assessments page to easily search for and ma</t>
        </is>
      </c>
      <c r="E529" t="inlineStr">
        <is>
          <t>Procurement</t>
        </is>
      </c>
      <c r="F529" t="inlineStr">
        <is>
          <t>Functional</t>
        </is>
      </c>
      <c r="G529" t="inlineStr">
        <is>
          <t>Functional</t>
        </is>
      </c>
      <c r="H529" t="inlineStr"/>
      <c r="I529" t="inlineStr"/>
      <c r="J529" t="inlineStr">
        <is>
          <t>Procurement</t>
        </is>
      </c>
      <c r="K529" t="inlineStr">
        <is>
          <t>N</t>
        </is>
      </c>
      <c r="L529" t="inlineStr">
        <is>
          <t>Y</t>
        </is>
      </c>
      <c r="M529" t="inlineStr">
        <is>
          <t>N</t>
        </is>
      </c>
      <c r="N529" t="inlineStr">
        <is>
          <t>Action type: Steps to Enable. To use this feature, you must enable the following profile options. • Redwood Supplier Qualification Page Enabled (ORA_POQ_SUPPLIER_QUALIFICATION_REDWOOD_ENABLED). Enable</t>
        </is>
      </c>
      <c r="O529" t="inlineStr">
        <is>
          <t>High</t>
        </is>
      </c>
      <c r="P529" t="inlineStr">
        <is>
          <t>2025-06-20</t>
        </is>
      </c>
      <c r="Q529" t="inlineStr">
        <is>
          <t>Oracle Fusion 26C Readiness — Procurement</t>
        </is>
      </c>
      <c r="R529" t="inlineStr"/>
    </row>
    <row r="530">
      <c r="A530" t="inlineStr">
        <is>
          <t>CHG_IMP_0505</t>
        </is>
      </c>
      <c r="B530" t="inlineStr">
        <is>
          <t>REL_26C</t>
        </is>
      </c>
      <c r="C530" t="inlineStr">
        <is>
          <t>Redwood: Get Category Suggestions for Description-Based Lines Using AI</t>
        </is>
      </c>
      <c r="D530" t="inlineStr">
        <is>
          <t>Redwood: Get Category Suggestions for Description-Based Lines Using AI. Module: Procurement. Release: 26C. Get category suggestions for description-based lines in purchase orders, blanket purchase agreements, and change orders. When you select the Suggest Category action, the application analyzes the entered description using historical purchasing data and recommends the best-fit category. This he</t>
        </is>
      </c>
      <c r="E530" t="inlineStr">
        <is>
          <t>Procurement</t>
        </is>
      </c>
      <c r="F530" t="inlineStr">
        <is>
          <t>Functional</t>
        </is>
      </c>
      <c r="G530" t="inlineStr">
        <is>
          <t>Functional</t>
        </is>
      </c>
      <c r="H530" t="inlineStr"/>
      <c r="I530" t="inlineStr"/>
      <c r="J530" t="inlineStr">
        <is>
          <t>Procurement</t>
        </is>
      </c>
      <c r="K530" t="inlineStr">
        <is>
          <t>N</t>
        </is>
      </c>
      <c r="L530" t="inlineStr">
        <is>
          <t>Y</t>
        </is>
      </c>
      <c r="M530" t="inlineStr">
        <is>
          <t>N</t>
        </is>
      </c>
      <c r="N530" t="inlineStr">
        <is>
          <t xml:space="preserve">Action type: Steps to Enable. • If you haven't enabled Redwood for Purchasing, see the Getting Started with Redwood in Purchasing topic on the SCM Resource Center in Customer Connect. </t>
        </is>
      </c>
      <c r="O530" t="inlineStr">
        <is>
          <t>High</t>
        </is>
      </c>
      <c r="P530" t="inlineStr">
        <is>
          <t>2025-06-20</t>
        </is>
      </c>
      <c r="Q530" t="inlineStr">
        <is>
          <t>Oracle Fusion 26C Readiness — Procurement</t>
        </is>
      </c>
      <c r="R530" t="inlineStr"/>
    </row>
    <row r="531">
      <c r="A531" t="inlineStr">
        <is>
          <t>CHG_IMP_0506</t>
        </is>
      </c>
      <c r="B531" t="inlineStr">
        <is>
          <t>REL_26C</t>
        </is>
      </c>
      <c r="C531" t="inlineStr">
        <is>
          <t>Redwood: Manage B2B Certificates</t>
        </is>
      </c>
      <c r="D531" t="inlineStr">
        <is>
          <t>Redwood: Manage B2B Certificates. Module: Procurement. Release: 26C. You can now use a Redwood page to define, manage, and maintain the digital certificates used to enable encryption and decryption for collaboration messages exchanged with your trading partners using the AS2 protocol via Oracle B2B.
This helps protect sensitive data in transit and meet organizationa</t>
        </is>
      </c>
      <c r="E531" t="inlineStr">
        <is>
          <t>Procurement</t>
        </is>
      </c>
      <c r="F531" t="inlineStr">
        <is>
          <t>Functional</t>
        </is>
      </c>
      <c r="G531" t="inlineStr">
        <is>
          <t>Functional</t>
        </is>
      </c>
      <c r="H531" t="inlineStr"/>
      <c r="I531" t="inlineStr"/>
      <c r="J531" t="inlineStr">
        <is>
          <t>Procurement</t>
        </is>
      </c>
      <c r="K531" t="inlineStr">
        <is>
          <t>N</t>
        </is>
      </c>
      <c r="L531" t="inlineStr">
        <is>
          <t>Y</t>
        </is>
      </c>
      <c r="M531" t="inlineStr">
        <is>
          <t>N</t>
        </is>
      </c>
      <c r="N531" t="inlineStr">
        <is>
          <t>Action type: Steps to Enable. You can access this functionality by enabling the feature **Simplify Configuration and Processing for B2B Messaging**orthe profile option **ORA_CMK_MESSAGING_CERTIFICATES</t>
        </is>
      </c>
      <c r="O531" t="inlineStr">
        <is>
          <t>High</t>
        </is>
      </c>
      <c r="P531" t="inlineStr">
        <is>
          <t>2025-06-20</t>
        </is>
      </c>
      <c r="Q531" t="inlineStr">
        <is>
          <t>Oracle Fusion 26C Readiness — Procurement</t>
        </is>
      </c>
      <c r="R531" t="inlineStr"/>
    </row>
    <row r="532">
      <c r="A532" t="inlineStr">
        <is>
          <t>CHG_IMP_0507</t>
        </is>
      </c>
      <c r="B532" t="inlineStr">
        <is>
          <t>REL_26C</t>
        </is>
      </c>
      <c r="C532" t="inlineStr">
        <is>
          <t>Redwood: Manage Contract Fulfillment Lines</t>
        </is>
      </c>
      <c r="D532" t="inlineStr">
        <is>
          <t>Redwood: Manage Contract Fulfillment Lines. Module: Procurement. Release: 26C. You can now manage contract fulfillment lines in a dedicated Redwoodpage. As a buyer, you can access the Contract Fulfillments page as a quick action from Fusion Home, or from the Purchasing landing page in Redwood.
Fulfillment lines are automatically created when eligible buy-intent contracts are</t>
        </is>
      </c>
      <c r="E532" t="inlineStr">
        <is>
          <t>Procurement</t>
        </is>
      </c>
      <c r="F532" t="inlineStr">
        <is>
          <t>Functional</t>
        </is>
      </c>
      <c r="G532" t="inlineStr">
        <is>
          <t>Functional</t>
        </is>
      </c>
      <c r="H532" t="inlineStr"/>
      <c r="I532" t="inlineStr"/>
      <c r="J532" t="inlineStr">
        <is>
          <t>Procurement</t>
        </is>
      </c>
      <c r="K532" t="inlineStr">
        <is>
          <t>N</t>
        </is>
      </c>
      <c r="L532" t="inlineStr">
        <is>
          <t>Y</t>
        </is>
      </c>
      <c r="M532" t="inlineStr">
        <is>
          <t>N</t>
        </is>
      </c>
      <c r="N532" t="inlineStr">
        <is>
          <t>Action type: Steps to Enable. Enable the Redwood page for contract fulfillments profile option. • To access the new Contract Fulfillmentspage, you must enable the *Redwood Page for Contract Fulfillmen</t>
        </is>
      </c>
      <c r="O532" t="inlineStr">
        <is>
          <t>High</t>
        </is>
      </c>
      <c r="P532" t="inlineStr">
        <is>
          <t>2025-06-20</t>
        </is>
      </c>
      <c r="Q532" t="inlineStr">
        <is>
          <t>Oracle Fusion 26C Readiness — Procurement</t>
        </is>
      </c>
      <c r="R532" t="inlineStr"/>
    </row>
    <row r="533">
      <c r="A533" t="inlineStr">
        <is>
          <t>CHG_IMP_0508</t>
        </is>
      </c>
      <c r="B533" t="inlineStr">
        <is>
          <t>REL_26C</t>
        </is>
      </c>
      <c r="C533" t="inlineStr">
        <is>
          <t>Redwood: Manage Seller Auctions</t>
        </is>
      </c>
      <c r="D533" t="inlineStr">
        <is>
          <t>Redwood: Manage Seller Auctions. Module: Procurement. Release: 26C. Seller auctions help your organization liquidate excess inventory, sell retired assets, or sell other items through a competitive auction process. Unlike reverse auctions, where buyers typically seek the lowest supplier price for goods or services they want to procure, seller auctions use a forward</t>
        </is>
      </c>
      <c r="E533" t="inlineStr">
        <is>
          <t>Procurement</t>
        </is>
      </c>
      <c r="F533" t="inlineStr">
        <is>
          <t>Functional</t>
        </is>
      </c>
      <c r="G533" t="inlineStr">
        <is>
          <t>Functional</t>
        </is>
      </c>
      <c r="H533" t="inlineStr"/>
      <c r="I533" t="inlineStr"/>
      <c r="J533" t="inlineStr">
        <is>
          <t>Procurement</t>
        </is>
      </c>
      <c r="K533" t="inlineStr">
        <is>
          <t>N</t>
        </is>
      </c>
      <c r="L533" t="inlineStr">
        <is>
          <t>Y</t>
        </is>
      </c>
      <c r="M533" t="inlineStr">
        <is>
          <t>N</t>
        </is>
      </c>
      <c r="N533" t="inlineStr">
        <is>
          <t>Action type: Steps to Enable. To use this feature, you must set the following: 1. Opt in to the Sourcing feature **Manage Seller Negotiations.**If this was already opted-in in a prior release, you don</t>
        </is>
      </c>
      <c r="O533" t="inlineStr">
        <is>
          <t>High</t>
        </is>
      </c>
      <c r="P533" t="inlineStr">
        <is>
          <t>2025-06-20</t>
        </is>
      </c>
      <c r="Q533" t="inlineStr">
        <is>
          <t>Oracle Fusion 26C Readiness — Procurement</t>
        </is>
      </c>
      <c r="R533" t="inlineStr"/>
    </row>
    <row r="534">
      <c r="A534" t="inlineStr">
        <is>
          <t>CHG_IMP_0509</t>
        </is>
      </c>
      <c r="B534" t="inlineStr">
        <is>
          <t>REL_26C</t>
        </is>
      </c>
      <c r="C534" t="inlineStr">
        <is>
          <t>Redwood: Manage Supplier Registrations</t>
        </is>
      </c>
      <c r="D534" t="inlineStr">
        <is>
          <t>Redwood: Manage Supplier Registrations. Module: Procurement. Release: 26C. Supplier registration streamlines supplier onboarding and improves completion rates for registrations with minimum support. Monitoring registrations helps supplier administrators identify delays and other issues faster to ensure success in onboarding suppliers. You can now monitor supplier registrat</t>
        </is>
      </c>
      <c r="E534" t="inlineStr">
        <is>
          <t>Procurement</t>
        </is>
      </c>
      <c r="F534" t="inlineStr">
        <is>
          <t>Functional</t>
        </is>
      </c>
      <c r="G534" t="inlineStr">
        <is>
          <t>Functional</t>
        </is>
      </c>
      <c r="H534" t="inlineStr"/>
      <c r="I534" t="inlineStr"/>
      <c r="J534" t="inlineStr">
        <is>
          <t>Procurement</t>
        </is>
      </c>
      <c r="K534" t="inlineStr">
        <is>
          <t>N</t>
        </is>
      </c>
      <c r="L534" t="inlineStr">
        <is>
          <t>Y</t>
        </is>
      </c>
      <c r="M534" t="inlineStr">
        <is>
          <t>N</t>
        </is>
      </c>
      <c r="N534" t="inlineStr">
        <is>
          <t>Action type: Steps to Enable. As a prerequisite, deploy the Redwood external and/or internal registration flows. To use this feature, enable the following profile options. For instructions on enabling</t>
        </is>
      </c>
      <c r="O534" t="inlineStr">
        <is>
          <t>High</t>
        </is>
      </c>
      <c r="P534" t="inlineStr">
        <is>
          <t>2025-06-20</t>
        </is>
      </c>
      <c r="Q534" t="inlineStr">
        <is>
          <t>Oracle Fusion 26C Readiness — Procurement</t>
        </is>
      </c>
      <c r="R534" t="inlineStr"/>
    </row>
    <row r="535">
      <c r="A535" t="inlineStr">
        <is>
          <t>CHG_IMP_0510</t>
        </is>
      </c>
      <c r="B535" t="inlineStr">
        <is>
          <t>REL_26C</t>
        </is>
      </c>
      <c r="C535" t="inlineStr">
        <is>
          <t>Redwood: Mark Collaboration Task as Complete</t>
        </is>
      </c>
      <c r="D535" t="inlineStr">
        <is>
          <t>Redwood: Mark Collaboration Task as Complete. Module: Procurement. Release: 26C. You can now mark collaboration team tasks that are assigned to you as complete. The option to mark your task as complete is available in the View Negotiation, Edit Negotiation, and Monitor Negotiation Redwood pages.
When a collaboration team task is assigned, you can see a message on the View Negot</t>
        </is>
      </c>
      <c r="E535" t="inlineStr">
        <is>
          <t>Procurement</t>
        </is>
      </c>
      <c r="F535" t="inlineStr">
        <is>
          <t>Functional</t>
        </is>
      </c>
      <c r="G535" t="inlineStr">
        <is>
          <t>Functional</t>
        </is>
      </c>
      <c r="H535" t="inlineStr"/>
      <c r="I535" t="inlineStr"/>
      <c r="J535" t="inlineStr">
        <is>
          <t>Procurement</t>
        </is>
      </c>
      <c r="K535" t="inlineStr">
        <is>
          <t>N</t>
        </is>
      </c>
      <c r="L535" t="inlineStr">
        <is>
          <t>Y</t>
        </is>
      </c>
      <c r="M535" t="inlineStr">
        <is>
          <t>N</t>
        </is>
      </c>
      <c r="N535" t="inlineStr">
        <is>
          <t>Action type: Steps to Enable. To use this feature, you must enable these profile options if you haven't already. • Redwood Pages for Sourcing Enabled (ORA_PON_SOURCING_REDWOOD_ENABLED). • Redwood Page</t>
        </is>
      </c>
      <c r="O535" t="inlineStr">
        <is>
          <t>High</t>
        </is>
      </c>
      <c r="P535" t="inlineStr">
        <is>
          <t>2025-06-20</t>
        </is>
      </c>
      <c r="Q535" t="inlineStr">
        <is>
          <t>Oracle Fusion 26C Readiness — Procurement</t>
        </is>
      </c>
      <c r="R535" t="inlineStr"/>
    </row>
    <row r="536">
      <c r="A536" t="inlineStr">
        <is>
          <t>CHG_IMP_0511</t>
        </is>
      </c>
      <c r="B536" t="inlineStr">
        <is>
          <t>REL_26C</t>
        </is>
      </c>
      <c r="C536" t="inlineStr">
        <is>
          <t>Redwood: Migrate B2B Location Codes to Customer B2B properties</t>
        </is>
      </c>
      <c r="D536" t="inlineStr">
        <is>
          <t>Redwood: Migrate B2B Location Codes to Customer B2B properties. Module: Procurement. Release: 26C. You can use a Redwood page to define and maintain location codes used to identify ship-to and bill-to locations when processing order-to-cash messages.
Here are the messages that support this feature:
• Purchase Order - Inbound
• Purchase Order Change - Inbound
• Purchase Order Cancellation – Inbo</t>
        </is>
      </c>
      <c r="E536" t="inlineStr">
        <is>
          <t>Procurement</t>
        </is>
      </c>
      <c r="F536" t="inlineStr">
        <is>
          <t>Functional</t>
        </is>
      </c>
      <c r="G536" t="inlineStr">
        <is>
          <t>Functional</t>
        </is>
      </c>
      <c r="H536" t="inlineStr"/>
      <c r="I536" t="inlineStr"/>
      <c r="J536" t="inlineStr">
        <is>
          <t>Procurement</t>
        </is>
      </c>
      <c r="K536" t="inlineStr">
        <is>
          <t>N</t>
        </is>
      </c>
      <c r="L536" t="inlineStr">
        <is>
          <t>Y</t>
        </is>
      </c>
      <c r="M536" t="inlineStr">
        <is>
          <t>N</t>
        </is>
      </c>
      <c r="N536" t="inlineStr">
        <is>
          <t>Action type: Steps to Enable. You can access this functionality by enabling the feature **Simplify Configuration and Processing for B2B Messaging**. 1. Perform the following standard steps to s</t>
        </is>
      </c>
      <c r="O536" t="inlineStr">
        <is>
          <t>High</t>
        </is>
      </c>
      <c r="P536" t="inlineStr">
        <is>
          <t>2025-06-20</t>
        </is>
      </c>
      <c r="Q536" t="inlineStr">
        <is>
          <t>Oracle Fusion 26C Readiness — Procurement</t>
        </is>
      </c>
      <c r="R536" t="inlineStr"/>
    </row>
    <row r="537">
      <c r="A537" t="inlineStr">
        <is>
          <t>CHG_IMP_0512</t>
        </is>
      </c>
      <c r="B537" t="inlineStr">
        <is>
          <t>REL_26C</t>
        </is>
      </c>
      <c r="C537" t="inlineStr">
        <is>
          <t>Redwood: Qualify Suppliers After Spend Authorized Registration Approval</t>
        </is>
      </c>
      <c r="D537" t="inlineStr">
        <is>
          <t>Redwood: Qualify Suppliers After Spend Authorized Registration Approval. Module: Procurement. Release: 26C. When registering suppliers as spend authorized, you can gather questionnaire responses that are used to evaluate qualifications in Supplier Qualification Management. You can also automatically create qualifications after the registration request is approved, allowing qualification reviews to</t>
        </is>
      </c>
      <c r="E537" t="inlineStr">
        <is>
          <t>Procurement</t>
        </is>
      </c>
      <c r="F537" t="inlineStr">
        <is>
          <t>Functional</t>
        </is>
      </c>
      <c r="G537" t="inlineStr">
        <is>
          <t>Functional</t>
        </is>
      </c>
      <c r="H537" t="inlineStr"/>
      <c r="I537" t="inlineStr"/>
      <c r="J537" t="inlineStr">
        <is>
          <t>Procurement</t>
        </is>
      </c>
      <c r="K537" t="inlineStr">
        <is>
          <t>N</t>
        </is>
      </c>
      <c r="L537" t="inlineStr">
        <is>
          <t>Y</t>
        </is>
      </c>
      <c r="M537" t="inlineStr">
        <is>
          <t>N</t>
        </is>
      </c>
      <c r="N537" t="inlineStr">
        <is>
          <t>Action type: Steps to Enable. Use the Opt In UI to enable this feature. For instructions, refer to the Optional Uptake of New Features section of this document. Offering: *Procurement</t>
        </is>
      </c>
      <c r="O537" t="inlineStr">
        <is>
          <t>High</t>
        </is>
      </c>
      <c r="P537" t="inlineStr">
        <is>
          <t>2025-06-20</t>
        </is>
      </c>
      <c r="Q537" t="inlineStr">
        <is>
          <t>Oracle Fusion 26C Readiness — Procurement</t>
        </is>
      </c>
      <c r="R537" t="inlineStr"/>
    </row>
    <row r="538">
      <c r="A538" t="inlineStr">
        <is>
          <t>CHG_IMP_0513</t>
        </is>
      </c>
      <c r="B538" t="inlineStr">
        <is>
          <t>REL_26C</t>
        </is>
      </c>
      <c r="C538" t="inlineStr">
        <is>
          <t>Redwood: Research and Add Suppliers in Draft Negotiations</t>
        </is>
      </c>
      <c r="D538" t="inlineStr">
        <is>
          <t>Redwood: Research and Add Suppliers in Draft Negotiations. Module: Procurement. Release: 26C. Use a natural language search backed by AI to find and invite suppliers when creating a negotiation. This feature enables category managers to identify and invite suppliers directly within the negotiation flow. From the Suppliers step, open the **Research and Add Suppliers** page, search using natur</t>
        </is>
      </c>
      <c r="E538" t="inlineStr">
        <is>
          <t>Procurement</t>
        </is>
      </c>
      <c r="F538" t="inlineStr">
        <is>
          <t>Functional</t>
        </is>
      </c>
      <c r="G538" t="inlineStr">
        <is>
          <t>Functional</t>
        </is>
      </c>
      <c r="H538" t="inlineStr"/>
      <c r="I538" t="inlineStr"/>
      <c r="J538" t="inlineStr">
        <is>
          <t>Procurement</t>
        </is>
      </c>
      <c r="K538" t="inlineStr">
        <is>
          <t>N</t>
        </is>
      </c>
      <c r="L538" t="inlineStr">
        <is>
          <t>Y</t>
        </is>
      </c>
      <c r="M538" t="inlineStr">
        <is>
          <t>N</t>
        </is>
      </c>
      <c r="N538" t="inlineStr">
        <is>
          <t>Action type: Steps to Enable. To use this feature, you must enable and configure the **Update** **26B feature,****AI Agent: Research Suppliers with AI,**if you haven't already**.** For detailed ins</t>
        </is>
      </c>
      <c r="O538" t="inlineStr">
        <is>
          <t>High</t>
        </is>
      </c>
      <c r="P538" t="inlineStr">
        <is>
          <t>2025-06-20</t>
        </is>
      </c>
      <c r="Q538" t="inlineStr">
        <is>
          <t>Oracle Fusion 26C Readiness — Procurement</t>
        </is>
      </c>
      <c r="R538" t="inlineStr"/>
    </row>
    <row r="539">
      <c r="A539" t="inlineStr">
        <is>
          <t>CHG_IMP_0514</t>
        </is>
      </c>
      <c r="B539" t="inlineStr">
        <is>
          <t>REL_26C</t>
        </is>
      </c>
      <c r="C539" t="inlineStr">
        <is>
          <t>Redwood: Respond to Seller Auctions in Supplier Portal</t>
        </is>
      </c>
      <c r="D539" t="inlineStr">
        <is>
          <t>Redwood: Respond to Seller Auctions in Supplier Portal. Module: Procurement. Release: 26C. Supplier bidders use seller auctions to compete for items that the buying organization wants to sell, such as excess inventory or retired assets. Unlike reverse negotiations, where suppliers compete to offer lower prices, seller auctions use a forward auction model where bidders increase their bid a</t>
        </is>
      </c>
      <c r="E539" t="inlineStr">
        <is>
          <t>Procurement</t>
        </is>
      </c>
      <c r="F539" t="inlineStr">
        <is>
          <t>Functional</t>
        </is>
      </c>
      <c r="G539" t="inlineStr">
        <is>
          <t>Functional</t>
        </is>
      </c>
      <c r="H539" t="inlineStr"/>
      <c r="I539" t="inlineStr"/>
      <c r="J539" t="inlineStr">
        <is>
          <t>Procurement</t>
        </is>
      </c>
      <c r="K539" t="inlineStr">
        <is>
          <t>N</t>
        </is>
      </c>
      <c r="L539" t="inlineStr">
        <is>
          <t>Y</t>
        </is>
      </c>
      <c r="M539" t="inlineStr">
        <is>
          <t>N</t>
        </is>
      </c>
      <c r="N539" t="inlineStr">
        <is>
          <t>Action type: Steps to Enable. To use this feature, you must set the following: 1. Opt in to the Sourcing feature **Manage Seller Negotiations**(if not already opted-in). 2. Opt in to the Procurement f</t>
        </is>
      </c>
      <c r="O539" t="inlineStr">
        <is>
          <t>High</t>
        </is>
      </c>
      <c r="P539" t="inlineStr">
        <is>
          <t>2025-06-20</t>
        </is>
      </c>
      <c r="Q539" t="inlineStr">
        <is>
          <t>Oracle Fusion 26C Readiness — Procurement</t>
        </is>
      </c>
      <c r="R539" t="inlineStr"/>
    </row>
    <row r="540">
      <c r="A540" t="inlineStr">
        <is>
          <t>CHG_IMP_0515</t>
        </is>
      </c>
      <c r="B540" t="inlineStr">
        <is>
          <t>REL_26C</t>
        </is>
      </c>
      <c r="C540" t="inlineStr">
        <is>
          <t>Redwood: Restrict Supplier Line Access</t>
        </is>
      </c>
      <c r="D540" t="inlineStr">
        <is>
          <t>Redwood: Restrict Supplier Line Access. Module: Procurement. Release: 26C. Control the access for suppliers to view and respond to specific lines in a negotiation. When creating a negotiation, category managers can restrict supplier access to specific negotiation lines so suppliers only view and respond to the lines relevant to them.
Here are some key enhancements in the</t>
        </is>
      </c>
      <c r="E540" t="inlineStr">
        <is>
          <t>Procurement</t>
        </is>
      </c>
      <c r="F540" t="inlineStr">
        <is>
          <t>Functional</t>
        </is>
      </c>
      <c r="G540" t="inlineStr">
        <is>
          <t>Functional</t>
        </is>
      </c>
      <c r="H540" t="inlineStr"/>
      <c r="I540" t="inlineStr"/>
      <c r="J540" t="inlineStr">
        <is>
          <t>Procurement</t>
        </is>
      </c>
      <c r="K540" t="inlineStr">
        <is>
          <t>N</t>
        </is>
      </c>
      <c r="L540" t="inlineStr">
        <is>
          <t>Y</t>
        </is>
      </c>
      <c r="M540" t="inlineStr">
        <is>
          <t>N</t>
        </is>
      </c>
      <c r="N540" t="inlineStr">
        <is>
          <t>Action type: Steps to Enable. To use this feature, you must enable these profile options if you haven't already. • Redwood Pages for Sourcing Enabled (ORA_PON_SOURCING_REDWOOD_ENABLED). • Redwood Page</t>
        </is>
      </c>
      <c r="O540" t="inlineStr">
        <is>
          <t>High</t>
        </is>
      </c>
      <c r="P540" t="inlineStr">
        <is>
          <t>2025-06-20</t>
        </is>
      </c>
      <c r="Q540" t="inlineStr">
        <is>
          <t>Oracle Fusion 26C Readiness — Procurement</t>
        </is>
      </c>
      <c r="R540" t="inlineStr"/>
    </row>
    <row r="541">
      <c r="A541" t="inlineStr">
        <is>
          <t>CHG_IMP_0516</t>
        </is>
      </c>
      <c r="B541" t="inlineStr">
        <is>
          <t>REL_26C</t>
        </is>
      </c>
      <c r="C541" t="inlineStr">
        <is>
          <t>Redwood: Review B2B Account Number on Purchasing Documents</t>
        </is>
      </c>
      <c r="D541" t="inlineStr">
        <is>
          <t>Redwood: Review B2B Account Number on Purchasing Documents. Module: Procurement. Release: 26C. Review the B2B account number associated with a supplier on purchasing documents using Redwood purchasing pages.
Use the supplier information drawer to review the B2B account number when viewing a purchasing document.
These screenshots illustrate the feature.
B2B Account Number on Supplier Inform</t>
        </is>
      </c>
      <c r="E541" t="inlineStr">
        <is>
          <t>Procurement</t>
        </is>
      </c>
      <c r="F541" t="inlineStr">
        <is>
          <t>Functional</t>
        </is>
      </c>
      <c r="G541" t="inlineStr">
        <is>
          <t>Functional</t>
        </is>
      </c>
      <c r="H541" t="inlineStr"/>
      <c r="I541" t="inlineStr"/>
      <c r="J541" t="inlineStr">
        <is>
          <t>Procurement</t>
        </is>
      </c>
      <c r="K541" t="inlineStr">
        <is>
          <t>N</t>
        </is>
      </c>
      <c r="L541" t="inlineStr">
        <is>
          <t>Y</t>
        </is>
      </c>
      <c r="M541" t="inlineStr">
        <is>
          <t>N</t>
        </is>
      </c>
      <c r="N541" t="inlineStr">
        <is>
          <t>Action type: Steps to Enable. If you haven't enabled Redwood for Purchasing, see the Getting Started with Redwood in Purchasing topic on the SCM Resource Center in Customer Connect.</t>
        </is>
      </c>
      <c r="O541" t="inlineStr">
        <is>
          <t>High</t>
        </is>
      </c>
      <c r="P541" t="inlineStr">
        <is>
          <t>2025-06-20</t>
        </is>
      </c>
      <c r="Q541" t="inlineStr">
        <is>
          <t>Oracle Fusion 26C Readiness — Procurement</t>
        </is>
      </c>
      <c r="R541" t="inlineStr"/>
    </row>
    <row r="542">
      <c r="A542" t="inlineStr">
        <is>
          <t>CHG_IMP_0517</t>
        </is>
      </c>
      <c r="B542" t="inlineStr">
        <is>
          <t>REL_26C</t>
        </is>
      </c>
      <c r="C542" t="inlineStr">
        <is>
          <t>Redwood: Set Up Buyer Assignment Rules and Approved Supplier List Statuses</t>
        </is>
      </c>
      <c r="D542" t="inlineStr">
        <is>
          <t>Redwood: Set Up Buyer Assignment Rules and Approved Supplier List Statuses. Module: Procurement. Release: 26C. Use Redwood pages to manage buyer assignment rules and approved supplier list statuses in Oracle Fusion Cloud Procurement.
On the Buyer Assignment Rules page, as a procurement administrator, you can create, update, view, delete, and test buyer assignment rules that automatically route re</t>
        </is>
      </c>
      <c r="E542" t="inlineStr">
        <is>
          <t>Procurement</t>
        </is>
      </c>
      <c r="F542" t="inlineStr">
        <is>
          <t>Functional</t>
        </is>
      </c>
      <c r="G542" t="inlineStr">
        <is>
          <t>Functional</t>
        </is>
      </c>
      <c r="H542" t="inlineStr"/>
      <c r="I542" t="inlineStr"/>
      <c r="J542" t="inlineStr">
        <is>
          <t>Procurement</t>
        </is>
      </c>
      <c r="K542" t="inlineStr">
        <is>
          <t>N</t>
        </is>
      </c>
      <c r="L542" t="inlineStr">
        <is>
          <t>Y</t>
        </is>
      </c>
      <c r="M542" t="inlineStr">
        <is>
          <t>N</t>
        </is>
      </c>
      <c r="N542" t="inlineStr">
        <is>
          <t>Action type: Steps to Enable. Use the Opt In UI to enable this feature. For instructions, refer to the Optional Uptake of New Features section of this document. Offering: *Procurem</t>
        </is>
      </c>
      <c r="O542" t="inlineStr">
        <is>
          <t>High</t>
        </is>
      </c>
      <c r="P542" t="inlineStr">
        <is>
          <t>2025-06-20</t>
        </is>
      </c>
      <c r="Q542" t="inlineStr">
        <is>
          <t>Oracle Fusion 26C Readiness — Procurement</t>
        </is>
      </c>
      <c r="R542" t="inlineStr"/>
    </row>
    <row r="543">
      <c r="A543" t="inlineStr">
        <is>
          <t>CHG_IMP_0518</t>
        </is>
      </c>
      <c r="B543" t="inlineStr">
        <is>
          <t>REL_26C</t>
        </is>
      </c>
      <c r="C543" t="inlineStr">
        <is>
          <t>Redwood: Show Latest Item and Category Descriptions on Blanket Purchase Agreement Lines</t>
        </is>
      </c>
      <c r="D543" t="inlineStr">
        <is>
          <t>Redwood: Show Latest Item and Category Descriptions on Blanket Purchase Agreement Lines. Module: Procurement. Release: 26C. Show the latest item category and item description from the item master on blanket purchase agreement lines in the user’s session language.
With this update, you can view two new attributes, item category and item description, on the blanket purchase agreement lines that dis</t>
        </is>
      </c>
      <c r="E543" t="inlineStr">
        <is>
          <t>Procurement</t>
        </is>
      </c>
      <c r="F543" t="inlineStr">
        <is>
          <t>Functional</t>
        </is>
      </c>
      <c r="G543" t="inlineStr">
        <is>
          <t>Functional</t>
        </is>
      </c>
      <c r="H543" t="inlineStr"/>
      <c r="I543" t="inlineStr"/>
      <c r="J543" t="inlineStr">
        <is>
          <t>Procurement</t>
        </is>
      </c>
      <c r="K543" t="inlineStr">
        <is>
          <t>N</t>
        </is>
      </c>
      <c r="L543" t="inlineStr">
        <is>
          <t>Y</t>
        </is>
      </c>
      <c r="M543" t="inlineStr">
        <is>
          <t>N</t>
        </is>
      </c>
      <c r="N543" t="inlineStr">
        <is>
          <t>Action type: Steps to Enable. • These new attributes are always hidden on blanket purchase agreement lines. You must make these attributes visible on the blanket purch</t>
        </is>
      </c>
      <c r="O543" t="inlineStr">
        <is>
          <t>High</t>
        </is>
      </c>
      <c r="P543" t="inlineStr">
        <is>
          <t>2025-06-20</t>
        </is>
      </c>
      <c r="Q543" t="inlineStr">
        <is>
          <t>Oracle Fusion 26C Readiness — Procurement</t>
        </is>
      </c>
      <c r="R543" t="inlineStr"/>
    </row>
    <row r="544">
      <c r="A544" t="inlineStr">
        <is>
          <t>CHG_IMP_0519</t>
        </is>
      </c>
      <c r="B544" t="inlineStr">
        <is>
          <t>REL_26C</t>
        </is>
      </c>
      <c r="C544" t="inlineStr">
        <is>
          <t>Redwood: Suggest Alternate Suppliers in Staged Documents Using AI</t>
        </is>
      </c>
      <c r="D544" t="inlineStr">
        <is>
          <t>Redwood: Suggest Alternate Suppliers in Staged Documents Using AI. Module: Procurement. Release: 26C. Use AI to suggest alternate suppliers from historical transactions when processing requisition lines into a purchase order using the Redwood experience. These suggestions are derived from past transactions such as purchase orders, purchase agreements, negotiation awards, responses, and invitations</t>
        </is>
      </c>
      <c r="E544" t="inlineStr">
        <is>
          <t>Procurement</t>
        </is>
      </c>
      <c r="F544" t="inlineStr">
        <is>
          <t>Functional</t>
        </is>
      </c>
      <c r="G544" t="inlineStr">
        <is>
          <t>Functional</t>
        </is>
      </c>
      <c r="H544" t="inlineStr"/>
      <c r="I544" t="inlineStr"/>
      <c r="J544" t="inlineStr">
        <is>
          <t>Procurement</t>
        </is>
      </c>
      <c r="K544" t="inlineStr">
        <is>
          <t>N</t>
        </is>
      </c>
      <c r="L544" t="inlineStr">
        <is>
          <t>Y</t>
        </is>
      </c>
      <c r="M544" t="inlineStr">
        <is>
          <t>N</t>
        </is>
      </c>
      <c r="N544" t="inlineStr">
        <is>
          <t>Action type: Steps to Enable. Use the Opt In UI to enable this feature. For instructions, refer to the Optional Uptake of New Features section of this document. Offering: *Procurement* • If</t>
        </is>
      </c>
      <c r="O544" t="inlineStr">
        <is>
          <t>High</t>
        </is>
      </c>
      <c r="P544" t="inlineStr">
        <is>
          <t>2025-06-20</t>
        </is>
      </c>
      <c r="Q544" t="inlineStr">
        <is>
          <t>Oracle Fusion 26C Readiness — Procurement</t>
        </is>
      </c>
      <c r="R544" t="inlineStr"/>
    </row>
    <row r="545">
      <c r="A545" t="inlineStr">
        <is>
          <t>CHG_IMP_0520</t>
        </is>
      </c>
      <c r="B545" t="inlineStr">
        <is>
          <t>REL_26C</t>
        </is>
      </c>
      <c r="C545" t="inlineStr">
        <is>
          <t>Redwood: Use Extensibility Capabilities to Default Document Styles When Creating Purchasing Documents</t>
        </is>
      </c>
      <c r="D545" t="inlineStr">
        <is>
          <t>Redwood: Use Extensibility Capabilities to Default Document Styles When Creating Purchasing Documents. Module: Procurement. Release: 26C. Use extensibility capabilities to set a default document style when creating purchasing documents using the Redwood experience. You can now define a default document style for the New purchase order and New agreement drawers, as well as for staged documents. For</t>
        </is>
      </c>
      <c r="E545" t="inlineStr">
        <is>
          <t>Procurement</t>
        </is>
      </c>
      <c r="F545" t="inlineStr">
        <is>
          <t>Functional</t>
        </is>
      </c>
      <c r="G545" t="inlineStr">
        <is>
          <t>Functional</t>
        </is>
      </c>
      <c r="H545" t="inlineStr"/>
      <c r="I545" t="inlineStr"/>
      <c r="J545" t="inlineStr">
        <is>
          <t>Procurement</t>
        </is>
      </c>
      <c r="K545" t="inlineStr">
        <is>
          <t>N</t>
        </is>
      </c>
      <c r="L545" t="inlineStr">
        <is>
          <t>Y</t>
        </is>
      </c>
      <c r="M545" t="inlineStr">
        <is>
          <t>N</t>
        </is>
      </c>
      <c r="N545" t="inlineStr">
        <is>
          <t>Action type: Steps to Enable. • If you haven't enabled Redwood for Purchasing, see the Getting Started with Redwood in Purchasing topic on the SCM Resour</t>
        </is>
      </c>
      <c r="O545" t="inlineStr">
        <is>
          <t>High</t>
        </is>
      </c>
      <c r="P545" t="inlineStr">
        <is>
          <t>2025-06-20</t>
        </is>
      </c>
      <c r="Q545" t="inlineStr">
        <is>
          <t>Oracle Fusion 26C Readiness — Procurement</t>
        </is>
      </c>
      <c r="R545" t="inlineStr"/>
    </row>
    <row r="546">
      <c r="A546" t="inlineStr">
        <is>
          <t>CHG_IMP_0521</t>
        </is>
      </c>
      <c r="B546" t="inlineStr">
        <is>
          <t>REL_26C</t>
        </is>
      </c>
      <c r="C546" t="inlineStr">
        <is>
          <t>Redwood: Use Negotiations Calendar</t>
        </is>
      </c>
      <c r="D546" t="inlineStr">
        <is>
          <t>Redwood: Use Negotiations Calendar. Module: Procurement. Release: 26C. In this update, you can use the negotiations calendar in the Redwood experience. The calendar provides a consolidated, time-based view of key negotiation milestones and task deadlines across negotiations that you own, collaborate on, or have access to within your procurement business units.
Access</t>
        </is>
      </c>
      <c r="E546" t="inlineStr">
        <is>
          <t>Procurement</t>
        </is>
      </c>
      <c r="F546" t="inlineStr">
        <is>
          <t>Functional</t>
        </is>
      </c>
      <c r="G546" t="inlineStr">
        <is>
          <t>Functional</t>
        </is>
      </c>
      <c r="H546" t="inlineStr"/>
      <c r="I546" t="inlineStr"/>
      <c r="J546" t="inlineStr">
        <is>
          <t>Procurement</t>
        </is>
      </c>
      <c r="K546" t="inlineStr">
        <is>
          <t>N</t>
        </is>
      </c>
      <c r="L546" t="inlineStr">
        <is>
          <t>Y</t>
        </is>
      </c>
      <c r="M546" t="inlineStr">
        <is>
          <t>N</t>
        </is>
      </c>
      <c r="N546" t="inlineStr">
        <is>
          <t>Action type: Steps to Enable. To access this feature, you must enable the following profile options if you haven't already. • Redwood Pages for Sourcing Enabled (ORA_PON_SOURCING_REDWOOD_ENABLED). For</t>
        </is>
      </c>
      <c r="O546" t="inlineStr">
        <is>
          <t>High</t>
        </is>
      </c>
      <c r="P546" t="inlineStr">
        <is>
          <t>2025-06-20</t>
        </is>
      </c>
      <c r="Q546" t="inlineStr">
        <is>
          <t>Oracle Fusion 26C Readiness — Procurement</t>
        </is>
      </c>
      <c r="R546" t="inlineStr"/>
    </row>
    <row r="547">
      <c r="A547" t="inlineStr">
        <is>
          <t>CHG_IMP_0522</t>
        </is>
      </c>
      <c r="B547" t="inlineStr">
        <is>
          <t>REL_26C</t>
        </is>
      </c>
      <c r="C547" t="inlineStr">
        <is>
          <t>Redwood: Use Products and Services Categories for AI Supplier Suggestions</t>
        </is>
      </c>
      <c r="D547" t="inlineStr">
        <is>
          <t xml:space="preserve">Redwood: Use Products and Services Categories for AI Supplier Suggestions. Module: Procurement. Release: 26C. Invite AI-suggested suppliers to negotiations. The suggestions now include suppliers matched with products and services categories in their supplier profile. Update 25D introduced the ability to use AI Assist to generate supplier suggestions from past transactions such as purchase orders, </t>
        </is>
      </c>
      <c r="E547" t="inlineStr">
        <is>
          <t>Procurement</t>
        </is>
      </c>
      <c r="F547" t="inlineStr">
        <is>
          <t>Functional</t>
        </is>
      </c>
      <c r="G547" t="inlineStr">
        <is>
          <t>Functional</t>
        </is>
      </c>
      <c r="H547" t="inlineStr"/>
      <c r="I547" t="inlineStr"/>
      <c r="J547" t="inlineStr">
        <is>
          <t>Procurement</t>
        </is>
      </c>
      <c r="K547" t="inlineStr">
        <is>
          <t>N</t>
        </is>
      </c>
      <c r="L547" t="inlineStr">
        <is>
          <t>Y</t>
        </is>
      </c>
      <c r="M547" t="inlineStr">
        <is>
          <t>N</t>
        </is>
      </c>
      <c r="N547" t="inlineStr">
        <is>
          <t>Action type: Steps to Enable. Use the Opt In UI to enable this feature. For instructions, refer to the Optional Uptake of New Features section of this document. Offering: *Procureme</t>
        </is>
      </c>
      <c r="O547" t="inlineStr">
        <is>
          <t>High</t>
        </is>
      </c>
      <c r="P547" t="inlineStr">
        <is>
          <t>2025-06-20</t>
        </is>
      </c>
      <c r="Q547" t="inlineStr">
        <is>
          <t>Oracle Fusion 26C Readiness — Procurement</t>
        </is>
      </c>
      <c r="R547" t="inlineStr"/>
    </row>
    <row r="548">
      <c r="A548" t="inlineStr">
        <is>
          <t>CHG_IMP_0523</t>
        </is>
      </c>
      <c r="B548" t="inlineStr">
        <is>
          <t>REL_26C</t>
        </is>
      </c>
      <c r="C548" t="inlineStr">
        <is>
          <t>Redwood: Validate Taxpayer ID in Supplier Registration with TINCheck by Sovos</t>
        </is>
      </c>
      <c r="D548" t="inlineStr">
        <is>
          <t>Redwood: Validate Taxpayer ID in Supplier Registration with TINCheck by Sovos. Module: Procurement. Release: 26C. Accurate taxpayer IDs are critical to successful procurement operations. Fraudulent taxpayer IDs can lead to payment fraud with monetary losses and increased costs to correct, track, and attempt funds recovery. Even legitimate suppliers that incorrectly enter taxpayer ID information ca</t>
        </is>
      </c>
      <c r="E548" t="inlineStr">
        <is>
          <t>Procurement</t>
        </is>
      </c>
      <c r="F548" t="inlineStr">
        <is>
          <t>Functional</t>
        </is>
      </c>
      <c r="G548" t="inlineStr">
        <is>
          <t>Functional</t>
        </is>
      </c>
      <c r="H548" t="inlineStr"/>
      <c r="I548" t="inlineStr"/>
      <c r="J548" t="inlineStr">
        <is>
          <t>Procurement</t>
        </is>
      </c>
      <c r="K548" t="inlineStr">
        <is>
          <t>N</t>
        </is>
      </c>
      <c r="L548" t="inlineStr">
        <is>
          <t>Y</t>
        </is>
      </c>
      <c r="M548" t="inlineStr">
        <is>
          <t>N</t>
        </is>
      </c>
      <c r="N548" t="inlineStr">
        <is>
          <t>Action type: Steps to Enable. This feature is available through a paid subscription with Sovos for the TINCheck API. **Subscription to Sovos TINCheck API** • If you already have</t>
        </is>
      </c>
      <c r="O548" t="inlineStr">
        <is>
          <t>High</t>
        </is>
      </c>
      <c r="P548" t="inlineStr">
        <is>
          <t>2025-06-20</t>
        </is>
      </c>
      <c r="Q548" t="inlineStr">
        <is>
          <t>Oracle Fusion 26C Readiness — Procurement</t>
        </is>
      </c>
      <c r="R548" t="inlineStr"/>
    </row>
    <row r="549">
      <c r="A549" t="inlineStr">
        <is>
          <t>CHG_IMP_0524</t>
        </is>
      </c>
      <c r="B549" t="inlineStr">
        <is>
          <t>REL_26C</t>
        </is>
      </c>
      <c r="C549" t="inlineStr">
        <is>
          <t>Redwood: View Additional Information About Location and Supplier</t>
        </is>
      </c>
      <c r="D549" t="inlineStr">
        <is>
          <t>Redwood: View Additional Information About Location and Supplier. Module: Procurement. Release: 26C. View additional information about supplier, ship-to location, bill-to location, and deliver-to location when viewing purchase orders and purchase agreements using a Redwood page.
These screenshots illustrate the feature.
Supplier Information Drawer on the View Agreement Page
Bill-to Location Det</t>
        </is>
      </c>
      <c r="E549" t="inlineStr">
        <is>
          <t>Procurement</t>
        </is>
      </c>
      <c r="F549" t="inlineStr">
        <is>
          <t>Functional</t>
        </is>
      </c>
      <c r="G549" t="inlineStr">
        <is>
          <t>Functional</t>
        </is>
      </c>
      <c r="H549" t="inlineStr"/>
      <c r="I549" t="inlineStr"/>
      <c r="J549" t="inlineStr">
        <is>
          <t>Procurement</t>
        </is>
      </c>
      <c r="K549" t="inlineStr">
        <is>
          <t>N</t>
        </is>
      </c>
      <c r="L549" t="inlineStr">
        <is>
          <t>Y</t>
        </is>
      </c>
      <c r="M549" t="inlineStr">
        <is>
          <t>N</t>
        </is>
      </c>
      <c r="N549" t="inlineStr">
        <is>
          <t>Action type: Steps to Enable. If you haven't enabled Redwood for Purchasing, see the Getting Started with Redwood in Purchasing topic on the SCM Resource Center in Customer Connect.</t>
        </is>
      </c>
      <c r="O549" t="inlineStr">
        <is>
          <t>High</t>
        </is>
      </c>
      <c r="P549" t="inlineStr">
        <is>
          <t>2025-06-20</t>
        </is>
      </c>
      <c r="Q549" t="inlineStr">
        <is>
          <t>Oracle Fusion 26C Readiness — Procurement</t>
        </is>
      </c>
      <c r="R549" t="inlineStr"/>
    </row>
    <row r="550">
      <c r="A550" t="inlineStr">
        <is>
          <t>CHG_IMP_0525</t>
        </is>
      </c>
      <c r="B550" t="inlineStr">
        <is>
          <t>REL_26C</t>
        </is>
      </c>
      <c r="C550" t="inlineStr">
        <is>
          <t>Redwood: View Competing Supplier Responses in Supplier Portal</t>
        </is>
      </c>
      <c r="D550" t="inlineStr">
        <is>
          <t>Redwood: View Competing Supplier Responses in Supplier Portal. Module: Procurement. Release: 26C. Suppliers can now view all competing supplier responses in open and unsealed negotiations on a single page. Supplier users can access the **All** **Responses** page from negotiation details, response monitoring, or response details pages to review competing supplier responses.
 They can view all r Op</t>
        </is>
      </c>
      <c r="E550" t="inlineStr">
        <is>
          <t>Procurement</t>
        </is>
      </c>
      <c r="F550" t="inlineStr">
        <is>
          <t>Functional</t>
        </is>
      </c>
      <c r="G550" t="inlineStr">
        <is>
          <t>Functional</t>
        </is>
      </c>
      <c r="H550" t="inlineStr"/>
      <c r="I550" t="inlineStr"/>
      <c r="J550" t="inlineStr">
        <is>
          <t>Procurement</t>
        </is>
      </c>
      <c r="K550" t="inlineStr">
        <is>
          <t>N</t>
        </is>
      </c>
      <c r="L550" t="inlineStr">
        <is>
          <t>Y</t>
        </is>
      </c>
      <c r="M550" t="inlineStr">
        <is>
          <t>N</t>
        </is>
      </c>
      <c r="N550" t="inlineStr">
        <is>
          <t>Action type: Steps to Enable. Use the Opt In UI to enable this feature. For instructions, refer to the Optional Uptake of New Features section of this document. Offering: *Procurement* To use t</t>
        </is>
      </c>
      <c r="O550" t="inlineStr">
        <is>
          <t>High</t>
        </is>
      </c>
      <c r="P550" t="inlineStr">
        <is>
          <t>2025-06-20</t>
        </is>
      </c>
      <c r="Q550" t="inlineStr">
        <is>
          <t>Oracle Fusion 26C Readiness — Procurement</t>
        </is>
      </c>
      <c r="R550" t="inlineStr"/>
    </row>
    <row r="551">
      <c r="A551" t="inlineStr">
        <is>
          <t>CHG_IMP_0526</t>
        </is>
      </c>
      <c r="B551" t="inlineStr">
        <is>
          <t>REL_26C</t>
        </is>
      </c>
      <c r="C551" t="inlineStr">
        <is>
          <t>Report Sales Order Import Errors</t>
        </is>
      </c>
      <c r="D551" t="inlineStr">
        <is>
          <t>Report Sales Order Import Errors. Module: Procurement. Release: 26C. You can now view Oracle Order Management failure or error notifications for inbound PO messages submitted via Collaboration Messaging (Purchase Order, Purchase Order Change, and Purchase Order Cancellation). These notifications are generated after the Import Sales Orders scheduled process runs, so t</t>
        </is>
      </c>
      <c r="E551" t="inlineStr">
        <is>
          <t>Procurement</t>
        </is>
      </c>
      <c r="F551" t="inlineStr">
        <is>
          <t>Functional</t>
        </is>
      </c>
      <c r="G551" t="inlineStr">
        <is>
          <t>Functional</t>
        </is>
      </c>
      <c r="H551" t="inlineStr"/>
      <c r="I551" t="inlineStr"/>
      <c r="J551" t="inlineStr">
        <is>
          <t>Procurement</t>
        </is>
      </c>
      <c r="K551" t="inlineStr">
        <is>
          <t>N</t>
        </is>
      </c>
      <c r="L551" t="inlineStr">
        <is>
          <t>Y</t>
        </is>
      </c>
      <c r="M551" t="inlineStr">
        <is>
          <t>N</t>
        </is>
      </c>
      <c r="N551" t="inlineStr">
        <is>
          <t xml:space="preserve">Action type: Steps to Enable. 1. Perform the following high-level tasks to set up your documents: • Define your providers. • Create connections. • Assign properties to your inbound order documents. • </t>
        </is>
      </c>
      <c r="O551" t="inlineStr">
        <is>
          <t>High</t>
        </is>
      </c>
      <c r="P551" t="inlineStr">
        <is>
          <t>2025-06-20</t>
        </is>
      </c>
      <c r="Q551" t="inlineStr">
        <is>
          <t>Oracle Fusion 26C Readiness — Procurement</t>
        </is>
      </c>
      <c r="R551" t="inlineStr"/>
    </row>
    <row r="552">
      <c r="A552" t="inlineStr">
        <is>
          <t>CHG_IMP_0527</t>
        </is>
      </c>
      <c r="B552" t="inlineStr">
        <is>
          <t>REL_26C</t>
        </is>
      </c>
      <c r="C552" t="inlineStr">
        <is>
          <t>Restrict Deliver-To Locations to Valid Delivery Sites When Creating Requisitions and Purchase Orders</t>
        </is>
      </c>
      <c r="D552" t="inlineStr">
        <is>
          <t xml:space="preserve">Restrict Deliver-To Locations to Valid Delivery Sites When Creating Requisitions and Purchase Orders. Module: Procurement. Release: 26C. Exclude nondelivery sites as deliver-to locations when creating requisitions and purchase orders. Before this update, sites identified as billing or shipping were also available for selection, even though they may not be valid locations for creating requisitions </t>
        </is>
      </c>
      <c r="E552" t="inlineStr">
        <is>
          <t>Procurement</t>
        </is>
      </c>
      <c r="F552" t="inlineStr">
        <is>
          <t>Functional</t>
        </is>
      </c>
      <c r="G552" t="inlineStr">
        <is>
          <t>Functional</t>
        </is>
      </c>
      <c r="H552" t="inlineStr"/>
      <c r="I552" t="inlineStr"/>
      <c r="J552" t="inlineStr">
        <is>
          <t>Procurement</t>
        </is>
      </c>
      <c r="K552" t="inlineStr">
        <is>
          <t>N</t>
        </is>
      </c>
      <c r="L552" t="inlineStr">
        <is>
          <t>Y</t>
        </is>
      </c>
      <c r="M552" t="inlineStr">
        <is>
          <t>N</t>
        </is>
      </c>
      <c r="N552" t="inlineStr">
        <is>
          <t>Action type: Steps to Enable. Use the Opt In UI to enable this feature. For instructions, refer to the Optional Uptake of New Features section of this doc</t>
        </is>
      </c>
      <c r="O552" t="inlineStr">
        <is>
          <t>High</t>
        </is>
      </c>
      <c r="P552" t="inlineStr">
        <is>
          <t>2025-06-20</t>
        </is>
      </c>
      <c r="Q552" t="inlineStr">
        <is>
          <t>Oracle Fusion 26C Readiness — Procurement</t>
        </is>
      </c>
      <c r="R552" t="inlineStr"/>
    </row>
    <row r="553">
      <c r="A553" t="inlineStr">
        <is>
          <t>CHG_IMP_0528</t>
        </is>
      </c>
      <c r="B553" t="inlineStr">
        <is>
          <t>REL_26C</t>
        </is>
      </c>
      <c r="C553" t="inlineStr">
        <is>
          <t>Selected External Purchase Prices Bug Fixes in This Update</t>
        </is>
      </c>
      <c r="D553" t="inlineStr">
        <is>
          <t>Selected External Purchase Prices Bug Fixes in This Update. Module: Procurement. Release: 26C. This update includes some bug fixes that can change the way Oracle External Purchase Prices works. This isn't a full list of all the bug fixes in this update. This list includes the bug fixes that can cause a noticeable change in application behavior.
**Import External Purchase Prices Using FBDI Te</t>
        </is>
      </c>
      <c r="E553" t="inlineStr">
        <is>
          <t>Procurement</t>
        </is>
      </c>
      <c r="F553" t="inlineStr">
        <is>
          <t>Functional</t>
        </is>
      </c>
      <c r="G553" t="inlineStr">
        <is>
          <t>Functional</t>
        </is>
      </c>
      <c r="H553" t="inlineStr"/>
      <c r="I553" t="inlineStr"/>
      <c r="J553" t="inlineStr">
        <is>
          <t>Procurement</t>
        </is>
      </c>
      <c r="K553" t="inlineStr">
        <is>
          <t>N</t>
        </is>
      </c>
      <c r="L553" t="inlineStr">
        <is>
          <t>N</t>
        </is>
      </c>
      <c r="M553" t="inlineStr">
        <is>
          <t>N</t>
        </is>
      </c>
      <c r="N553" t="inlineStr">
        <is>
          <t>Auto-enabled — no action required</t>
        </is>
      </c>
      <c r="O553" t="inlineStr">
        <is>
          <t>Low</t>
        </is>
      </c>
      <c r="P553" t="inlineStr">
        <is>
          <t>2025-06-20</t>
        </is>
      </c>
      <c r="Q553" t="inlineStr">
        <is>
          <t>Oracle Fusion 26C Readiness — Procurement</t>
        </is>
      </c>
      <c r="R553" t="inlineStr"/>
    </row>
    <row r="554">
      <c r="A554" t="inlineStr">
        <is>
          <t>CHG_IMP_0529</t>
        </is>
      </c>
      <c r="B554" t="inlineStr">
        <is>
          <t>REL_26C</t>
        </is>
      </c>
      <c r="C554" t="inlineStr">
        <is>
          <t>Selected Purchasing Bug Fixes in This Update</t>
        </is>
      </c>
      <c r="D554" t="inlineStr">
        <is>
          <t>Selected Purchasing Bug Fixes in This Update. Module: Procurement. Release: 26C. This update includes some bug fixes that can change the way Oracle Purchasing works. This isn't a full list of all the bug fixes in this update. This list includes the bug fixes that can cause a noticeable change in application behavior.
**Funds Liquidation Period Determination for Past-Dated and F</t>
        </is>
      </c>
      <c r="E554" t="inlineStr">
        <is>
          <t>Procurement</t>
        </is>
      </c>
      <c r="F554" t="inlineStr">
        <is>
          <t>Functional</t>
        </is>
      </c>
      <c r="G554" t="inlineStr">
        <is>
          <t>Functional</t>
        </is>
      </c>
      <c r="H554" t="inlineStr"/>
      <c r="I554" t="inlineStr"/>
      <c r="J554" t="inlineStr">
        <is>
          <t>Procurement</t>
        </is>
      </c>
      <c r="K554" t="inlineStr">
        <is>
          <t>N</t>
        </is>
      </c>
      <c r="L554" t="inlineStr">
        <is>
          <t>N</t>
        </is>
      </c>
      <c r="M554" t="inlineStr">
        <is>
          <t>N</t>
        </is>
      </c>
      <c r="N554" t="inlineStr">
        <is>
          <t>Auto-enabled — no action required</t>
        </is>
      </c>
      <c r="O554" t="inlineStr">
        <is>
          <t>Low</t>
        </is>
      </c>
      <c r="P554" t="inlineStr">
        <is>
          <t>2025-06-20</t>
        </is>
      </c>
      <c r="Q554" t="inlineStr">
        <is>
          <t>Oracle Fusion 26C Readiness — Procurement</t>
        </is>
      </c>
      <c r="R554" t="inlineStr"/>
    </row>
    <row r="555">
      <c r="A555" t="inlineStr">
        <is>
          <t>CHG_IMP_0530</t>
        </is>
      </c>
      <c r="B555" t="inlineStr">
        <is>
          <t>REL_26C</t>
        </is>
      </c>
      <c r="C555" t="inlineStr">
        <is>
          <t>Selected Sourcing Bug Fixes in This Update</t>
        </is>
      </c>
      <c r="D555" t="inlineStr">
        <is>
          <t>Selected Sourcing Bug Fixes in This Update. Module: Procurement. Release: 26C. This update includes a bug fix that can change the way Oracle Sourcing works. This isn't a full list of all the bug fixes in this update.
**Redwood: Latest Negotiation Style Changes are Applied When Creating Negotiation from Template**
When a negotiation is created in Redwood with a template, it e</t>
        </is>
      </c>
      <c r="E555" t="inlineStr">
        <is>
          <t>Procurement</t>
        </is>
      </c>
      <c r="F555" t="inlineStr">
        <is>
          <t>Functional</t>
        </is>
      </c>
      <c r="G555" t="inlineStr">
        <is>
          <t>Functional</t>
        </is>
      </c>
      <c r="H555" t="inlineStr"/>
      <c r="I555" t="inlineStr"/>
      <c r="J555" t="inlineStr">
        <is>
          <t>Procurement</t>
        </is>
      </c>
      <c r="K555" t="inlineStr">
        <is>
          <t>N</t>
        </is>
      </c>
      <c r="L555" t="inlineStr">
        <is>
          <t>N</t>
        </is>
      </c>
      <c r="M555" t="inlineStr">
        <is>
          <t>N</t>
        </is>
      </c>
      <c r="N555" t="inlineStr">
        <is>
          <t>Auto-enabled — no action required</t>
        </is>
      </c>
      <c r="O555" t="inlineStr">
        <is>
          <t>Low</t>
        </is>
      </c>
      <c r="P555" t="inlineStr">
        <is>
          <t>2025-06-20</t>
        </is>
      </c>
      <c r="Q555" t="inlineStr">
        <is>
          <t>Oracle Fusion 26C Readiness — Procurement</t>
        </is>
      </c>
      <c r="R555" t="inlineStr"/>
    </row>
    <row r="556">
      <c r="A556" t="inlineStr">
        <is>
          <t>CHG_IMP_0531</t>
        </is>
      </c>
      <c r="B556" t="inlineStr">
        <is>
          <t>REL_26C</t>
        </is>
      </c>
      <c r="C556" t="inlineStr">
        <is>
          <t>Streamline the Import and Export of Messaging Setup Data</t>
        </is>
      </c>
      <c r="D556" t="inlineStr">
        <is>
          <t>Streamline the Import and Export of Messaging Setup Data. Module: Procurement. Release: 26C. You can now export and import Oracle Collaboration Messaging setup data to migrate your configuration across pods and environments like development, test, and production. Setup data includes messaging providers, connections, and partner configurations for both suppliers and customers.
You now have:</t>
        </is>
      </c>
      <c r="E556" t="inlineStr">
        <is>
          <t>Procurement</t>
        </is>
      </c>
      <c r="F556" t="inlineStr">
        <is>
          <t>Functional</t>
        </is>
      </c>
      <c r="G556" t="inlineStr">
        <is>
          <t>Functional</t>
        </is>
      </c>
      <c r="H556" t="inlineStr"/>
      <c r="I556" t="inlineStr"/>
      <c r="J556" t="inlineStr">
        <is>
          <t>Procurement</t>
        </is>
      </c>
      <c r="K556" t="inlineStr">
        <is>
          <t>N</t>
        </is>
      </c>
      <c r="L556" t="inlineStr">
        <is>
          <t>Y</t>
        </is>
      </c>
      <c r="M556" t="inlineStr">
        <is>
          <t>N</t>
        </is>
      </c>
      <c r="N556" t="inlineStr">
        <is>
          <t>Action type: Steps to Enable. After you enable the **Simplify Configuration and Processing for B2B Messaging** feature, perform the following high-level tasks: 1. Create an implementation project. 2.</t>
        </is>
      </c>
      <c r="O556" t="inlineStr">
        <is>
          <t>High</t>
        </is>
      </c>
      <c r="P556" t="inlineStr">
        <is>
          <t>2025-06-20</t>
        </is>
      </c>
      <c r="Q556" t="inlineStr">
        <is>
          <t>Oracle Fusion 26C Readiness — Procurement</t>
        </is>
      </c>
      <c r="R556" t="inlineStr"/>
    </row>
    <row r="557">
      <c r="A557" t="inlineStr">
        <is>
          <t>CHG_IMP_0532</t>
        </is>
      </c>
      <c r="B557" t="inlineStr">
        <is>
          <t>REL_26C</t>
        </is>
      </c>
      <c r="C557" t="inlineStr">
        <is>
          <t>Use Message Converter Service for Outbound Flows</t>
        </is>
      </c>
      <c r="D557" t="inlineStr">
        <is>
          <t>Use Message Converter Service for Outbound Flows. Module: Procurement. Release: 26C. You can now enable outbound flows such as ASN Outbound and PO Outbound to use the Message Converter Service when a message definition is configured in mapping file mode. The service retrieves the source payload using the appropriate REST API resource, converts it to XML using configurable JSON mappi</t>
        </is>
      </c>
      <c r="E557" t="inlineStr">
        <is>
          <t>Procurement</t>
        </is>
      </c>
      <c r="F557" t="inlineStr">
        <is>
          <t>Functional</t>
        </is>
      </c>
      <c r="G557" t="inlineStr">
        <is>
          <t>Functional</t>
        </is>
      </c>
      <c r="H557" t="inlineStr"/>
      <c r="I557" t="inlineStr"/>
      <c r="J557" t="inlineStr">
        <is>
          <t>Procurement</t>
        </is>
      </c>
      <c r="K557" t="inlineStr">
        <is>
          <t>N</t>
        </is>
      </c>
      <c r="L557" t="inlineStr">
        <is>
          <t>Y</t>
        </is>
      </c>
      <c r="M557" t="inlineStr">
        <is>
          <t>N</t>
        </is>
      </c>
      <c r="N557" t="inlineStr">
        <is>
          <t>Action type: Steps to Enable. You can access this functionality by enabling the feature **Simplify Configuration and Processing for B2B Messaging**. Perform the following high-level tasks to set up yo</t>
        </is>
      </c>
      <c r="O557" t="inlineStr">
        <is>
          <t>High</t>
        </is>
      </c>
      <c r="P557" t="inlineStr">
        <is>
          <t>2025-06-20</t>
        </is>
      </c>
      <c r="Q557" t="inlineStr">
        <is>
          <t>Oracle Fusion 26C Readiness — Procurement</t>
        </is>
      </c>
      <c r="R557" t="inlineStr"/>
    </row>
    <row r="558">
      <c r="A558" t="inlineStr">
        <is>
          <t>CHG_IMP_0533</t>
        </is>
      </c>
      <c r="B558" t="inlineStr">
        <is>
          <t>REL_26C</t>
        </is>
      </c>
      <c r="C558" t="inlineStr">
        <is>
          <t>View Additional Information About Preparers, Requesters, Buyers, and Approvers</t>
        </is>
      </c>
      <c r="D558" t="inlineStr">
        <is>
          <t>View Additional Information About Preparers, Requesters, Buyers, and Approvers. Module: Procurement. Release: 26C. You can now view additional information about the preparers, requesters, buyers, and approvers on requisitions and purchase orders. In addition to details such as name, job title, manager name, and department, you can also view contact information such as email, work phone, and work a</t>
        </is>
      </c>
      <c r="E558" t="inlineStr">
        <is>
          <t>Procurement</t>
        </is>
      </c>
      <c r="F558" t="inlineStr">
        <is>
          <t>Functional</t>
        </is>
      </c>
      <c r="G558" t="inlineStr">
        <is>
          <t>Functional</t>
        </is>
      </c>
      <c r="H558" t="inlineStr"/>
      <c r="I558" t="inlineStr"/>
      <c r="J558" t="inlineStr">
        <is>
          <t>Procurement</t>
        </is>
      </c>
      <c r="K558" t="inlineStr">
        <is>
          <t>N</t>
        </is>
      </c>
      <c r="L558" t="inlineStr">
        <is>
          <t>N</t>
        </is>
      </c>
      <c r="M558" t="inlineStr">
        <is>
          <t>N</t>
        </is>
      </c>
      <c r="N558" t="inlineStr">
        <is>
          <t>Auto-enabled — no action required</t>
        </is>
      </c>
      <c r="O558" t="inlineStr">
        <is>
          <t>Low</t>
        </is>
      </c>
      <c r="P558" t="inlineStr">
        <is>
          <t>2025-06-20</t>
        </is>
      </c>
      <c r="Q558" t="inlineStr">
        <is>
          <t>Oracle Fusion 26C Readiness — Procurement</t>
        </is>
      </c>
      <c r="R558" t="inlineStr"/>
    </row>
    <row r="559">
      <c r="A559" t="inlineStr">
        <is>
          <t>CHG_IMP_0534</t>
        </is>
      </c>
      <c r="B559" t="inlineStr">
        <is>
          <t>REL_26C</t>
        </is>
      </c>
      <c r="C559" t="inlineStr">
        <is>
          <t>AI Agent: Purchase Requisition Creation Guide – Additional Capabilities and Policy Compliance</t>
        </is>
      </c>
      <c r="D559" t="inlineStr">
        <is>
          <t>AI Agent: Purchase Requisition Creation Guide – Additional Capabilities and Policy Compliance. Module: Self Service Procurement. Release: 26C. The Purchase Requisition Creation Guide AI Agent provides enhanced guidance and purchasing support in this update. The agent can now evaluate applicable procurement policies and rules before performing a catalog search, provide relevant policy guidance, and</t>
        </is>
      </c>
      <c r="E559" t="inlineStr">
        <is>
          <t>Self Service Procurement</t>
        </is>
      </c>
      <c r="F559" t="inlineStr">
        <is>
          <t>AI Feature</t>
        </is>
      </c>
      <c r="G559" t="inlineStr">
        <is>
          <t>AI Feature</t>
        </is>
      </c>
      <c r="H559" t="inlineStr"/>
      <c r="I559" t="inlineStr"/>
      <c r="J559" t="inlineStr">
        <is>
          <t>Self Service Procurement</t>
        </is>
      </c>
      <c r="K559" t="inlineStr">
        <is>
          <t>N</t>
        </is>
      </c>
      <c r="L559" t="inlineStr">
        <is>
          <t>Y</t>
        </is>
      </c>
      <c r="M559" t="inlineStr">
        <is>
          <t>N</t>
        </is>
      </c>
      <c r="N559" t="inlineStr">
        <is>
          <t>Action type: Steps to Enable. To enable the Requisition Creation Guide AI agent, follow these steps: • In Oracle Virtual Builder Studio, navigate to</t>
        </is>
      </c>
      <c r="O559" t="inlineStr">
        <is>
          <t>Medium</t>
        </is>
      </c>
      <c r="P559" t="inlineStr">
        <is>
          <t>2025-06-20</t>
        </is>
      </c>
      <c r="Q559" t="inlineStr">
        <is>
          <t>Oracle Fusion 26C Readiness — Self Service Procurement</t>
        </is>
      </c>
      <c r="R559" t="inlineStr"/>
    </row>
    <row r="560">
      <c r="A560" t="inlineStr">
        <is>
          <t>CHG_IMP_0535</t>
        </is>
      </c>
      <c r="B560" t="inlineStr">
        <is>
          <t>REL_26C</t>
        </is>
      </c>
      <c r="C560" t="inlineStr">
        <is>
          <t>Access Cart Details Directly During Requisition Creation</t>
        </is>
      </c>
      <c r="D560" t="inlineStr">
        <is>
          <t>Access Cart Details Directly During Requisition Creation. Module: Self Service Procurement. Release: 26C. You can now access shopping cart details directly while creating a requisition, which improves visibility and makes navigation easier during the request creation process.
While using the Create Request, Create Noncatalog Request, or Enter Requisition Line flows, you can:
• View the current c</t>
        </is>
      </c>
      <c r="E560" t="inlineStr">
        <is>
          <t>Self Service Procurement</t>
        </is>
      </c>
      <c r="F560" t="inlineStr">
        <is>
          <t>Functional</t>
        </is>
      </c>
      <c r="G560" t="inlineStr">
        <is>
          <t>Functional</t>
        </is>
      </c>
      <c r="H560" t="inlineStr"/>
      <c r="I560" t="inlineStr"/>
      <c r="J560" t="inlineStr">
        <is>
          <t>Self Service Procurement</t>
        </is>
      </c>
      <c r="K560" t="inlineStr">
        <is>
          <t>N</t>
        </is>
      </c>
      <c r="L560" t="inlineStr">
        <is>
          <t>N</t>
        </is>
      </c>
      <c r="M560" t="inlineStr">
        <is>
          <t>N</t>
        </is>
      </c>
      <c r="N560" t="inlineStr">
        <is>
          <t>Auto-enabled — no action required</t>
        </is>
      </c>
      <c r="O560" t="inlineStr">
        <is>
          <t>Low</t>
        </is>
      </c>
      <c r="P560" t="inlineStr">
        <is>
          <t>2025-06-20</t>
        </is>
      </c>
      <c r="Q560" t="inlineStr">
        <is>
          <t>Oracle Fusion 26C Readiness — Self Service Procurement</t>
        </is>
      </c>
      <c r="R560" t="inlineStr"/>
    </row>
    <row r="561">
      <c r="A561" t="inlineStr">
        <is>
          <t>CHG_IMP_0536</t>
        </is>
      </c>
      <c r="B561" t="inlineStr">
        <is>
          <t>REL_26C</t>
        </is>
      </c>
      <c r="C561" t="inlineStr">
        <is>
          <t>Access Noncatalog Request from the Actions Menu on the Home Page</t>
        </is>
      </c>
      <c r="D561" t="inlineStr">
        <is>
          <t>Access Noncatalog Request from the Actions Menu on the Home Page. Module: Self Service Procurement. Release: 26C. You can now display the **Create Noncatalog Request**action in the**Actions**menu on the home page. This provides preparers with a more consistent way to access noncatalog requests alongside other available actions.
Access Create Noncatalog Request from the Actions menu
This action i</t>
        </is>
      </c>
      <c r="E561" t="inlineStr">
        <is>
          <t>Self Service Procurement</t>
        </is>
      </c>
      <c r="F561" t="inlineStr">
        <is>
          <t>Functional</t>
        </is>
      </c>
      <c r="G561" t="inlineStr">
        <is>
          <t>Functional</t>
        </is>
      </c>
      <c r="H561" t="inlineStr"/>
      <c r="I561" t="inlineStr"/>
      <c r="J561" t="inlineStr">
        <is>
          <t>Self Service Procurement</t>
        </is>
      </c>
      <c r="K561" t="inlineStr">
        <is>
          <t>N</t>
        </is>
      </c>
      <c r="L561" t="inlineStr">
        <is>
          <t>Y</t>
        </is>
      </c>
      <c r="M561" t="inlineStr">
        <is>
          <t>N</t>
        </is>
      </c>
      <c r="N561" t="inlineStr">
        <is>
          <t>Action type: Steps to Enable. Leverage the Visual Builder Studio to expose your applications. To learn more about extending your application using Visual Builder, visit Oracle H</t>
        </is>
      </c>
      <c r="O561" t="inlineStr">
        <is>
          <t>Medium</t>
        </is>
      </c>
      <c r="P561" t="inlineStr">
        <is>
          <t>2025-06-20</t>
        </is>
      </c>
      <c r="Q561" t="inlineStr">
        <is>
          <t>Oracle Fusion 26C Readiness — Self Service Procurement</t>
        </is>
      </c>
      <c r="R561" t="inlineStr"/>
    </row>
    <row r="562">
      <c r="A562" t="inlineStr">
        <is>
          <t>CHG_IMP_0537</t>
        </is>
      </c>
      <c r="B562" t="inlineStr">
        <is>
          <t>REL_26C</t>
        </is>
      </c>
      <c r="C562" t="inlineStr">
        <is>
          <t>Create Transfer Orders with Header Level Descriptive Flexfields</t>
        </is>
      </c>
      <c r="D562" t="inlineStr">
        <is>
          <t>Create Transfer Orders with Header Level Descriptive Flexfields. Module: Self Service Procurement. Release: 26C. Use the Oracle Supply Chain Orchestration Supply Requests REST API and the Supply Order Import FBDI template to create transfer orders with header level descriptive flexfields.
Oracle Supply Chain Orchestration now supports transfer order header-level descriptive flexfields in the Supp</t>
        </is>
      </c>
      <c r="E562" t="inlineStr">
        <is>
          <t>Self Service Procurement</t>
        </is>
      </c>
      <c r="F562" t="inlineStr">
        <is>
          <t>Functional</t>
        </is>
      </c>
      <c r="G562" t="inlineStr">
        <is>
          <t>Functional</t>
        </is>
      </c>
      <c r="H562" t="inlineStr"/>
      <c r="I562" t="inlineStr"/>
      <c r="J562" t="inlineStr">
        <is>
          <t>Self Service Procurement</t>
        </is>
      </c>
      <c r="K562" t="inlineStr">
        <is>
          <t>N</t>
        </is>
      </c>
      <c r="L562" t="inlineStr">
        <is>
          <t>N</t>
        </is>
      </c>
      <c r="M562" t="inlineStr">
        <is>
          <t>N</t>
        </is>
      </c>
      <c r="N562" t="inlineStr">
        <is>
          <t>Auto-enabled — no action required</t>
        </is>
      </c>
      <c r="O562" t="inlineStr">
        <is>
          <t>Low</t>
        </is>
      </c>
      <c r="P562" t="inlineStr">
        <is>
          <t>2025-06-20</t>
        </is>
      </c>
      <c r="Q562" t="inlineStr">
        <is>
          <t>Oracle Fusion 26C Readiness — Self Service Procurement</t>
        </is>
      </c>
      <c r="R562" t="inlineStr"/>
    </row>
    <row r="563">
      <c r="A563" t="inlineStr">
        <is>
          <t>CHG_IMP_0538</t>
        </is>
      </c>
      <c r="B563" t="inlineStr">
        <is>
          <t>REL_26C</t>
        </is>
      </c>
      <c r="C563" t="inlineStr">
        <is>
          <t>Create Work Orders with Find Numbers for Substituted Components</t>
        </is>
      </c>
      <c r="D563" t="inlineStr">
        <is>
          <t>Create Work Orders with Find Numbers for Substituted Components. Module: Self Service Procurement. Release: 26C. Supply Chain Orchestration now supports receiving find numbers for substituted components from Oracle Supply Chain Planning and passing them to Oracle Manufacturing during work order creation.
This enhancement preserves component-specific details when the same item appears multiple tim</t>
        </is>
      </c>
      <c r="E563" t="inlineStr">
        <is>
          <t>Self Service Procurement</t>
        </is>
      </c>
      <c r="F563" t="inlineStr">
        <is>
          <t>Functional</t>
        </is>
      </c>
      <c r="G563" t="inlineStr">
        <is>
          <t>Functional</t>
        </is>
      </c>
      <c r="H563" t="inlineStr"/>
      <c r="I563" t="inlineStr"/>
      <c r="J563" t="inlineStr">
        <is>
          <t>Self Service Procurement</t>
        </is>
      </c>
      <c r="K563" t="inlineStr">
        <is>
          <t>N</t>
        </is>
      </c>
      <c r="L563" t="inlineStr">
        <is>
          <t>N</t>
        </is>
      </c>
      <c r="M563" t="inlineStr">
        <is>
          <t>N</t>
        </is>
      </c>
      <c r="N563" t="inlineStr">
        <is>
          <t>Auto-enabled — no action required</t>
        </is>
      </c>
      <c r="O563" t="inlineStr">
        <is>
          <t>Low</t>
        </is>
      </c>
      <c r="P563" t="inlineStr">
        <is>
          <t>2025-06-20</t>
        </is>
      </c>
      <c r="Q563" t="inlineStr">
        <is>
          <t>Oracle Fusion 26C Readiness — Self Service Procurement</t>
        </is>
      </c>
      <c r="R563" t="inlineStr"/>
    </row>
    <row r="564">
      <c r="A564" t="inlineStr">
        <is>
          <t>CHG_IMP_0539</t>
        </is>
      </c>
      <c r="B564" t="inlineStr">
        <is>
          <t>REL_26C</t>
        </is>
      </c>
      <c r="C564" t="inlineStr">
        <is>
          <t>Create a Noncatalog Request Without Copying Supplier Details From a Previous Request</t>
        </is>
      </c>
      <c r="D564" t="inlineStr">
        <is>
          <t>Create a Noncatalog Request Without Copying Supplier Details From a Previous Request. Module: Self Service Procurement. Release: 26C. This enhancement improves the confirmation message you receive after creating a noncatalog or smart form request. You can select **Create another request with the same supplier** to create a new request with the same supplier information that was entered. New suppli</t>
        </is>
      </c>
      <c r="E564" t="inlineStr">
        <is>
          <t>Self Service Procurement</t>
        </is>
      </c>
      <c r="F564" t="inlineStr">
        <is>
          <t>Functional</t>
        </is>
      </c>
      <c r="G564" t="inlineStr">
        <is>
          <t>Functional</t>
        </is>
      </c>
      <c r="H564" t="inlineStr"/>
      <c r="I564" t="inlineStr"/>
      <c r="J564" t="inlineStr">
        <is>
          <t>Self Service Procurement</t>
        </is>
      </c>
      <c r="K564" t="inlineStr">
        <is>
          <t>N</t>
        </is>
      </c>
      <c r="L564" t="inlineStr">
        <is>
          <t>Y</t>
        </is>
      </c>
      <c r="M564" t="inlineStr">
        <is>
          <t>N</t>
        </is>
      </c>
      <c r="N564" t="inlineStr">
        <is>
          <t>Action type: Steps to Enable. No steps are needed to enable this update.</t>
        </is>
      </c>
      <c r="O564" t="inlineStr">
        <is>
          <t>Medium</t>
        </is>
      </c>
      <c r="P564" t="inlineStr">
        <is>
          <t>2025-06-20</t>
        </is>
      </c>
      <c r="Q564" t="inlineStr">
        <is>
          <t>Oracle Fusion 26C Readiness — Self Service Procurement</t>
        </is>
      </c>
      <c r="R564" t="inlineStr"/>
    </row>
    <row r="565">
      <c r="A565" t="inlineStr">
        <is>
          <t>CHG_IMP_0540</t>
        </is>
      </c>
      <c r="B565" t="inlineStr">
        <is>
          <t>REL_26C</t>
        </is>
      </c>
      <c r="C565" t="inlineStr">
        <is>
          <t>Identify Attachments and Notes on My Requisitions</t>
        </is>
      </c>
      <c r="D565" t="inlineStr">
        <is>
          <t>Identify Attachments and Notes on My Requisitions. Module: Self Service Procurement. Release: 26C. In update 26B, we introduced the Identify Attachments and Notes on Requisition Lines feature, which displays an icon next to requisition lines with notes or attachments in the shopping cart and on the Requisition Line Details page. In this update, we’re extending this capability to the My Requisitio</t>
        </is>
      </c>
      <c r="E565" t="inlineStr">
        <is>
          <t>Self Service Procurement</t>
        </is>
      </c>
      <c r="F565" t="inlineStr">
        <is>
          <t>Functional</t>
        </is>
      </c>
      <c r="G565" t="inlineStr">
        <is>
          <t>Functional</t>
        </is>
      </c>
      <c r="H565" t="inlineStr"/>
      <c r="I565" t="inlineStr"/>
      <c r="J565" t="inlineStr">
        <is>
          <t>Self Service Procurement</t>
        </is>
      </c>
      <c r="K565" t="inlineStr">
        <is>
          <t>N</t>
        </is>
      </c>
      <c r="L565" t="inlineStr">
        <is>
          <t>N</t>
        </is>
      </c>
      <c r="M565" t="inlineStr">
        <is>
          <t>N</t>
        </is>
      </c>
      <c r="N565" t="inlineStr">
        <is>
          <t>Auto-enabled — no action required</t>
        </is>
      </c>
      <c r="O565" t="inlineStr">
        <is>
          <t>Low</t>
        </is>
      </c>
      <c r="P565" t="inlineStr">
        <is>
          <t>2025-06-20</t>
        </is>
      </c>
      <c r="Q565" t="inlineStr">
        <is>
          <t>Oracle Fusion 26C Readiness — Self Service Procurement</t>
        </is>
      </c>
      <c r="R565" t="inlineStr"/>
    </row>
    <row r="566">
      <c r="A566" t="inlineStr">
        <is>
          <t>CHG_IMP_0541</t>
        </is>
      </c>
      <c r="B566" t="inlineStr">
        <is>
          <t>REL_26C</t>
        </is>
      </c>
      <c r="C566" t="inlineStr">
        <is>
          <t>Initiate Procurement Activities with Intake Requests</t>
        </is>
      </c>
      <c r="D566" t="inlineStr">
        <is>
          <t>Initiate Procurement Activities with Intake Requests. Module: Self Service Procurement. Release: 26C. Initiate procurement activities for noncatalog goods and services using Intake Requests. You can either use an AI assistant to help with creating the request or manually create the request and submit it for review and approval.
At any time after you submit a request, you can see the set of review</t>
        </is>
      </c>
      <c r="E566" t="inlineStr">
        <is>
          <t>Self Service Procurement</t>
        </is>
      </c>
      <c r="F566" t="inlineStr">
        <is>
          <t>AI Feature</t>
        </is>
      </c>
      <c r="G566" t="inlineStr">
        <is>
          <t>AI Feature</t>
        </is>
      </c>
      <c r="H566" t="inlineStr"/>
      <c r="I566" t="inlineStr"/>
      <c r="J566" t="inlineStr">
        <is>
          <t>Self Service Procurement</t>
        </is>
      </c>
      <c r="K566" t="inlineStr">
        <is>
          <t>N</t>
        </is>
      </c>
      <c r="L566" t="inlineStr">
        <is>
          <t>Y</t>
        </is>
      </c>
      <c r="M566" t="inlineStr">
        <is>
          <t>N</t>
        </is>
      </c>
      <c r="N566" t="inlineStr">
        <is>
          <t>Action type: Steps to Enable. Use the Opt In UI to enable this feature. For instructions, refer to the Optional Uptake of New Features section of this document. Offering: *Procurement* **Set profile o</t>
        </is>
      </c>
      <c r="O566" t="inlineStr">
        <is>
          <t>Medium</t>
        </is>
      </c>
      <c r="P566" t="inlineStr">
        <is>
          <t>2025-06-20</t>
        </is>
      </c>
      <c r="Q566" t="inlineStr">
        <is>
          <t>Oracle Fusion 26C Readiness — Self Service Procurement</t>
        </is>
      </c>
      <c r="R566" t="inlineStr"/>
    </row>
    <row r="567">
      <c r="A567" t="inlineStr">
        <is>
          <t>CHG_IMP_0542</t>
        </is>
      </c>
      <c r="B567" t="inlineStr">
        <is>
          <t>REL_26C</t>
        </is>
      </c>
      <c r="C567" t="inlineStr">
        <is>
          <t>Integrate and Extend Procurement Using REST Resources</t>
        </is>
      </c>
      <c r="D567" t="inlineStr">
        <is>
          <t>Integrate and Extend Procurement Using REST Resources. Module: Self Service Procurement. Release: 26C. In this release, Oracle Fusion Cloud Procurement and Oracle Fusion Cloud Self Service Procurement deliver new and modified REST resources to enable and simplify integration with external systems.
The new REST resource introduced in this update is:
• Draft Purchase Agreements
• Supplier Negotiat</t>
        </is>
      </c>
      <c r="E567" t="inlineStr">
        <is>
          <t>Self Service Procurement</t>
        </is>
      </c>
      <c r="F567" t="inlineStr">
        <is>
          <t>Functional</t>
        </is>
      </c>
      <c r="G567" t="inlineStr">
        <is>
          <t>Functional</t>
        </is>
      </c>
      <c r="H567" t="inlineStr"/>
      <c r="I567" t="inlineStr"/>
      <c r="J567" t="inlineStr">
        <is>
          <t>Self Service Procurement</t>
        </is>
      </c>
      <c r="K567" t="inlineStr">
        <is>
          <t>N</t>
        </is>
      </c>
      <c r="L567" t="inlineStr">
        <is>
          <t>Y</t>
        </is>
      </c>
      <c r="M567" t="inlineStr">
        <is>
          <t>N</t>
        </is>
      </c>
      <c r="N567" t="inlineStr">
        <is>
          <t>Action type: Steps to Enable. Review the REST service definition in the REST API guides to leverage (available from the Oracle Help Center &gt; *your apps service area of interest* &gt; APIs &amp; Schema). If y</t>
        </is>
      </c>
      <c r="O567" t="inlineStr">
        <is>
          <t>Medium</t>
        </is>
      </c>
      <c r="P567" t="inlineStr">
        <is>
          <t>2025-06-20</t>
        </is>
      </c>
      <c r="Q567" t="inlineStr">
        <is>
          <t>Oracle Fusion 26C Readiness — Self Service Procurement</t>
        </is>
      </c>
      <c r="R567" t="inlineStr"/>
    </row>
    <row r="568">
      <c r="A568" t="inlineStr">
        <is>
          <t>CHG_IMP_0543</t>
        </is>
      </c>
      <c r="B568" t="inlineStr">
        <is>
          <t>REL_26C</t>
        </is>
      </c>
      <c r="C568" t="inlineStr">
        <is>
          <t>Launch Quote to Purchase Requisition Assistant from Menu</t>
        </is>
      </c>
      <c r="D568" t="inlineStr">
        <is>
          <t>Launch Quote to Purchase Requisition Assistant from Menu. Module: Self Service Procurement. Release: 26C. In update 25D, we introduced the AI Agent: Quote to Purchase Requisition Assistant feature, which parses emails containing supplier quotations and automatically converts them into purchase requisitions. In update 26B, we introduced the ability to initiate this automatic conversion directly fro</t>
        </is>
      </c>
      <c r="E568" t="inlineStr">
        <is>
          <t>Self Service Procurement</t>
        </is>
      </c>
      <c r="F568" t="inlineStr">
        <is>
          <t>AI Feature</t>
        </is>
      </c>
      <c r="G568" t="inlineStr">
        <is>
          <t>AI Feature</t>
        </is>
      </c>
      <c r="H568" t="inlineStr"/>
      <c r="I568" t="inlineStr"/>
      <c r="J568" t="inlineStr">
        <is>
          <t>Self Service Procurement</t>
        </is>
      </c>
      <c r="K568" t="inlineStr">
        <is>
          <t>N</t>
        </is>
      </c>
      <c r="L568" t="inlineStr">
        <is>
          <t>Y</t>
        </is>
      </c>
      <c r="M568" t="inlineStr">
        <is>
          <t>N</t>
        </is>
      </c>
      <c r="N568" t="inlineStr">
        <is>
          <t>Action type: Steps to Enable. 1. Create and publish an instance of the seeded agent, `Quote to Purchase Requisition Assistant`. Navigate to AI Agent Studio, create an instance of the se</t>
        </is>
      </c>
      <c r="O568" t="inlineStr">
        <is>
          <t>Medium</t>
        </is>
      </c>
      <c r="P568" t="inlineStr">
        <is>
          <t>2025-06-20</t>
        </is>
      </c>
      <c r="Q568" t="inlineStr">
        <is>
          <t>Oracle Fusion 26C Readiness — Self Service Procurement</t>
        </is>
      </c>
      <c r="R568" t="inlineStr"/>
    </row>
    <row r="569">
      <c r="A569" t="inlineStr">
        <is>
          <t>CHG_IMP_0544</t>
        </is>
      </c>
      <c r="B569" t="inlineStr">
        <is>
          <t>REL_26C</t>
        </is>
      </c>
      <c r="C569" t="inlineStr">
        <is>
          <t>Manage Public Shopping Lists</t>
        </is>
      </c>
      <c r="D569" t="inlineStr">
        <is>
          <t>Manage Public Shopping Lists. Module: Self Service Procurement. Release: 26C. Catalog administrators can now manage public shopping lists using a Redwood experience. After opting into this feature, you can access the Redwood Public Shopping Lists page from the quick links under Catalogs.
Navigation to Redwood Public Shopping Lists
You can create, edit, and delete lists that</t>
        </is>
      </c>
      <c r="E569" t="inlineStr">
        <is>
          <t>Self Service Procurement</t>
        </is>
      </c>
      <c r="F569" t="inlineStr">
        <is>
          <t>Functional</t>
        </is>
      </c>
      <c r="G569" t="inlineStr">
        <is>
          <t>Functional</t>
        </is>
      </c>
      <c r="H569" t="inlineStr"/>
      <c r="I569" t="inlineStr"/>
      <c r="J569" t="inlineStr">
        <is>
          <t>Self Service Procurement</t>
        </is>
      </c>
      <c r="K569" t="inlineStr">
        <is>
          <t>N</t>
        </is>
      </c>
      <c r="L569" t="inlineStr">
        <is>
          <t>Y</t>
        </is>
      </c>
      <c r="M569" t="inlineStr">
        <is>
          <t>N</t>
        </is>
      </c>
      <c r="N569" t="inlineStr">
        <is>
          <t>Action type: Steps to Enable. You must enable this profile option to access the **Manage Public Shopping Lists** feature: • Redwood Catalog Setup Pages Enabled (ORA_POR_REDWOOD_CATALOG_SETUP_ENABLED).</t>
        </is>
      </c>
      <c r="O569" t="inlineStr">
        <is>
          <t>Medium</t>
        </is>
      </c>
      <c r="P569" t="inlineStr">
        <is>
          <t>2025-06-20</t>
        </is>
      </c>
      <c r="Q569" t="inlineStr">
        <is>
          <t>Oracle Fusion 26C Readiness — Self Service Procurement</t>
        </is>
      </c>
      <c r="R569" t="inlineStr"/>
    </row>
    <row r="570">
      <c r="A570" t="inlineStr">
        <is>
          <t>CHG_IMP_0545</t>
        </is>
      </c>
      <c r="B570" t="inlineStr">
        <is>
          <t>REL_26C</t>
        </is>
      </c>
      <c r="C570" t="inlineStr">
        <is>
          <t>Manage Shopping Catalog Category Hierarchies</t>
        </is>
      </c>
      <c r="D570" t="inlineStr">
        <is>
          <t>Manage Shopping Catalog Category Hierarchies. Module: Self Service Procurement. Release: 26C. Manage shopping catalog category hierarchies using a Redwood page to create, manage, and reorganize procurement catalog categories for browsing and shopping.
You can access the Shopping Catalog Category Hierarchy page from the quick links under Catalogs.
Navigation to Shopping Catalog Category Hie</t>
        </is>
      </c>
      <c r="E570" t="inlineStr">
        <is>
          <t>Self Service Procurement</t>
        </is>
      </c>
      <c r="F570" t="inlineStr">
        <is>
          <t>Functional</t>
        </is>
      </c>
      <c r="G570" t="inlineStr">
        <is>
          <t>Functional</t>
        </is>
      </c>
      <c r="H570" t="inlineStr"/>
      <c r="I570" t="inlineStr"/>
      <c r="J570" t="inlineStr">
        <is>
          <t>Self Service Procurement</t>
        </is>
      </c>
      <c r="K570" t="inlineStr">
        <is>
          <t>N</t>
        </is>
      </c>
      <c r="L570" t="inlineStr">
        <is>
          <t>Y</t>
        </is>
      </c>
      <c r="M570" t="inlineStr">
        <is>
          <t>N</t>
        </is>
      </c>
      <c r="N570" t="inlineStr">
        <is>
          <t>Action type: Steps to Enable. You must enable this profile option to access the **Manage Shopping Catalog Category Hierarchies** feature: • Redwood Catalog Setup Pages Enabled (ORA_POR_REDWOOD_CATA</t>
        </is>
      </c>
      <c r="O570" t="inlineStr">
        <is>
          <t>Medium</t>
        </is>
      </c>
      <c r="P570" t="inlineStr">
        <is>
          <t>2025-06-20</t>
        </is>
      </c>
      <c r="Q570" t="inlineStr">
        <is>
          <t>Oracle Fusion 26C Readiness — Self Service Procurement</t>
        </is>
      </c>
      <c r="R570" t="inlineStr"/>
    </row>
    <row r="571">
      <c r="A571" t="inlineStr">
        <is>
          <t>CHG_IMP_0546</t>
        </is>
      </c>
      <c r="B571" t="inlineStr">
        <is>
          <t>REL_26C</t>
        </is>
      </c>
      <c r="C571" t="inlineStr">
        <is>
          <t>Restrict Deliver-To Locations to Valid Delivery Sites When Creating Requisitions and Purchase Orders</t>
        </is>
      </c>
      <c r="D571" t="inlineStr">
        <is>
          <t xml:space="preserve">Restrict Deliver-To Locations to Valid Delivery Sites When Creating Requisitions and Purchase Orders. Module: Self Service Procurement. Release: 26C. Exclude nondelivery sites as deliver-to locations when creating requisitions and purchase orders. Before this update, sites identified as billing or shipping were also available for selection, even though they may not be valid locations for creating </t>
        </is>
      </c>
      <c r="E571" t="inlineStr">
        <is>
          <t>Self Service Procurement</t>
        </is>
      </c>
      <c r="F571" t="inlineStr">
        <is>
          <t>Functional</t>
        </is>
      </c>
      <c r="G571" t="inlineStr">
        <is>
          <t>Functional</t>
        </is>
      </c>
      <c r="H571" t="inlineStr"/>
      <c r="I571" t="inlineStr"/>
      <c r="J571" t="inlineStr">
        <is>
          <t>Self Service Procurement</t>
        </is>
      </c>
      <c r="K571" t="inlineStr">
        <is>
          <t>N</t>
        </is>
      </c>
      <c r="L571" t="inlineStr">
        <is>
          <t>Y</t>
        </is>
      </c>
      <c r="M571" t="inlineStr">
        <is>
          <t>N</t>
        </is>
      </c>
      <c r="N571" t="inlineStr">
        <is>
          <t>Action type: Steps to Enable. Use the Opt In UI to enable this feature. For instructions, refer to the Optional Uptake of New Features section of this doc</t>
        </is>
      </c>
      <c r="O571" t="inlineStr">
        <is>
          <t>Medium</t>
        </is>
      </c>
      <c r="P571" t="inlineStr">
        <is>
          <t>2025-06-20</t>
        </is>
      </c>
      <c r="Q571" t="inlineStr">
        <is>
          <t>Oracle Fusion 26C Readiness — Self Service Procurement</t>
        </is>
      </c>
      <c r="R571" t="inlineStr"/>
    </row>
    <row r="572">
      <c r="A572" t="inlineStr">
        <is>
          <t>CHG_IMP_0547</t>
        </is>
      </c>
      <c r="B572" t="inlineStr">
        <is>
          <t>REL_26C</t>
        </is>
      </c>
      <c r="C572" t="inlineStr">
        <is>
          <t>Retain Column Personalizations for Table Layouts</t>
        </is>
      </c>
      <c r="D572" t="inlineStr">
        <is>
          <t>Retain Column Personalizations for Table Layouts. Module: Self Service Procurement. Release: 26C. You can now retain table column personalizations made using the column organizer in the Self Service Procurement application. These include showing, hiding, and reordering columns. Before this update, retention of these changes depended on your browser settings.
With this feature, column personaliz O</t>
        </is>
      </c>
      <c r="E572" t="inlineStr">
        <is>
          <t>Self Service Procurement</t>
        </is>
      </c>
      <c r="F572" t="inlineStr">
        <is>
          <t>Functional</t>
        </is>
      </c>
      <c r="G572" t="inlineStr">
        <is>
          <t>Functional</t>
        </is>
      </c>
      <c r="H572" t="inlineStr"/>
      <c r="I572" t="inlineStr"/>
      <c r="J572" t="inlineStr">
        <is>
          <t>Self Service Procurement</t>
        </is>
      </c>
      <c r="K572" t="inlineStr">
        <is>
          <t>N</t>
        </is>
      </c>
      <c r="L572" t="inlineStr">
        <is>
          <t>Y</t>
        </is>
      </c>
      <c r="M572" t="inlineStr">
        <is>
          <t>N</t>
        </is>
      </c>
      <c r="N572" t="inlineStr">
        <is>
          <t>Action type: Steps to Enable. Use the Opt In UI to enable this feature. For instructions, refer to the Optional Uptake of New Features section of this document. Offering: *Procurement* Enable t</t>
        </is>
      </c>
      <c r="O572" t="inlineStr">
        <is>
          <t>Medium</t>
        </is>
      </c>
      <c r="P572" t="inlineStr">
        <is>
          <t>2025-06-20</t>
        </is>
      </c>
      <c r="Q572" t="inlineStr">
        <is>
          <t>Oracle Fusion 26C Readiness — Self Service Procurement</t>
        </is>
      </c>
      <c r="R572" t="inlineStr"/>
    </row>
    <row r="573">
      <c r="A573" t="inlineStr">
        <is>
          <t>CHG_IMP_0548</t>
        </is>
      </c>
      <c r="B573" t="inlineStr">
        <is>
          <t>REL_26C</t>
        </is>
      </c>
      <c r="C573" t="inlineStr">
        <is>
          <t>Search for Deliver-to Locations Using Additional Attributes in Requisitions</t>
        </is>
      </c>
      <c r="D573" t="inlineStr">
        <is>
          <t>Search for Deliver-to Locations Using Additional Attributes in Requisitions. Module: Self Service Procurement. Release: 26C. Search for deliver-to locations using additional attributes in the Self Service Procurement application. With ‘More search options’ on location LOVs, you can filter your search by these attributes:
• Location Name.
• Location Code.
• Address Line 1.
• Town or City.
• Postal</t>
        </is>
      </c>
      <c r="E573" t="inlineStr">
        <is>
          <t>Self Service Procurement</t>
        </is>
      </c>
      <c r="F573" t="inlineStr">
        <is>
          <t>Functional</t>
        </is>
      </c>
      <c r="G573" t="inlineStr">
        <is>
          <t>Functional</t>
        </is>
      </c>
      <c r="H573" t="inlineStr"/>
      <c r="I573" t="inlineStr"/>
      <c r="J573" t="inlineStr">
        <is>
          <t>Self Service Procurement</t>
        </is>
      </c>
      <c r="K573" t="inlineStr">
        <is>
          <t>N</t>
        </is>
      </c>
      <c r="L573" t="inlineStr">
        <is>
          <t>Y</t>
        </is>
      </c>
      <c r="M573" t="inlineStr">
        <is>
          <t>N</t>
        </is>
      </c>
      <c r="N573" t="inlineStr">
        <is>
          <t>Action type: Steps to Enable. By default, the enhanced search is disabled. To enable it, edit the homepage in Oracle Visual Builder Studio and set the **Enable the En</t>
        </is>
      </c>
      <c r="O573" t="inlineStr">
        <is>
          <t>Medium</t>
        </is>
      </c>
      <c r="P573" t="inlineStr">
        <is>
          <t>2025-06-20</t>
        </is>
      </c>
      <c r="Q573" t="inlineStr">
        <is>
          <t>Oracle Fusion 26C Readiness — Self Service Procurement</t>
        </is>
      </c>
      <c r="R573" t="inlineStr"/>
    </row>
    <row r="574">
      <c r="A574" t="inlineStr">
        <is>
          <t>CHG_IMP_0549</t>
        </is>
      </c>
      <c r="B574" t="inlineStr">
        <is>
          <t>REL_26C</t>
        </is>
      </c>
      <c r="C574" t="inlineStr">
        <is>
          <t>Selected Self Service Procurement Bug Fixes in This Update</t>
        </is>
      </c>
      <c r="D574" t="inlineStr">
        <is>
          <t>Selected Self Service Procurement Bug Fixes in This Update. Module: Self Service Procurement. Release: 26C. **Easier Access to Charge Account Combination Details**
With this update, you can more easily review charge account combination details in both edit and read-only modes.
In edit mode, users can open the charge account actions menu and select Combination details to view the segment informat</t>
        </is>
      </c>
      <c r="E574" t="inlineStr">
        <is>
          <t>Self Service Procurement</t>
        </is>
      </c>
      <c r="F574" t="inlineStr">
        <is>
          <t>Functional</t>
        </is>
      </c>
      <c r="G574" t="inlineStr">
        <is>
          <t>Functional</t>
        </is>
      </c>
      <c r="H574" t="inlineStr"/>
      <c r="I574" t="inlineStr"/>
      <c r="J574" t="inlineStr">
        <is>
          <t>Self Service Procurement</t>
        </is>
      </c>
      <c r="K574" t="inlineStr">
        <is>
          <t>N</t>
        </is>
      </c>
      <c r="L574" t="inlineStr">
        <is>
          <t>N</t>
        </is>
      </c>
      <c r="M574" t="inlineStr">
        <is>
          <t>N</t>
        </is>
      </c>
      <c r="N574" t="inlineStr">
        <is>
          <t>Auto-enabled — no action required</t>
        </is>
      </c>
      <c r="O574" t="inlineStr">
        <is>
          <t>Low</t>
        </is>
      </c>
      <c r="P574" t="inlineStr">
        <is>
          <t>2025-06-20</t>
        </is>
      </c>
      <c r="Q574" t="inlineStr">
        <is>
          <t>Oracle Fusion 26C Readiness — Self Service Procurement</t>
        </is>
      </c>
      <c r="R574" t="inlineStr"/>
    </row>
    <row r="575">
      <c r="A575" t="inlineStr">
        <is>
          <t>CHG_IMP_0550</t>
        </is>
      </c>
      <c r="B575" t="inlineStr">
        <is>
          <t>REL_26C</t>
        </is>
      </c>
      <c r="C575" t="inlineStr">
        <is>
          <t>Sort Shopping Search Results and Shopping Lists by Item Number and Supplier Item</t>
        </is>
      </c>
      <c r="D575" t="inlineStr">
        <is>
          <t>Sort Shopping Search Results and Shopping Lists by Item Number and Supplier Item. Module: Self Service Procurement. Release: 26C. Sort shopping search results by item number and supplier item. This feature is also available for shopping lists. With this update, you can quickly find the catalog items you need.
You can sort the Supplier Item and Item columns in ascending or descending order in thes</t>
        </is>
      </c>
      <c r="E575" t="inlineStr">
        <is>
          <t>Self Service Procurement</t>
        </is>
      </c>
      <c r="F575" t="inlineStr">
        <is>
          <t>Functional</t>
        </is>
      </c>
      <c r="G575" t="inlineStr">
        <is>
          <t>Functional</t>
        </is>
      </c>
      <c r="H575" t="inlineStr"/>
      <c r="I575" t="inlineStr"/>
      <c r="J575" t="inlineStr">
        <is>
          <t>Self Service Procurement</t>
        </is>
      </c>
      <c r="K575" t="inlineStr">
        <is>
          <t>N</t>
        </is>
      </c>
      <c r="L575" t="inlineStr">
        <is>
          <t>Y</t>
        </is>
      </c>
      <c r="M575" t="inlineStr">
        <is>
          <t>N</t>
        </is>
      </c>
      <c r="N575" t="inlineStr">
        <is>
          <t>Action type: Steps to Enable. • To sort by supplier item, set the **Enable Supplier Item Sorting in Search Results and Shopping Lists Lines tables** extensibilit</t>
        </is>
      </c>
      <c r="O575" t="inlineStr">
        <is>
          <t>Medium</t>
        </is>
      </c>
      <c r="P575" t="inlineStr">
        <is>
          <t>2025-06-20</t>
        </is>
      </c>
      <c r="Q575" t="inlineStr">
        <is>
          <t>Oracle Fusion 26C Readiness — Self Service Procurement</t>
        </is>
      </c>
      <c r="R575" t="inlineStr"/>
    </row>
    <row r="576">
      <c r="A576" t="inlineStr">
        <is>
          <t>CHG_IMP_0551</t>
        </is>
      </c>
      <c r="B576" t="inlineStr">
        <is>
          <t>REL_26C</t>
        </is>
      </c>
      <c r="C576" t="inlineStr">
        <is>
          <t>Use Extensibility Capabilities</t>
        </is>
      </c>
      <c r="D576" t="inlineStr">
        <is>
          <t>Use Extensibility Capabilities. Module: Self Service Procurement. Release: 26C. You can now use the extensibility capabilities supported in the Redwood Self Service Procurement application. With this update, you can extend the application in these areas:
• Home Page 
 • Personalize the Additional information drawer for preparers, requesters, buyers, and approvers. 
 • Show</t>
        </is>
      </c>
      <c r="E576" t="inlineStr">
        <is>
          <t>Self Service Procurement</t>
        </is>
      </c>
      <c r="F576" t="inlineStr">
        <is>
          <t>Functional</t>
        </is>
      </c>
      <c r="G576" t="inlineStr">
        <is>
          <t>Functional</t>
        </is>
      </c>
      <c r="H576" t="inlineStr"/>
      <c r="I576" t="inlineStr"/>
      <c r="J576" t="inlineStr">
        <is>
          <t>Self Service Procurement</t>
        </is>
      </c>
      <c r="K576" t="inlineStr">
        <is>
          <t>N</t>
        </is>
      </c>
      <c r="L576" t="inlineStr">
        <is>
          <t>Y</t>
        </is>
      </c>
      <c r="M576" t="inlineStr">
        <is>
          <t>N</t>
        </is>
      </c>
      <c r="N576" t="inlineStr">
        <is>
          <t>Action type: Steps to Enable. Leverage the Visual Builder Studio to expose your applications. To learn more about extending your application using Visual Builder, visit Oracle Help Center &gt; *your apps</t>
        </is>
      </c>
      <c r="O576" t="inlineStr">
        <is>
          <t>Medium</t>
        </is>
      </c>
      <c r="P576" t="inlineStr">
        <is>
          <t>2025-06-20</t>
        </is>
      </c>
      <c r="Q576" t="inlineStr">
        <is>
          <t>Oracle Fusion 26C Readiness — Self Service Procurement</t>
        </is>
      </c>
      <c r="R576" t="inlineStr"/>
    </row>
    <row r="577">
      <c r="A577" t="inlineStr">
        <is>
          <t>CHG_IMP_0552</t>
        </is>
      </c>
      <c r="B577" t="inlineStr">
        <is>
          <t>REL_26C</t>
        </is>
      </c>
      <c r="C577" t="inlineStr">
        <is>
          <t>Use an Email Trigger with Quote to Purchase Requisition Assistant</t>
        </is>
      </c>
      <c r="D577" t="inlineStr">
        <is>
          <t>Use an Email Trigger with Quote to Purchase Requisition Assistant. Module: Self Service Procurement. Release: 26C. In update 25D, we introduced the AI Agent: Quote to Purchase Requisition Assistant feature, which parses emails containing supplier quotations and automatically converts them into purchase requisitions. Using the assistant required setting up an internet account (email address) in a s</t>
        </is>
      </c>
      <c r="E577" t="inlineStr">
        <is>
          <t>Self Service Procurement</t>
        </is>
      </c>
      <c r="F577" t="inlineStr">
        <is>
          <t>AI Feature</t>
        </is>
      </c>
      <c r="G577" t="inlineStr">
        <is>
          <t>AI Feature</t>
        </is>
      </c>
      <c r="H577" t="inlineStr"/>
      <c r="I577" t="inlineStr"/>
      <c r="J577" t="inlineStr">
        <is>
          <t>Self Service Procurement</t>
        </is>
      </c>
      <c r="K577" t="inlineStr">
        <is>
          <t>N</t>
        </is>
      </c>
      <c r="L577" t="inlineStr">
        <is>
          <t>Y</t>
        </is>
      </c>
      <c r="M577" t="inlineStr">
        <is>
          <t>N</t>
        </is>
      </c>
      <c r="N577" t="inlineStr">
        <is>
          <t>Action type: Steps to Enable. 1. Navigate to `AI Agent Studio`, select the **`Credentials`** tab in the footer and **`Email Accounts`**tab. Credentials Page 1. Click **`Add Acc</t>
        </is>
      </c>
      <c r="O577" t="inlineStr">
        <is>
          <t>Medium</t>
        </is>
      </c>
      <c r="P577" t="inlineStr">
        <is>
          <t>2025-06-20</t>
        </is>
      </c>
      <c r="Q577" t="inlineStr">
        <is>
          <t>Oracle Fusion 26C Readiness — Self Service Procurement</t>
        </is>
      </c>
      <c r="R577" t="inlineStr"/>
    </row>
    <row r="578">
      <c r="A578" t="inlineStr">
        <is>
          <t>CHG_IMP_0553</t>
        </is>
      </c>
      <c r="B578" t="inlineStr">
        <is>
          <t>REL_26C</t>
        </is>
      </c>
      <c r="C578" t="inlineStr">
        <is>
          <t>View Additional Information About Deliver-to Locations</t>
        </is>
      </c>
      <c r="D578" t="inlineStr">
        <is>
          <t>View Additional Information About Deliver-to Locations. Module: Self Service Procurement. Release: 26C. You can now view additional information about the deliver-to location on a requisition line, including the address of the location and location code.
To use this feature, use the link for the deliver-to location when viewing a requisition line. The location details includes the location name, l</t>
        </is>
      </c>
      <c r="E578" t="inlineStr">
        <is>
          <t>Self Service Procurement</t>
        </is>
      </c>
      <c r="F578" t="inlineStr">
        <is>
          <t>Functional</t>
        </is>
      </c>
      <c r="G578" t="inlineStr">
        <is>
          <t>Functional</t>
        </is>
      </c>
      <c r="H578" t="inlineStr"/>
      <c r="I578" t="inlineStr"/>
      <c r="J578" t="inlineStr">
        <is>
          <t>Self Service Procurement</t>
        </is>
      </c>
      <c r="K578" t="inlineStr">
        <is>
          <t>N</t>
        </is>
      </c>
      <c r="L578" t="inlineStr">
        <is>
          <t>N</t>
        </is>
      </c>
      <c r="M578" t="inlineStr">
        <is>
          <t>N</t>
        </is>
      </c>
      <c r="N578" t="inlineStr">
        <is>
          <t>Auto-enabled — no action required</t>
        </is>
      </c>
      <c r="O578" t="inlineStr">
        <is>
          <t>Low</t>
        </is>
      </c>
      <c r="P578" t="inlineStr">
        <is>
          <t>2025-06-20</t>
        </is>
      </c>
      <c r="Q578" t="inlineStr">
        <is>
          <t>Oracle Fusion 26C Readiness — Self Service Procurement</t>
        </is>
      </c>
      <c r="R578" t="inlineStr"/>
    </row>
    <row r="579">
      <c r="A579" t="inlineStr">
        <is>
          <t>CHG_IMP_0554</t>
        </is>
      </c>
      <c r="B579" t="inlineStr">
        <is>
          <t>REL_26C</t>
        </is>
      </c>
      <c r="C579" t="inlineStr">
        <is>
          <t>View Additional Information About Preparers, Requesters, Buyers, and Approvers</t>
        </is>
      </c>
      <c r="D579" t="inlineStr">
        <is>
          <t>View Additional Information About Preparers, Requesters, Buyers, and Approvers. Module: Self Service Procurement. Release: 26C. You can now view additional information about the preparers, requesters, buyers, and approvers on requisitions and purchase orders. In addition to details such as name, job title, manager name, and department, you can also view contact information such as email, work phon</t>
        </is>
      </c>
      <c r="E579" t="inlineStr">
        <is>
          <t>Self Service Procurement</t>
        </is>
      </c>
      <c r="F579" t="inlineStr">
        <is>
          <t>Functional</t>
        </is>
      </c>
      <c r="G579" t="inlineStr">
        <is>
          <t>Functional</t>
        </is>
      </c>
      <c r="H579" t="inlineStr"/>
      <c r="I579" t="inlineStr"/>
      <c r="J579" t="inlineStr">
        <is>
          <t>Self Service Procurement</t>
        </is>
      </c>
      <c r="K579" t="inlineStr">
        <is>
          <t>N</t>
        </is>
      </c>
      <c r="L579" t="inlineStr">
        <is>
          <t>N</t>
        </is>
      </c>
      <c r="M579" t="inlineStr">
        <is>
          <t>N</t>
        </is>
      </c>
      <c r="N579" t="inlineStr">
        <is>
          <t>Auto-enabled — no action required</t>
        </is>
      </c>
      <c r="O579" t="inlineStr">
        <is>
          <t>Low</t>
        </is>
      </c>
      <c r="P579" t="inlineStr">
        <is>
          <t>2025-06-20</t>
        </is>
      </c>
      <c r="Q579" t="inlineStr">
        <is>
          <t>Oracle Fusion 26C Readiness — Self Service Procurement</t>
        </is>
      </c>
      <c r="R579" t="inlineStr"/>
    </row>
    <row r="580">
      <c r="A580" t="inlineStr">
        <is>
          <t>CHG_IMP_0555</t>
        </is>
      </c>
      <c r="B580" t="inlineStr">
        <is>
          <t>REL_26C</t>
        </is>
      </c>
      <c r="C580" t="inlineStr">
        <is>
          <t>View Punchout Cart and Additional Details During Shopping</t>
        </is>
      </c>
      <c r="D580" t="inlineStr">
        <is>
          <t>View Punchout Cart and Additional Details During Shopping. Module: Self Service Procurement. Release: 26C. You can now view punchout details (structured data returned by the supplier, typically in cXML or a similar format) when shopping from an external store. This data includes cart-level and line-level information, such as supplier item identifiers, descriptions, UOM, price, and any extended att</t>
        </is>
      </c>
      <c r="E580" t="inlineStr">
        <is>
          <t>Self Service Procurement</t>
        </is>
      </c>
      <c r="F580" t="inlineStr">
        <is>
          <t>Functional</t>
        </is>
      </c>
      <c r="G580" t="inlineStr">
        <is>
          <t>Functional</t>
        </is>
      </c>
      <c r="H580" t="inlineStr"/>
      <c r="I580" t="inlineStr"/>
      <c r="J580" t="inlineStr">
        <is>
          <t>Self Service Procurement</t>
        </is>
      </c>
      <c r="K580" t="inlineStr">
        <is>
          <t>N</t>
        </is>
      </c>
      <c r="L580" t="inlineStr">
        <is>
          <t>Y</t>
        </is>
      </c>
      <c r="M580" t="inlineStr">
        <is>
          <t>N</t>
        </is>
      </c>
      <c r="N580" t="inlineStr">
        <is>
          <t>Action type: Steps to Enable. There are no steps to enable this feature.</t>
        </is>
      </c>
      <c r="O580" t="inlineStr">
        <is>
          <t>Medium</t>
        </is>
      </c>
      <c r="P580" t="inlineStr">
        <is>
          <t>2025-06-20</t>
        </is>
      </c>
      <c r="Q580" t="inlineStr">
        <is>
          <t>Oracle Fusion 26C Readiness — Self Service Procurement</t>
        </is>
      </c>
      <c r="R580" t="inlineStr"/>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4" customWidth="1" min="4" max="4"/>
    <col width="17" customWidth="1" min="5" max="5"/>
    <col width="15" customWidth="1" min="6" max="6"/>
    <col width="12" customWidth="1" min="7" max="7"/>
  </cols>
  <sheetData>
    <row r="1">
      <c r="A1" s="5" t="inlineStr">
        <is>
          <t>Process_ID</t>
        </is>
      </c>
      <c r="B1" s="5" t="inlineStr">
        <is>
          <t>Process_Name</t>
        </is>
      </c>
      <c r="C1" s="5" t="inlineStr">
        <is>
          <t>Module</t>
        </is>
      </c>
      <c r="D1" s="5" t="inlineStr">
        <is>
          <t>Sub_Module</t>
        </is>
      </c>
      <c r="E1" s="5" t="inlineStr">
        <is>
          <t>Process_Owner</t>
        </is>
      </c>
      <c r="F1" s="5" t="inlineStr">
        <is>
          <t>Criticality</t>
        </is>
      </c>
      <c r="G1" s="5" t="inlineStr">
        <is>
          <t>Status</t>
        </is>
      </c>
    </row>
    <row r="2">
      <c r="A2" t="inlineStr">
        <is>
          <t>BP_DFL_001</t>
        </is>
      </c>
      <c r="B2" t="inlineStr">
        <is>
          <t>Payroll Processing</t>
        </is>
      </c>
      <c r="C2" t="inlineStr">
        <is>
          <t>Payroll</t>
        </is>
      </c>
      <c r="D2" t="inlineStr">
        <is>
          <t>UK Monthly Payroll</t>
        </is>
      </c>
      <c r="E2" t="inlineStr">
        <is>
          <t>Payroll Manager</t>
        </is>
      </c>
      <c r="F2" t="inlineStr">
        <is>
          <t>Critical</t>
        </is>
      </c>
      <c r="G2" t="inlineStr">
        <is>
          <t>Active</t>
        </is>
      </c>
    </row>
    <row r="3">
      <c r="A3" t="inlineStr">
        <is>
          <t>BP_DFL_002</t>
        </is>
      </c>
      <c r="B3" t="inlineStr">
        <is>
          <t>Hire to Retire</t>
        </is>
      </c>
      <c r="C3" t="inlineStr">
        <is>
          <t>Human Resources</t>
        </is>
      </c>
      <c r="D3" t="inlineStr">
        <is>
          <t>HR Onboarding/Offboarding</t>
        </is>
      </c>
      <c r="E3" t="inlineStr">
        <is>
          <t>HR Director</t>
        </is>
      </c>
      <c r="F3" t="inlineStr">
        <is>
          <t>Critical</t>
        </is>
      </c>
      <c r="G3" t="inlineStr">
        <is>
          <t>Active</t>
        </is>
      </c>
    </row>
    <row r="4">
      <c r="A4" t="inlineStr">
        <is>
          <t>BP_DFL_003</t>
        </is>
      </c>
      <c r="B4" t="inlineStr">
        <is>
          <t>Absence &amp; Leave</t>
        </is>
      </c>
      <c r="C4" t="inlineStr">
        <is>
          <t>Absence Mgmt</t>
        </is>
      </c>
      <c r="D4" t="inlineStr">
        <is>
          <t>Annual Leave / Sickness</t>
        </is>
      </c>
      <c r="E4" t="inlineStr">
        <is>
          <t>HR Manager</t>
        </is>
      </c>
      <c r="F4" t="inlineStr">
        <is>
          <t>High</t>
        </is>
      </c>
      <c r="G4" t="inlineStr">
        <is>
          <t>Active</t>
        </is>
      </c>
    </row>
    <row r="5">
      <c r="A5" t="inlineStr">
        <is>
          <t>BP_DFL_004</t>
        </is>
      </c>
      <c r="B5" t="inlineStr">
        <is>
          <t>Time Recording</t>
        </is>
      </c>
      <c r="C5" t="inlineStr">
        <is>
          <t>Time and Labor</t>
        </is>
      </c>
      <c r="D5" t="inlineStr">
        <is>
          <t>On-call / Shift Recording</t>
        </is>
      </c>
      <c r="E5" t="inlineStr">
        <is>
          <t>Ops Manager</t>
        </is>
      </c>
      <c r="F5" t="inlineStr">
        <is>
          <t>High</t>
        </is>
      </c>
      <c r="G5" t="inlineStr">
        <is>
          <t>Active</t>
        </is>
      </c>
    </row>
    <row r="6">
      <c r="A6" t="inlineStr">
        <is>
          <t>BP_DFL_005</t>
        </is>
      </c>
      <c r="B6" t="inlineStr">
        <is>
          <t>Procure to Pay</t>
        </is>
      </c>
      <c r="C6" t="inlineStr">
        <is>
          <t>Financials</t>
        </is>
      </c>
      <c r="D6" t="inlineStr">
        <is>
          <t>Supplier Invoice Processing</t>
        </is>
      </c>
      <c r="E6" t="inlineStr">
        <is>
          <t>AP Manager</t>
        </is>
      </c>
      <c r="F6" t="inlineStr">
        <is>
          <t>Critical</t>
        </is>
      </c>
      <c r="G6" t="inlineStr">
        <is>
          <t>Active</t>
        </is>
      </c>
    </row>
    <row r="7">
      <c r="A7" t="inlineStr">
        <is>
          <t>BP_DFL_006</t>
        </is>
      </c>
      <c r="B7" t="inlineStr">
        <is>
          <t>Revenue Recognition</t>
        </is>
      </c>
      <c r="C7" t="inlineStr">
        <is>
          <t>Financials</t>
        </is>
      </c>
      <c r="D7" t="inlineStr">
        <is>
          <t>Pre-need / At-need Revenue</t>
        </is>
      </c>
      <c r="E7" t="inlineStr">
        <is>
          <t>Finance Controller</t>
        </is>
      </c>
      <c r="F7" t="inlineStr">
        <is>
          <t>Critical</t>
        </is>
      </c>
      <c r="G7" t="inlineStr">
        <is>
          <t>Active</t>
        </is>
      </c>
    </row>
    <row r="8">
      <c r="A8" t="inlineStr">
        <is>
          <t>BP_DFL_007</t>
        </is>
      </c>
      <c r="B8" t="inlineStr">
        <is>
          <t>Period Close</t>
        </is>
      </c>
      <c r="C8" t="inlineStr">
        <is>
          <t>Financials</t>
        </is>
      </c>
      <c r="D8" t="inlineStr">
        <is>
          <t>Month End Close</t>
        </is>
      </c>
      <c r="E8" t="inlineStr">
        <is>
          <t>Financial Controller</t>
        </is>
      </c>
      <c r="F8" t="inlineStr">
        <is>
          <t>Critical</t>
        </is>
      </c>
      <c r="G8" t="inlineStr">
        <is>
          <t>Active</t>
        </is>
      </c>
    </row>
    <row r="9">
      <c r="A9" t="inlineStr">
        <is>
          <t>BP_DFL_008</t>
        </is>
      </c>
      <c r="B9" t="inlineStr">
        <is>
          <t>Supplier Management</t>
        </is>
      </c>
      <c r="C9" t="inlineStr">
        <is>
          <t>Procurement</t>
        </is>
      </c>
      <c r="D9" t="inlineStr">
        <is>
          <t>Supplier Onboarding &amp; PO</t>
        </is>
      </c>
      <c r="E9" t="inlineStr">
        <is>
          <t>Procurement Manager</t>
        </is>
      </c>
      <c r="F9" t="inlineStr">
        <is>
          <t>High</t>
        </is>
      </c>
      <c r="G9" t="inlineStr">
        <is>
          <t>Active</t>
        </is>
      </c>
    </row>
    <row r="10">
      <c r="A10" t="inlineStr">
        <is>
          <t>BP_DFL_009</t>
        </is>
      </c>
      <c r="B10" t="inlineStr">
        <is>
          <t>Funeral Supply Chain</t>
        </is>
      </c>
      <c r="C10" t="inlineStr">
        <is>
          <t>Inventory Mgmt</t>
        </is>
      </c>
      <c r="D10" t="inlineStr">
        <is>
          <t>Casket/Supply Inventory</t>
        </is>
      </c>
      <c r="E10" t="inlineStr">
        <is>
          <t>Supply Chain Manager</t>
        </is>
      </c>
      <c r="F10" t="inlineStr">
        <is>
          <t>High</t>
        </is>
      </c>
      <c r="G10" t="inlineStr">
        <is>
          <t>Active</t>
        </is>
      </c>
    </row>
    <row r="11">
      <c r="A11" t="inlineStr">
        <is>
          <t>BP_DFL_010</t>
        </is>
      </c>
      <c r="B11" t="inlineStr">
        <is>
          <t>Funeral Case Management</t>
        </is>
      </c>
      <c r="C11" t="inlineStr">
        <is>
          <t>Order Management</t>
        </is>
      </c>
      <c r="D11" t="inlineStr">
        <is>
          <t>At-need Service Orders</t>
        </is>
      </c>
      <c r="E11" t="inlineStr">
        <is>
          <t>Operations Director</t>
        </is>
      </c>
      <c r="F11" t="inlineStr">
        <is>
          <t>Critical</t>
        </is>
      </c>
      <c r="G11" t="inlineStr">
        <is>
          <t>Active</t>
        </is>
      </c>
    </row>
    <row r="12">
      <c r="A12" t="inlineStr">
        <is>
          <t>BP_DFL_011</t>
        </is>
      </c>
      <c r="B12" t="inlineStr">
        <is>
          <t>Workforce Scheduling</t>
        </is>
      </c>
      <c r="C12" t="inlineStr">
        <is>
          <t>Workforce Sched</t>
        </is>
      </c>
      <c r="D12" t="inlineStr">
        <is>
          <t>Branch Rota &amp; On-call</t>
        </is>
      </c>
      <c r="E12" t="inlineStr">
        <is>
          <t>Regional Manager</t>
        </is>
      </c>
      <c r="F12" t="inlineStr">
        <is>
          <t>High</t>
        </is>
      </c>
      <c r="G12" t="inlineStr">
        <is>
          <t>Active</t>
        </is>
      </c>
    </row>
    <row r="13">
      <c r="A13" t="inlineStr">
        <is>
          <t>BP_DFL_012</t>
        </is>
      </c>
      <c r="B13" t="inlineStr">
        <is>
          <t>Talent Acquisition</t>
        </is>
      </c>
      <c r="C13" t="inlineStr">
        <is>
          <t>Recruiting</t>
        </is>
      </c>
      <c r="D13" t="inlineStr">
        <is>
          <t>Funeral Director Recruitment</t>
        </is>
      </c>
      <c r="E13" t="inlineStr">
        <is>
          <t>HR Talent Lead</t>
        </is>
      </c>
      <c r="F13" t="inlineStr">
        <is>
          <t>Medium</t>
        </is>
      </c>
      <c r="G13" t="inlineStr">
        <is>
          <t>Active</t>
        </is>
      </c>
    </row>
    <row r="14">
      <c r="A14" t="inlineStr">
        <is>
          <t>BP_DFL_013</t>
        </is>
      </c>
      <c r="B14" t="inlineStr">
        <is>
          <t>Branch Capex Projects</t>
        </is>
      </c>
      <c r="C14" t="inlineStr">
        <is>
          <t>Project Mgmt</t>
        </is>
      </c>
      <c r="D14" t="inlineStr">
        <is>
          <t>Branch Refurbishment</t>
        </is>
      </c>
      <c r="E14" t="inlineStr">
        <is>
          <t>Estates Manager</t>
        </is>
      </c>
      <c r="F14" t="inlineStr">
        <is>
          <t>Medium</t>
        </is>
      </c>
      <c r="G14" t="inlineStr">
        <is>
          <t>Active</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5" customWidth="1" min="6" max="6"/>
    <col width="15" customWidth="1" min="7" max="7"/>
    <col width="12" customWidth="1" min="8" max="8"/>
  </cols>
  <sheetData>
    <row r="1">
      <c r="A1" s="5" t="inlineStr">
        <is>
          <t>App_ID</t>
        </is>
      </c>
      <c r="B1" s="5" t="inlineStr">
        <is>
          <t>App_Name</t>
        </is>
      </c>
      <c r="C1" s="5" t="inlineStr">
        <is>
          <t>App_Type</t>
        </is>
      </c>
      <c r="D1" s="5" t="inlineStr">
        <is>
          <t>Vendor</t>
        </is>
      </c>
      <c r="E1" s="5" t="inlineStr">
        <is>
          <t>Version</t>
        </is>
      </c>
      <c r="F1" s="5" t="inlineStr">
        <is>
          <t>Environment</t>
        </is>
      </c>
      <c r="G1" s="5" t="inlineStr">
        <is>
          <t>Criticality</t>
        </is>
      </c>
      <c r="H1" s="5" t="inlineStr">
        <is>
          <t>Status</t>
        </is>
      </c>
    </row>
    <row r="2">
      <c r="A2" t="inlineStr">
        <is>
          <t>APP_DFL_001</t>
        </is>
      </c>
      <c r="B2" t="inlineStr">
        <is>
          <t>Oracle Fusion ERP</t>
        </is>
      </c>
      <c r="C2" t="inlineStr">
        <is>
          <t>SaaS</t>
        </is>
      </c>
      <c r="D2" t="inlineStr">
        <is>
          <t>Oracle</t>
        </is>
      </c>
      <c r="E2" t="inlineStr">
        <is>
          <t>26C</t>
        </is>
      </c>
      <c r="F2" t="inlineStr">
        <is>
          <t>PROD</t>
        </is>
      </c>
      <c r="G2" t="inlineStr">
        <is>
          <t>Critical</t>
        </is>
      </c>
      <c r="H2" t="inlineStr">
        <is>
          <t>Active</t>
        </is>
      </c>
    </row>
    <row r="3">
      <c r="A3" t="inlineStr">
        <is>
          <t>APP_DFL_002</t>
        </is>
      </c>
      <c r="B3" t="inlineStr">
        <is>
          <t>Oracle Fusion HCM</t>
        </is>
      </c>
      <c r="C3" t="inlineStr">
        <is>
          <t>SaaS</t>
        </is>
      </c>
      <c r="D3" t="inlineStr">
        <is>
          <t>Oracle</t>
        </is>
      </c>
      <c r="E3" t="inlineStr">
        <is>
          <t>26C</t>
        </is>
      </c>
      <c r="F3" t="inlineStr">
        <is>
          <t>PROD</t>
        </is>
      </c>
      <c r="G3" t="inlineStr">
        <is>
          <t>Critical</t>
        </is>
      </c>
      <c r="H3" t="inlineStr">
        <is>
          <t>Active</t>
        </is>
      </c>
    </row>
    <row r="4">
      <c r="A4" t="inlineStr">
        <is>
          <t>APP_DFL_003</t>
        </is>
      </c>
      <c r="B4" t="inlineStr">
        <is>
          <t>Oracle Fusion SCM</t>
        </is>
      </c>
      <c r="C4" t="inlineStr">
        <is>
          <t>SaaS</t>
        </is>
      </c>
      <c r="D4" t="inlineStr">
        <is>
          <t>Oracle</t>
        </is>
      </c>
      <c r="E4" t="inlineStr">
        <is>
          <t>26C</t>
        </is>
      </c>
      <c r="F4" t="inlineStr">
        <is>
          <t>PROD</t>
        </is>
      </c>
      <c r="G4" t="inlineStr">
        <is>
          <t>High</t>
        </is>
      </c>
      <c r="H4" t="inlineStr">
        <is>
          <t>Active</t>
        </is>
      </c>
    </row>
    <row r="5">
      <c r="A5" t="inlineStr">
        <is>
          <t>APP_DFL_004</t>
        </is>
      </c>
      <c r="B5" t="inlineStr">
        <is>
          <t>DFL Case Mgmt System</t>
        </is>
      </c>
      <c r="C5" t="inlineStr">
        <is>
          <t>On-Premise</t>
        </is>
      </c>
      <c r="D5" t="inlineStr">
        <is>
          <t>Internal</t>
        </is>
      </c>
      <c r="E5" t="inlineStr">
        <is>
          <t>v4.2</t>
        </is>
      </c>
      <c r="F5" t="inlineStr">
        <is>
          <t>PROD</t>
        </is>
      </c>
      <c r="G5" t="inlineStr">
        <is>
          <t>Critical</t>
        </is>
      </c>
      <c r="H5" t="inlineStr">
        <is>
          <t>Active</t>
        </is>
      </c>
    </row>
    <row r="6">
      <c r="A6" t="inlineStr">
        <is>
          <t>APP_DFL_005</t>
        </is>
      </c>
      <c r="B6" t="inlineStr">
        <is>
          <t>DFL Branch POS</t>
        </is>
      </c>
      <c r="C6" t="inlineStr">
        <is>
          <t>On-Premise</t>
        </is>
      </c>
      <c r="D6" t="inlineStr">
        <is>
          <t>Tillpoint</t>
        </is>
      </c>
      <c r="E6" t="inlineStr">
        <is>
          <t>v2.1</t>
        </is>
      </c>
      <c r="F6" t="inlineStr">
        <is>
          <t>PROD</t>
        </is>
      </c>
      <c r="G6" t="inlineStr">
        <is>
          <t>High</t>
        </is>
      </c>
      <c r="H6" t="inlineStr">
        <is>
          <t>Active</t>
        </is>
      </c>
    </row>
    <row r="7">
      <c r="A7" t="inlineStr">
        <is>
          <t>APP_DFL_006</t>
        </is>
      </c>
      <c r="B7" t="inlineStr">
        <is>
          <t>Dignity Pre-need Portal</t>
        </is>
      </c>
      <c r="C7" t="inlineStr">
        <is>
          <t>SaaS</t>
        </is>
      </c>
      <c r="D7" t="inlineStr">
        <is>
          <t>Third Party</t>
        </is>
      </c>
      <c r="E7" t="inlineStr">
        <is>
          <t>v3.0</t>
        </is>
      </c>
      <c r="F7" t="inlineStr">
        <is>
          <t>PROD</t>
        </is>
      </c>
      <c r="G7" t="inlineStr">
        <is>
          <t>High</t>
        </is>
      </c>
      <c r="H7" t="inlineStr">
        <is>
          <t>Active</t>
        </is>
      </c>
    </row>
    <row r="8">
      <c r="A8" t="inlineStr">
        <is>
          <t>APP_DFL_007</t>
        </is>
      </c>
      <c r="B8" t="inlineStr">
        <is>
          <t>HR Reporting (BI)</t>
        </is>
      </c>
      <c r="C8" t="inlineStr">
        <is>
          <t>SaaS</t>
        </is>
      </c>
      <c r="D8" t="inlineStr">
        <is>
          <t>Oracle OTBI</t>
        </is>
      </c>
      <c r="E8" t="inlineStr">
        <is>
          <t>26C</t>
        </is>
      </c>
      <c r="F8" t="inlineStr">
        <is>
          <t>PROD</t>
        </is>
      </c>
      <c r="G8" t="inlineStr">
        <is>
          <t>Medium</t>
        </is>
      </c>
      <c r="H8" t="inlineStr">
        <is>
          <t>Active</t>
        </is>
      </c>
    </row>
    <row r="9">
      <c r="A9" t="inlineStr">
        <is>
          <t>APP_DFL_008</t>
        </is>
      </c>
      <c r="B9" t="inlineStr">
        <is>
          <t>Sage Payroll (legacy)</t>
        </is>
      </c>
      <c r="C9" t="inlineStr">
        <is>
          <t>On-Premise</t>
        </is>
      </c>
      <c r="D9" t="inlineStr">
        <is>
          <t>Sage</t>
        </is>
      </c>
      <c r="E9" t="inlineStr">
        <is>
          <t>2023</t>
        </is>
      </c>
      <c r="F9" t="inlineStr">
        <is>
          <t>PROD</t>
        </is>
      </c>
      <c r="G9" t="inlineStr">
        <is>
          <t>Low</t>
        </is>
      </c>
      <c r="H9" t="inlineStr">
        <is>
          <t>Decommission</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7" customWidth="1" min="3" max="3"/>
    <col width="17" customWidth="1" min="4" max="4"/>
    <col width="13" customWidth="1" min="5" max="5"/>
    <col width="12" customWidth="1" min="6" max="6"/>
    <col width="13" customWidth="1" min="7" max="7"/>
    <col width="15" customWidth="1" min="8" max="8"/>
    <col width="12" customWidth="1" min="9" max="9"/>
  </cols>
  <sheetData>
    <row r="1">
      <c r="A1" s="5" t="inlineStr">
        <is>
          <t>Interface_ID</t>
        </is>
      </c>
      <c r="B1" s="5" t="inlineStr">
        <is>
          <t>Interface_Name</t>
        </is>
      </c>
      <c r="C1" s="5" t="inlineStr">
        <is>
          <t>Source_System</t>
        </is>
      </c>
      <c r="D1" s="5" t="inlineStr">
        <is>
          <t>Target_System</t>
        </is>
      </c>
      <c r="E1" s="5" t="inlineStr">
        <is>
          <t>Direction</t>
        </is>
      </c>
      <c r="F1" s="5" t="inlineStr">
        <is>
          <t>Protocol</t>
        </is>
      </c>
      <c r="G1" s="5" t="inlineStr">
        <is>
          <t>Frequency</t>
        </is>
      </c>
      <c r="H1" s="5" t="inlineStr">
        <is>
          <t>Criticality</t>
        </is>
      </c>
      <c r="I1" s="5" t="inlineStr">
        <is>
          <t>Status</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5" customWidth="1" min="5" max="5"/>
    <col width="15" customWidth="1" min="6" max="6"/>
    <col width="17" customWidth="1" min="7" max="7"/>
    <col width="12" customWidth="1" min="8" max="8"/>
  </cols>
  <sheetData>
    <row r="1">
      <c r="A1" s="5" t="inlineStr">
        <is>
          <t>Job_ID</t>
        </is>
      </c>
      <c r="B1" s="5" t="inlineStr">
        <is>
          <t>Job_Name</t>
        </is>
      </c>
      <c r="C1" s="5" t="inlineStr">
        <is>
          <t>Schedule</t>
        </is>
      </c>
      <c r="D1" s="5" t="inlineStr">
        <is>
          <t>Module</t>
        </is>
      </c>
      <c r="E1" s="5" t="inlineStr">
        <is>
          <t>Run_As_User</t>
        </is>
      </c>
      <c r="F1" s="5" t="inlineStr">
        <is>
          <t>Criticality</t>
        </is>
      </c>
      <c r="G1" s="5" t="inlineStr">
        <is>
          <t>Last_Run_Date</t>
        </is>
      </c>
      <c r="H1" s="5" t="inlineStr">
        <is>
          <t>Status</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8" customWidth="1" min="4" max="4"/>
    <col width="12" customWidth="1" min="5" max="5"/>
    <col width="19" customWidth="1" min="6" max="6"/>
    <col width="12" customWidth="1" min="7" max="7"/>
    <col width="12" customWidth="1" min="8" max="8"/>
  </cols>
  <sheetData>
    <row r="1">
      <c r="A1" s="5" t="inlineStr">
        <is>
          <t>Env_ID</t>
        </is>
      </c>
      <c r="B1" s="5" t="inlineStr">
        <is>
          <t>Env_Name</t>
        </is>
      </c>
      <c r="C1" s="5" t="inlineStr">
        <is>
          <t>Env_Type</t>
        </is>
      </c>
      <c r="D1" s="5" t="inlineStr">
        <is>
          <t>Oracle_Product</t>
        </is>
      </c>
      <c r="E1" s="5" t="inlineStr">
        <is>
          <t>URL</t>
        </is>
      </c>
      <c r="F1" s="5" t="inlineStr">
        <is>
          <t>Refresh_Cadence</t>
        </is>
      </c>
      <c r="G1" s="5" t="inlineStr">
        <is>
          <t>Owner</t>
        </is>
      </c>
      <c r="H1" s="5" t="inlineStr">
        <is>
          <t>Status</t>
        </is>
      </c>
    </row>
    <row r="2">
      <c r="A2" t="inlineStr">
        <is>
          <t>ENV_DFL_001</t>
        </is>
      </c>
      <c r="B2" t="inlineStr">
        <is>
          <t>Production</t>
        </is>
      </c>
      <c r="C2" t="inlineStr">
        <is>
          <t>PROD</t>
        </is>
      </c>
      <c r="D2" t="inlineStr">
        <is>
          <t>Oracle</t>
        </is>
      </c>
      <c r="E2" t="inlineStr">
        <is>
          <t>Oracle Cloud</t>
        </is>
      </c>
      <c r="F2" t="inlineStr">
        <is>
          <t>Critical</t>
        </is>
      </c>
      <c r="G2" t="inlineStr">
        <is>
          <t>Active</t>
        </is>
      </c>
      <c r="H2" t="inlineStr">
        <is>
          <t>2025-06-20</t>
        </is>
      </c>
    </row>
    <row r="3">
      <c r="A3" t="inlineStr">
        <is>
          <t>ENV_DFL_002</t>
        </is>
      </c>
      <c r="B3" t="inlineStr">
        <is>
          <t>UAT</t>
        </is>
      </c>
      <c r="C3" t="inlineStr">
        <is>
          <t>UAT</t>
        </is>
      </c>
      <c r="D3" t="inlineStr">
        <is>
          <t>Oracle</t>
        </is>
      </c>
      <c r="E3" t="inlineStr">
        <is>
          <t>Oracle Cloud</t>
        </is>
      </c>
      <c r="F3" t="inlineStr">
        <is>
          <t>High</t>
        </is>
      </c>
      <c r="G3" t="inlineStr">
        <is>
          <t>Active</t>
        </is>
      </c>
      <c r="H3" t="inlineStr">
        <is>
          <t>2025-05-20</t>
        </is>
      </c>
    </row>
    <row r="4">
      <c r="A4" t="inlineStr">
        <is>
          <t>ENV_DFL_003</t>
        </is>
      </c>
      <c r="B4" t="inlineStr">
        <is>
          <t>Dev/Sandbox</t>
        </is>
      </c>
      <c r="C4" t="inlineStr">
        <is>
          <t>DEV</t>
        </is>
      </c>
      <c r="D4" t="inlineStr">
        <is>
          <t>Oracle</t>
        </is>
      </c>
      <c r="E4" t="inlineStr">
        <is>
          <t>Oracle Cloud</t>
        </is>
      </c>
      <c r="F4" t="inlineStr">
        <is>
          <t>Medium</t>
        </is>
      </c>
      <c r="G4" t="inlineStr">
        <is>
          <t>Active</t>
        </is>
      </c>
      <c r="H4" t="inlineStr">
        <is>
          <t>2025-04-20</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15" customWidth="1" min="4" max="4"/>
    <col width="16" customWidth="1" min="5" max="5"/>
    <col width="21" customWidth="1" min="6" max="6"/>
    <col width="14" customWidth="1" min="7" max="7"/>
    <col width="12" customWidth="1" min="8" max="8"/>
  </cols>
  <sheetData>
    <row r="1">
      <c r="A1" s="5" t="inlineStr">
        <is>
          <t>Config_ID</t>
        </is>
      </c>
      <c r="B1" s="5" t="inlineStr">
        <is>
          <t>Module</t>
        </is>
      </c>
      <c r="C1" s="5" t="inlineStr">
        <is>
          <t>Config_Area</t>
        </is>
      </c>
      <c r="D1" s="5" t="inlineStr">
        <is>
          <t>Config_Name</t>
        </is>
      </c>
      <c r="E1" s="5" t="inlineStr">
        <is>
          <t>Config_Value</t>
        </is>
      </c>
      <c r="F1" s="5" t="inlineStr">
        <is>
          <t>Last_Changed_Date</t>
        </is>
      </c>
      <c r="G1" s="5" t="inlineStr">
        <is>
          <t>Changed_By</t>
        </is>
      </c>
      <c r="H1" s="5" t="inlineStr">
        <is>
          <t>Status</t>
        </is>
      </c>
    </row>
    <row r="2">
      <c r="A2" t="inlineStr">
        <is>
          <t>CFG_DFL_001</t>
        </is>
      </c>
      <c r="B2" t="inlineStr">
        <is>
          <t>UK Payroll Elements</t>
        </is>
      </c>
      <c r="C2" t="inlineStr">
        <is>
          <t>Payroll</t>
        </is>
      </c>
      <c r="D2" t="inlineStr">
        <is>
          <t>On-call allowance, shift uplift, night differential</t>
        </is>
      </c>
      <c r="E2" t="inlineStr">
        <is>
          <t>Payroll Team</t>
        </is>
      </c>
      <c r="F2" t="inlineStr">
        <is>
          <t>Critical</t>
        </is>
      </c>
      <c r="G2" t="inlineStr">
        <is>
          <t>Active</t>
        </is>
      </c>
    </row>
    <row r="3">
      <c r="A3" t="inlineStr">
        <is>
          <t>CFG_DFL_002</t>
        </is>
      </c>
      <c r="B3" t="inlineStr">
        <is>
          <t>Absence Plans</t>
        </is>
      </c>
      <c r="C3" t="inlineStr">
        <is>
          <t>Absence</t>
        </is>
      </c>
      <c r="D3" t="inlineStr">
        <is>
          <t>25/28 day annual leave, carry-forward rules</t>
        </is>
      </c>
      <c r="E3" t="inlineStr">
        <is>
          <t>HR Team</t>
        </is>
      </c>
      <c r="F3" t="inlineStr">
        <is>
          <t>High</t>
        </is>
      </c>
      <c r="G3" t="inlineStr">
        <is>
          <t>Active</t>
        </is>
      </c>
    </row>
    <row r="4">
      <c r="A4" t="inlineStr">
        <is>
          <t>CFG_DFL_003</t>
        </is>
      </c>
      <c r="B4" t="inlineStr">
        <is>
          <t>Employment Contract Types</t>
        </is>
      </c>
      <c r="C4" t="inlineStr">
        <is>
          <t>HR</t>
        </is>
      </c>
      <c r="D4" t="inlineStr">
        <is>
          <t>Permanent, Fixed-term, Zero-hours contractor</t>
        </is>
      </c>
      <c r="E4" t="inlineStr">
        <is>
          <t>HR Team</t>
        </is>
      </c>
      <c r="F4" t="inlineStr">
        <is>
          <t>High</t>
        </is>
      </c>
      <c r="G4" t="inlineStr">
        <is>
          <t>Active</t>
        </is>
      </c>
    </row>
    <row r="5">
      <c r="A5" t="inlineStr">
        <is>
          <t>CFG_DFL_004</t>
        </is>
      </c>
      <c r="B5" t="inlineStr">
        <is>
          <t>AP Invoice Matching</t>
        </is>
      </c>
      <c r="C5" t="inlineStr">
        <is>
          <t>Financials</t>
        </is>
      </c>
      <c r="D5" t="inlineStr">
        <is>
          <t>PO-based 3-way match, tolerance rules</t>
        </is>
      </c>
      <c r="E5" t="inlineStr">
        <is>
          <t>AP Team</t>
        </is>
      </c>
      <c r="F5" t="inlineStr">
        <is>
          <t>High</t>
        </is>
      </c>
      <c r="G5" t="inlineStr">
        <is>
          <t>Active</t>
        </is>
      </c>
    </row>
    <row r="6">
      <c r="A6" t="inlineStr">
        <is>
          <t>CFG_DFL_005</t>
        </is>
      </c>
      <c r="B6" t="inlineStr">
        <is>
          <t>Revenue Recognition Rules</t>
        </is>
      </c>
      <c r="C6" t="inlineStr">
        <is>
          <t>Financials</t>
        </is>
      </c>
      <c r="D6" t="inlineStr">
        <is>
          <t>Pre-need deferred, at-need immediate</t>
        </is>
      </c>
      <c r="E6" t="inlineStr">
        <is>
          <t>Finance</t>
        </is>
      </c>
      <c r="F6" t="inlineStr">
        <is>
          <t>Critical</t>
        </is>
      </c>
      <c r="G6" t="inlineStr">
        <is>
          <t>Active</t>
        </is>
      </c>
    </row>
    <row r="7">
      <c r="A7" t="inlineStr">
        <is>
          <t>CFG_DFL_006</t>
        </is>
      </c>
      <c r="B7" t="inlineStr">
        <is>
          <t>Supplier Portal</t>
        </is>
      </c>
      <c r="C7" t="inlineStr">
        <is>
          <t>Procurement</t>
        </is>
      </c>
      <c r="D7" t="inlineStr">
        <is>
          <t>Approved supplier list, EDI invoicing</t>
        </is>
      </c>
      <c r="E7" t="inlineStr">
        <is>
          <t>Procurement</t>
        </is>
      </c>
      <c r="F7" t="inlineStr">
        <is>
          <t>High</t>
        </is>
      </c>
      <c r="G7" t="inlineStr">
        <is>
          <t>Active</t>
        </is>
      </c>
    </row>
    <row r="8">
      <c r="A8" t="inlineStr">
        <is>
          <t>CFG_DFL_007</t>
        </is>
      </c>
      <c r="B8" t="inlineStr">
        <is>
          <t>Inventory Lot Tracking</t>
        </is>
      </c>
      <c r="C8" t="inlineStr">
        <is>
          <t>SCM</t>
        </is>
      </c>
      <c r="D8" t="inlineStr">
        <is>
          <t>Embalming chemicals, medical consumables</t>
        </is>
      </c>
      <c r="E8" t="inlineStr">
        <is>
          <t>Supply Chain</t>
        </is>
      </c>
      <c r="F8" t="inlineStr">
        <is>
          <t>Medium</t>
        </is>
      </c>
      <c r="G8" t="inlineStr">
        <is>
          <t>Active</t>
        </is>
      </c>
    </row>
    <row r="9">
      <c r="A9" t="inlineStr">
        <is>
          <t>CFG_DFL_008</t>
        </is>
      </c>
      <c r="B9" t="inlineStr">
        <is>
          <t>Branch Rota Rules</t>
        </is>
      </c>
      <c r="C9" t="inlineStr">
        <is>
          <t>Scheduling</t>
        </is>
      </c>
      <c r="D9" t="inlineStr">
        <is>
          <t>On-call rota patterns, emergency cover rules</t>
        </is>
      </c>
      <c r="E9" t="inlineStr">
        <is>
          <t>Operations</t>
        </is>
      </c>
      <c r="F9" t="inlineStr">
        <is>
          <t>High</t>
        </is>
      </c>
      <c r="G9" t="inlineStr">
        <is>
          <t>Active</t>
        </is>
      </c>
    </row>
    <row r="10">
      <c r="A10" t="inlineStr">
        <is>
          <t>CFG_DFL_009</t>
        </is>
      </c>
      <c r="B10" t="inlineStr">
        <is>
          <t>Fixed Assets Register</t>
        </is>
      </c>
      <c r="C10" t="inlineStr">
        <is>
          <t>Financials</t>
        </is>
      </c>
      <c r="D10" t="inlineStr">
        <is>
          <t>Funeral homes, vehicles, equipment</t>
        </is>
      </c>
      <c r="E10" t="inlineStr">
        <is>
          <t>Finance</t>
        </is>
      </c>
      <c r="F10" t="inlineStr">
        <is>
          <t>High</t>
        </is>
      </c>
      <c r="G10" t="inlineStr">
        <is>
          <t>Active</t>
        </is>
      </c>
    </row>
    <row r="11">
      <c r="A11" t="inlineStr">
        <is>
          <t>CFG_DFL_010</t>
        </is>
      </c>
      <c r="B11" t="inlineStr">
        <is>
          <t>Benefit Plans</t>
        </is>
      </c>
      <c r="C11" t="inlineStr">
        <is>
          <t>Benefits</t>
        </is>
      </c>
      <c r="D11" t="inlineStr">
        <is>
          <t>BUPA, life assurance, pension, DIS</t>
        </is>
      </c>
      <c r="E11" t="inlineStr">
        <is>
          <t>HR Benefits</t>
        </is>
      </c>
      <c r="F11" t="inlineStr">
        <is>
          <t>High</t>
        </is>
      </c>
      <c r="G11" t="inlineStr">
        <is>
          <t>Active</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15" customWidth="1" min="4" max="4"/>
    <col width="50" customWidth="1" min="5" max="5"/>
    <col width="14" customWidth="1" min="6" max="6"/>
    <col width="12" customWidth="1" min="7" max="7"/>
    <col width="12" customWidth="1" min="8" max="8"/>
  </cols>
  <sheetData>
    <row r="1">
      <c r="A1" s="5" t="inlineStr">
        <is>
          <t>Custom_ID</t>
        </is>
      </c>
      <c r="B1" s="5" t="inlineStr">
        <is>
          <t>Module</t>
        </is>
      </c>
      <c r="C1" s="5" t="inlineStr">
        <is>
          <t>Object_Type</t>
        </is>
      </c>
      <c r="D1" s="5" t="inlineStr">
        <is>
          <t>Object_Name</t>
        </is>
      </c>
      <c r="E1" s="5" t="inlineStr">
        <is>
          <t>Description</t>
        </is>
      </c>
      <c r="F1" s="5" t="inlineStr">
        <is>
          <t>Complexity</t>
        </is>
      </c>
      <c r="G1" s="5" t="inlineStr">
        <is>
          <t>Owner</t>
        </is>
      </c>
      <c r="H1" s="5" t="inlineStr">
        <is>
          <t>Status</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6" customWidth="1" min="4" max="4"/>
    <col width="13" customWidth="1" min="5" max="5"/>
    <col width="12" customWidth="1" min="6" max="6"/>
    <col width="20" customWidth="1" min="7" max="7"/>
    <col width="12" customWidth="1" min="8" max="8"/>
  </cols>
  <sheetData>
    <row r="1">
      <c r="A1" s="5" t="inlineStr">
        <is>
          <t>Control_ID</t>
        </is>
      </c>
      <c r="B1" s="5" t="inlineStr">
        <is>
          <t>Control_Name</t>
        </is>
      </c>
      <c r="C1" s="5" t="inlineStr">
        <is>
          <t>Module</t>
        </is>
      </c>
      <c r="D1" s="5" t="inlineStr">
        <is>
          <t>Control_Type</t>
        </is>
      </c>
      <c r="E1" s="5" t="inlineStr">
        <is>
          <t>Frequency</t>
        </is>
      </c>
      <c r="F1" s="5" t="inlineStr">
        <is>
          <t>Owner</t>
        </is>
      </c>
      <c r="G1" s="5" t="inlineStr">
        <is>
          <t>Last_Tested_Date</t>
        </is>
      </c>
      <c r="H1" s="5" t="inlineStr">
        <is>
          <t>Status</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19"/>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3" customWidth="1" min="4" max="4"/>
    <col width="12" customWidth="1" min="5" max="5"/>
    <col width="19" customWidth="1" min="6" max="6"/>
    <col width="12" customWidth="1" min="7" max="7"/>
    <col width="12" customWidth="1" min="8" max="8"/>
  </cols>
  <sheetData>
    <row r="1">
      <c r="A1" s="5" t="inlineStr">
        <is>
          <t>Test_Case_ID</t>
        </is>
      </c>
      <c r="B1" s="5" t="inlineStr">
        <is>
          <t>Test_Name</t>
        </is>
      </c>
      <c r="C1" s="5" t="inlineStr">
        <is>
          <t>Module</t>
        </is>
      </c>
      <c r="D1" s="5" t="inlineStr">
        <is>
          <t>Test_Type</t>
        </is>
      </c>
      <c r="E1" s="5" t="inlineStr">
        <is>
          <t>Priority</t>
        </is>
      </c>
      <c r="F1" s="5" t="inlineStr">
        <is>
          <t>Automation_Flag</t>
        </is>
      </c>
      <c r="G1" s="5" t="inlineStr">
        <is>
          <t>Owner</t>
        </is>
      </c>
      <c r="H1" s="5" t="inlineStr">
        <is>
          <t>Status</t>
        </is>
      </c>
    </row>
    <row r="2">
      <c r="A2" t="inlineStr">
        <is>
          <t>TC_DFL_001</t>
        </is>
      </c>
      <c r="B2" t="inlineStr">
        <is>
          <t>ASMT_001</t>
        </is>
      </c>
      <c r="C2" t="inlineStr">
        <is>
          <t>CLT_DFL001</t>
        </is>
      </c>
      <c r="D2" t="inlineStr">
        <is>
          <t>REL_26C</t>
        </is>
      </c>
      <c r="E2" t="inlineStr">
        <is>
          <t>Validate: Payroll Element Eligibility — Enhanced Period-Specific Rules</t>
        </is>
      </c>
      <c r="F2" t="inlineStr">
        <is>
          <t>Test that DFL Payroll behaves correctly after 26C upgrade</t>
        </is>
      </c>
      <c r="G2" t="inlineStr">
        <is>
          <t>Payroll</t>
        </is>
      </c>
      <c r="H2" t="inlineStr">
        <is>
          <t>Regression</t>
        </is>
      </c>
      <c r="I2" t="inlineStr">
        <is>
          <t>High</t>
        </is>
      </c>
      <c r="J2" t="inlineStr">
        <is>
          <t>Not Started</t>
        </is>
      </c>
      <c r="K2" t="inlineStr">
        <is>
          <t>UAT</t>
        </is>
      </c>
      <c r="L2" t="inlineStr"/>
      <c r="M2" t="inlineStr"/>
      <c r="N2" t="inlineStr"/>
    </row>
    <row r="3">
      <c r="A3" t="inlineStr">
        <is>
          <t>TC_DFL_002</t>
        </is>
      </c>
      <c r="B3" t="inlineStr">
        <is>
          <t>ASMT_002</t>
        </is>
      </c>
      <c r="C3" t="inlineStr">
        <is>
          <t>CLT_DFL001</t>
        </is>
      </c>
      <c r="D3" t="inlineStr">
        <is>
          <t>REL_26C</t>
        </is>
      </c>
      <c r="E3" t="inlineStr">
        <is>
          <t>Validate: Payroll Run Results — Archive Enhancement for Legislative Changes</t>
        </is>
      </c>
      <c r="F3" t="inlineStr">
        <is>
          <t>Test that DFL Payroll behaves correctly after 26C upgrade</t>
        </is>
      </c>
      <c r="G3" t="inlineStr">
        <is>
          <t>Payroll</t>
        </is>
      </c>
      <c r="H3" t="inlineStr">
        <is>
          <t>Regression</t>
        </is>
      </c>
      <c r="I3" t="inlineStr">
        <is>
          <t>High</t>
        </is>
      </c>
      <c r="J3" t="inlineStr">
        <is>
          <t>Not Started</t>
        </is>
      </c>
      <c r="K3" t="inlineStr">
        <is>
          <t>UAT</t>
        </is>
      </c>
      <c r="L3" t="inlineStr"/>
      <c r="M3" t="inlineStr"/>
      <c r="N3" t="inlineStr"/>
    </row>
    <row r="4">
      <c r="A4" t="inlineStr">
        <is>
          <t>TC_DFL_003</t>
        </is>
      </c>
      <c r="B4" t="inlineStr">
        <is>
          <t>ASMT_003</t>
        </is>
      </c>
      <c r="C4" t="inlineStr">
        <is>
          <t>CLT_DFL001</t>
        </is>
      </c>
      <c r="D4" t="inlineStr">
        <is>
          <t>REL_26C</t>
        </is>
      </c>
      <c r="E4" t="inlineStr">
        <is>
          <t>Validate: P60 / P45 End-of-Year Report Redwood Migration</t>
        </is>
      </c>
      <c r="F4" t="inlineStr">
        <is>
          <t>Test that DFL Payroll behaves correctly after 26C upgrade</t>
        </is>
      </c>
      <c r="G4" t="inlineStr">
        <is>
          <t>Payroll</t>
        </is>
      </c>
      <c r="H4" t="inlineStr">
        <is>
          <t>Regression</t>
        </is>
      </c>
      <c r="I4" t="inlineStr">
        <is>
          <t>Medium</t>
        </is>
      </c>
      <c r="J4" t="inlineStr">
        <is>
          <t>Not Started</t>
        </is>
      </c>
      <c r="K4" t="inlineStr">
        <is>
          <t>UAT</t>
        </is>
      </c>
      <c r="L4" t="inlineStr"/>
      <c r="M4" t="inlineStr"/>
      <c r="N4" t="inlineStr"/>
    </row>
    <row r="5">
      <c r="A5" t="inlineStr">
        <is>
          <t>TC_DFL_004</t>
        </is>
      </c>
      <c r="B5" t="inlineStr">
        <is>
          <t>ASMT_004</t>
        </is>
      </c>
      <c r="C5" t="inlineStr">
        <is>
          <t>CLT_DFL001</t>
        </is>
      </c>
      <c r="D5" t="inlineStr">
        <is>
          <t>REL_26C</t>
        </is>
      </c>
      <c r="E5" t="inlineStr">
        <is>
          <t>Validate: Global HR — Person REST API v2 Breaking Change</t>
        </is>
      </c>
      <c r="F5" t="inlineStr">
        <is>
          <t>Test that DFL Human Resources behaves correctly after 26C upgrade</t>
        </is>
      </c>
      <c r="G5" t="inlineStr">
        <is>
          <t>Human Resources</t>
        </is>
      </c>
      <c r="H5" t="inlineStr">
        <is>
          <t>Regression</t>
        </is>
      </c>
      <c r="I5" t="inlineStr">
        <is>
          <t>High</t>
        </is>
      </c>
      <c r="J5" t="inlineStr">
        <is>
          <t>Not Started</t>
        </is>
      </c>
      <c r="K5" t="inlineStr">
        <is>
          <t>UAT</t>
        </is>
      </c>
      <c r="L5" t="inlineStr"/>
      <c r="M5" t="inlineStr"/>
      <c r="N5" t="inlineStr"/>
    </row>
    <row r="6">
      <c r="A6" t="inlineStr">
        <is>
          <t>TC_DFL_005</t>
        </is>
      </c>
      <c r="B6" t="inlineStr">
        <is>
          <t>ASMT_005</t>
        </is>
      </c>
      <c r="C6" t="inlineStr">
        <is>
          <t>CLT_DFL001</t>
        </is>
      </c>
      <c r="D6" t="inlineStr">
        <is>
          <t>REL_26C</t>
        </is>
      </c>
      <c r="E6" t="inlineStr">
        <is>
          <t>Validate: Employment Contract Type — New Field for Zero-Hours Contracts</t>
        </is>
      </c>
      <c r="F6" t="inlineStr">
        <is>
          <t>Test that DFL Human Resources behaves correctly after 26C upgrade</t>
        </is>
      </c>
      <c r="G6" t="inlineStr">
        <is>
          <t>Human Resources</t>
        </is>
      </c>
      <c r="H6" t="inlineStr">
        <is>
          <t>Regression</t>
        </is>
      </c>
      <c r="I6" t="inlineStr">
        <is>
          <t>High</t>
        </is>
      </c>
      <c r="J6" t="inlineStr">
        <is>
          <t>Not Started</t>
        </is>
      </c>
      <c r="K6" t="inlineStr">
        <is>
          <t>UAT</t>
        </is>
      </c>
      <c r="L6" t="inlineStr"/>
      <c r="M6" t="inlineStr"/>
      <c r="N6" t="inlineStr"/>
    </row>
    <row r="7">
      <c r="A7" t="inlineStr">
        <is>
          <t>TC_DFL_006</t>
        </is>
      </c>
      <c r="B7" t="inlineStr">
        <is>
          <t>ASMT_006</t>
        </is>
      </c>
      <c r="C7" t="inlineStr">
        <is>
          <t>CLT_DFL001</t>
        </is>
      </c>
      <c r="D7" t="inlineStr">
        <is>
          <t>REL_26C</t>
        </is>
      </c>
      <c r="E7" t="inlineStr">
        <is>
          <t>Validate: Redwood People Management — Manager Self-Service Migration</t>
        </is>
      </c>
      <c r="F7" t="inlineStr">
        <is>
          <t>Test that DFL Human Resources behaves correctly after 26C upgrade</t>
        </is>
      </c>
      <c r="G7" t="inlineStr">
        <is>
          <t>Human Resources</t>
        </is>
      </c>
      <c r="H7" t="inlineStr">
        <is>
          <t>Regression</t>
        </is>
      </c>
      <c r="I7" t="inlineStr">
        <is>
          <t>Medium</t>
        </is>
      </c>
      <c r="J7" t="inlineStr">
        <is>
          <t>Not Started</t>
        </is>
      </c>
      <c r="K7" t="inlineStr">
        <is>
          <t>UAT</t>
        </is>
      </c>
      <c r="L7" t="inlineStr"/>
      <c r="M7" t="inlineStr"/>
      <c r="N7" t="inlineStr"/>
    </row>
    <row r="8">
      <c r="A8" t="inlineStr">
        <is>
          <t>TC_DFL_007</t>
        </is>
      </c>
      <c r="B8" t="inlineStr">
        <is>
          <t>ASMT_007</t>
        </is>
      </c>
      <c r="C8" t="inlineStr">
        <is>
          <t>CLT_DFL001</t>
        </is>
      </c>
      <c r="D8" t="inlineStr">
        <is>
          <t>REL_26C</t>
        </is>
      </c>
      <c r="E8" t="inlineStr">
        <is>
          <t>Validate: Absence Plan Accrual — Enhanced Carry Forward Limits</t>
        </is>
      </c>
      <c r="F8" t="inlineStr">
        <is>
          <t>Test that DFL Absence Management behaves correctly after 26C upgrade</t>
        </is>
      </c>
      <c r="G8" t="inlineStr">
        <is>
          <t>Absence Management</t>
        </is>
      </c>
      <c r="H8" t="inlineStr">
        <is>
          <t>Regression</t>
        </is>
      </c>
      <c r="I8" t="inlineStr">
        <is>
          <t>Medium</t>
        </is>
      </c>
      <c r="J8" t="inlineStr">
        <is>
          <t>Not Started</t>
        </is>
      </c>
      <c r="K8" t="inlineStr">
        <is>
          <t>UAT</t>
        </is>
      </c>
      <c r="L8" t="inlineStr"/>
      <c r="M8" t="inlineStr"/>
      <c r="N8" t="inlineStr"/>
    </row>
    <row r="9">
      <c r="A9" t="inlineStr">
        <is>
          <t>TC_DFL_008</t>
        </is>
      </c>
      <c r="B9" t="inlineStr">
        <is>
          <t>ASMT_008</t>
        </is>
      </c>
      <c r="C9" t="inlineStr">
        <is>
          <t>CLT_DFL001</t>
        </is>
      </c>
      <c r="D9" t="inlineStr">
        <is>
          <t>REL_26C</t>
        </is>
      </c>
      <c r="E9" t="inlineStr">
        <is>
          <t>Validate: Bereavement Leave — New Statutory Type Support</t>
        </is>
      </c>
      <c r="F9" t="inlineStr">
        <is>
          <t>Test that DFL Absence Management behaves correctly after 26C upgrade</t>
        </is>
      </c>
      <c r="G9" t="inlineStr">
        <is>
          <t>Absence Management</t>
        </is>
      </c>
      <c r="H9" t="inlineStr">
        <is>
          <t>Regression</t>
        </is>
      </c>
      <c r="I9" t="inlineStr">
        <is>
          <t>High</t>
        </is>
      </c>
      <c r="J9" t="inlineStr">
        <is>
          <t>Not Started</t>
        </is>
      </c>
      <c r="K9" t="inlineStr">
        <is>
          <t>UAT</t>
        </is>
      </c>
      <c r="L9" t="inlineStr"/>
      <c r="M9" t="inlineStr"/>
      <c r="N9" t="inlineStr"/>
    </row>
    <row r="10">
      <c r="A10" t="inlineStr">
        <is>
          <t>TC_DFL_009</t>
        </is>
      </c>
      <c r="B10" t="inlineStr">
        <is>
          <t>ASMT_009</t>
        </is>
      </c>
      <c r="C10" t="inlineStr">
        <is>
          <t>CLT_DFL001</t>
        </is>
      </c>
      <c r="D10" t="inlineStr">
        <is>
          <t>REL_26C</t>
        </is>
      </c>
      <c r="E10" t="inlineStr">
        <is>
          <t>Validate: Time Card — Shift Differential Auto-Calculation Enhancement</t>
        </is>
      </c>
      <c r="F10" t="inlineStr">
        <is>
          <t>Test that DFL Time and Labor behaves correctly after 26C upgrade</t>
        </is>
      </c>
      <c r="G10" t="inlineStr">
        <is>
          <t>Time and Labor</t>
        </is>
      </c>
      <c r="H10" t="inlineStr">
        <is>
          <t>Regression</t>
        </is>
      </c>
      <c r="I10" t="inlineStr">
        <is>
          <t>Medium</t>
        </is>
      </c>
      <c r="J10" t="inlineStr">
        <is>
          <t>Not Started</t>
        </is>
      </c>
      <c r="K10" t="inlineStr">
        <is>
          <t>UAT</t>
        </is>
      </c>
      <c r="L10" t="inlineStr"/>
      <c r="M10" t="inlineStr"/>
      <c r="N10" t="inlineStr"/>
    </row>
    <row r="11">
      <c r="A11" t="inlineStr">
        <is>
          <t>TC_DFL_011</t>
        </is>
      </c>
      <c r="B11" t="inlineStr">
        <is>
          <t>ASMT_011</t>
        </is>
      </c>
      <c r="C11" t="inlineStr">
        <is>
          <t>CLT_DFL001</t>
        </is>
      </c>
      <c r="D11" t="inlineStr">
        <is>
          <t>REL_26C</t>
        </is>
      </c>
      <c r="E11" t="inlineStr">
        <is>
          <t>Validate: Accounts Payable — Invoice AI Matching Enhancement</t>
        </is>
      </c>
      <c r="F11" t="inlineStr">
        <is>
          <t>Test that DFL Financials behaves correctly after 26C upgrade</t>
        </is>
      </c>
      <c r="G11" t="inlineStr">
        <is>
          <t>Financials</t>
        </is>
      </c>
      <c r="H11" t="inlineStr">
        <is>
          <t>Regression</t>
        </is>
      </c>
      <c r="I11" t="inlineStr">
        <is>
          <t>Medium</t>
        </is>
      </c>
      <c r="J11" t="inlineStr">
        <is>
          <t>Not Started</t>
        </is>
      </c>
      <c r="K11" t="inlineStr">
        <is>
          <t>UAT</t>
        </is>
      </c>
      <c r="L11" t="inlineStr"/>
      <c r="M11" t="inlineStr"/>
      <c r="N11" t="inlineStr"/>
    </row>
    <row r="12">
      <c r="A12" t="inlineStr">
        <is>
          <t>TC_DFL_012</t>
        </is>
      </c>
      <c r="B12" t="inlineStr">
        <is>
          <t>ASMT_012</t>
        </is>
      </c>
      <c r="C12" t="inlineStr">
        <is>
          <t>CLT_DFL001</t>
        </is>
      </c>
      <c r="D12" t="inlineStr">
        <is>
          <t>REL_26C</t>
        </is>
      </c>
      <c r="E12" t="inlineStr">
        <is>
          <t>Validate: General Ledger — Period Close Redwood UI Migration</t>
        </is>
      </c>
      <c r="F12" t="inlineStr">
        <is>
          <t>Test that DFL Financials behaves correctly after 26C upgrade</t>
        </is>
      </c>
      <c r="G12" t="inlineStr">
        <is>
          <t>Financials</t>
        </is>
      </c>
      <c r="H12" t="inlineStr">
        <is>
          <t>Regression</t>
        </is>
      </c>
      <c r="I12" t="inlineStr">
        <is>
          <t>High</t>
        </is>
      </c>
      <c r="J12" t="inlineStr">
        <is>
          <t>Not Started</t>
        </is>
      </c>
      <c r="K12" t="inlineStr">
        <is>
          <t>UAT</t>
        </is>
      </c>
      <c r="L12" t="inlineStr"/>
      <c r="M12" t="inlineStr"/>
      <c r="N12" t="inlineStr"/>
    </row>
    <row r="13">
      <c r="A13" t="inlineStr">
        <is>
          <t>TC_DFL_013</t>
        </is>
      </c>
      <c r="B13" t="inlineStr">
        <is>
          <t>ASMT_013</t>
        </is>
      </c>
      <c r="C13" t="inlineStr">
        <is>
          <t>CLT_DFL001</t>
        </is>
      </c>
      <c r="D13" t="inlineStr">
        <is>
          <t>REL_26C</t>
        </is>
      </c>
      <c r="E13" t="inlineStr">
        <is>
          <t>Validate: Fixed Assets — Depreciation Schedule API Deprecation</t>
        </is>
      </c>
      <c r="F13" t="inlineStr">
        <is>
          <t>Test that DFL Financials behaves correctly after 26C upgrade</t>
        </is>
      </c>
      <c r="G13" t="inlineStr">
        <is>
          <t>Financials</t>
        </is>
      </c>
      <c r="H13" t="inlineStr">
        <is>
          <t>Regression</t>
        </is>
      </c>
      <c r="I13" t="inlineStr">
        <is>
          <t>High</t>
        </is>
      </c>
      <c r="J13" t="inlineStr">
        <is>
          <t>Not Started</t>
        </is>
      </c>
      <c r="K13" t="inlineStr">
        <is>
          <t>UAT</t>
        </is>
      </c>
      <c r="L13" t="inlineStr"/>
      <c r="M13" t="inlineStr"/>
      <c r="N13" t="inlineStr"/>
    </row>
    <row r="14">
      <c r="A14" t="inlineStr">
        <is>
          <t>TC_DFL_014</t>
        </is>
      </c>
      <c r="B14" t="inlineStr">
        <is>
          <t>ASMT_014</t>
        </is>
      </c>
      <c r="C14" t="inlineStr">
        <is>
          <t>CLT_DFL001</t>
        </is>
      </c>
      <c r="D14" t="inlineStr">
        <is>
          <t>REL_26C</t>
        </is>
      </c>
      <c r="E14" t="inlineStr">
        <is>
          <t>Validate: Revenue Management — Performance Obligation Identification Enhancement</t>
        </is>
      </c>
      <c r="F14" t="inlineStr">
        <is>
          <t>Test that DFL Financials behaves correctly after 26C upgrade</t>
        </is>
      </c>
      <c r="G14" t="inlineStr">
        <is>
          <t>Financials</t>
        </is>
      </c>
      <c r="H14" t="inlineStr">
        <is>
          <t>Regression</t>
        </is>
      </c>
      <c r="I14" t="inlineStr">
        <is>
          <t>High</t>
        </is>
      </c>
      <c r="J14" t="inlineStr">
        <is>
          <t>Not Started</t>
        </is>
      </c>
      <c r="K14" t="inlineStr">
        <is>
          <t>UAT</t>
        </is>
      </c>
      <c r="L14" t="inlineStr"/>
      <c r="M14" t="inlineStr"/>
      <c r="N14" t="inlineStr"/>
    </row>
    <row r="15">
      <c r="A15" t="inlineStr">
        <is>
          <t>TC_DFL_015</t>
        </is>
      </c>
      <c r="B15" t="inlineStr">
        <is>
          <t>ASMT_015</t>
        </is>
      </c>
      <c r="C15" t="inlineStr">
        <is>
          <t>CLT_DFL001</t>
        </is>
      </c>
      <c r="D15" t="inlineStr">
        <is>
          <t>REL_26C</t>
        </is>
      </c>
      <c r="E15" t="inlineStr">
        <is>
          <t>Validate: Accounts Receivable — Pre-need Funeral Plan Deferred Revenue Tracking</t>
        </is>
      </c>
      <c r="F15" t="inlineStr">
        <is>
          <t>Test that DFL Financials behaves correctly after 26C upgrade</t>
        </is>
      </c>
      <c r="G15" t="inlineStr">
        <is>
          <t>Financials</t>
        </is>
      </c>
      <c r="H15" t="inlineStr">
        <is>
          <t>Regression</t>
        </is>
      </c>
      <c r="I15" t="inlineStr">
        <is>
          <t>Medium</t>
        </is>
      </c>
      <c r="J15" t="inlineStr">
        <is>
          <t>Not Started</t>
        </is>
      </c>
      <c r="K15" t="inlineStr">
        <is>
          <t>UAT</t>
        </is>
      </c>
      <c r="L15" t="inlineStr"/>
      <c r="M15" t="inlineStr"/>
      <c r="N15" t="inlineStr"/>
    </row>
    <row r="16">
      <c r="A16" t="inlineStr">
        <is>
          <t>TC_DFL_016</t>
        </is>
      </c>
      <c r="B16" t="inlineStr">
        <is>
          <t>ASMT_016</t>
        </is>
      </c>
      <c r="C16" t="inlineStr">
        <is>
          <t>CLT_DFL001</t>
        </is>
      </c>
      <c r="D16" t="inlineStr">
        <is>
          <t>REL_26C</t>
        </is>
      </c>
      <c r="E16" t="inlineStr">
        <is>
          <t>Validate: Purchasing — Supplier Portal Redwood Migration</t>
        </is>
      </c>
      <c r="F16" t="inlineStr">
        <is>
          <t>Test that DFL Procurement behaves correctly after 26C upgrade</t>
        </is>
      </c>
      <c r="G16" t="inlineStr">
        <is>
          <t>Procurement</t>
        </is>
      </c>
      <c r="H16" t="inlineStr">
        <is>
          <t>Regression</t>
        </is>
      </c>
      <c r="I16" t="inlineStr">
        <is>
          <t>Medium</t>
        </is>
      </c>
      <c r="J16" t="inlineStr">
        <is>
          <t>Not Started</t>
        </is>
      </c>
      <c r="K16" t="inlineStr">
        <is>
          <t>UAT</t>
        </is>
      </c>
      <c r="L16" t="inlineStr"/>
      <c r="M16" t="inlineStr"/>
      <c r="N16" t="inlineStr"/>
    </row>
    <row r="17">
      <c r="A17" t="inlineStr">
        <is>
          <t>TC_DFL_019</t>
        </is>
      </c>
      <c r="B17" t="inlineStr">
        <is>
          <t>ASMT_019</t>
        </is>
      </c>
      <c r="C17" t="inlineStr">
        <is>
          <t>CLT_DFL001</t>
        </is>
      </c>
      <c r="D17" t="inlineStr">
        <is>
          <t>REL_26C</t>
        </is>
      </c>
      <c r="E17" t="inlineStr">
        <is>
          <t>Validate: Inventory Management — Lot/Serial Number Tracking Enhancement</t>
        </is>
      </c>
      <c r="F17" t="inlineStr">
        <is>
          <t>Test that DFL Inventory Management behaves correctly after 26C upgrade</t>
        </is>
      </c>
      <c r="G17" t="inlineStr">
        <is>
          <t>Inventory Management</t>
        </is>
      </c>
      <c r="H17" t="inlineStr">
        <is>
          <t>Regression</t>
        </is>
      </c>
      <c r="I17" t="inlineStr">
        <is>
          <t>Medium</t>
        </is>
      </c>
      <c r="J17" t="inlineStr">
        <is>
          <t>Not Started</t>
        </is>
      </c>
      <c r="K17" t="inlineStr">
        <is>
          <t>UAT</t>
        </is>
      </c>
      <c r="L17" t="inlineStr"/>
      <c r="M17" t="inlineStr"/>
      <c r="N17" t="inlineStr"/>
    </row>
    <row r="18">
      <c r="A18" t="inlineStr">
        <is>
          <t>TC_DFL_021</t>
        </is>
      </c>
      <c r="B18" t="inlineStr">
        <is>
          <t>ASMT_021</t>
        </is>
      </c>
      <c r="C18" t="inlineStr">
        <is>
          <t>CLT_DFL001</t>
        </is>
      </c>
      <c r="D18" t="inlineStr">
        <is>
          <t>REL_26C</t>
        </is>
      </c>
      <c r="E18" t="inlineStr">
        <is>
          <t>Validate: Order Management — Service Order REST API Enhancement</t>
        </is>
      </c>
      <c r="F18" t="inlineStr">
        <is>
          <t>Test that DFL Order Management behaves correctly after 26C upgrade</t>
        </is>
      </c>
      <c r="G18" t="inlineStr">
        <is>
          <t>Order Management</t>
        </is>
      </c>
      <c r="H18" t="inlineStr">
        <is>
          <t>Regression</t>
        </is>
      </c>
      <c r="I18" t="inlineStr">
        <is>
          <t>High</t>
        </is>
      </c>
      <c r="J18" t="inlineStr">
        <is>
          <t>Not Started</t>
        </is>
      </c>
      <c r="K18" t="inlineStr">
        <is>
          <t>UAT</t>
        </is>
      </c>
      <c r="L18" t="inlineStr"/>
      <c r="M18" t="inlineStr"/>
      <c r="N18" t="inlineStr"/>
    </row>
    <row r="19">
      <c r="A19" t="inlineStr">
        <is>
          <t>TC_DFL_024</t>
        </is>
      </c>
      <c r="B19" t="inlineStr">
        <is>
          <t>ASMT_024</t>
        </is>
      </c>
      <c r="C19" t="inlineStr">
        <is>
          <t>CLT_DFL001</t>
        </is>
      </c>
      <c r="D19" t="inlineStr">
        <is>
          <t>REL_26C</t>
        </is>
      </c>
      <c r="E19" t="inlineStr">
        <is>
          <t>Validate: Benefits — Enhanced Life Events Auto-Processing</t>
        </is>
      </c>
      <c r="F19" t="inlineStr">
        <is>
          <t>Test that DFL Benefits behaves correctly after 26C upgrade</t>
        </is>
      </c>
      <c r="G19" t="inlineStr">
        <is>
          <t>Benefits</t>
        </is>
      </c>
      <c r="H19" t="inlineStr">
        <is>
          <t>Regression</t>
        </is>
      </c>
      <c r="I19" t="inlineStr">
        <is>
          <t>Medium</t>
        </is>
      </c>
      <c r="J19" t="inlineStr">
        <is>
          <t>Not Started</t>
        </is>
      </c>
      <c r="K19" t="inlineStr">
        <is>
          <t>UAT</t>
        </is>
      </c>
      <c r="L19" t="inlineStr"/>
      <c r="M19" t="inlineStr"/>
      <c r="N19" t="inlineStr"/>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8" customWidth="1" min="3" max="3"/>
    <col width="18" customWidth="1" min="4" max="4"/>
    <col width="16" customWidth="1" min="5" max="5"/>
    <col width="19" customWidth="1" min="6" max="6"/>
    <col width="40" customWidth="1" min="7" max="7"/>
  </cols>
  <sheetData>
    <row r="1">
      <c r="A1" s="5" t="inlineStr">
        <is>
          <t>Dependency_ID</t>
        </is>
      </c>
      <c r="B1" s="5" t="inlineStr">
        <is>
          <t>From_Entity_Type</t>
        </is>
      </c>
      <c r="C1" s="5" t="inlineStr">
        <is>
          <t>From_Entity_ID</t>
        </is>
      </c>
      <c r="D1" s="5" t="inlineStr">
        <is>
          <t>To_Entity_Type</t>
        </is>
      </c>
      <c r="E1" s="5" t="inlineStr">
        <is>
          <t>To_Entity_ID</t>
        </is>
      </c>
      <c r="F1" s="5" t="inlineStr">
        <is>
          <t>Dependency_Type</t>
        </is>
      </c>
      <c r="G1" s="5" t="inlineStr">
        <is>
          <t>Notes</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13" customWidth="1" min="4" max="4"/>
    <col width="12" customWidth="1" min="5" max="5"/>
    <col width="12" customWidth="1" min="6" max="6"/>
    <col width="18" customWidth="1" min="7" max="7"/>
    <col width="12" customWidth="1" min="8" max="8"/>
  </cols>
  <sheetData>
    <row r="1">
      <c r="A1" s="5" t="inlineStr">
        <is>
          <t>Rule_ID</t>
        </is>
      </c>
      <c r="B1" s="5" t="inlineStr">
        <is>
          <t>Rule_Name</t>
        </is>
      </c>
      <c r="C1" s="5" t="inlineStr">
        <is>
          <t>Dimension</t>
        </is>
      </c>
      <c r="D1" s="5" t="inlineStr">
        <is>
          <t>Condition</t>
        </is>
      </c>
      <c r="E1" s="5" t="inlineStr">
        <is>
          <t>Score</t>
        </is>
      </c>
      <c r="F1" s="5" t="inlineStr">
        <is>
          <t>Weight</t>
        </is>
      </c>
      <c r="G1" s="5" t="inlineStr">
        <is>
          <t>Effective_Date</t>
        </is>
      </c>
      <c r="H1" s="5" t="inlineStr">
        <is>
          <t>Status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AA5000"/>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4" customWidth="1" min="3" max="3"/>
    <col width="13" customWidth="1" min="4" max="4"/>
    <col width="15" customWidth="1" min="5" max="5"/>
    <col width="24" customWidth="1" min="6" max="6"/>
    <col width="22" customWidth="1" min="7" max="7"/>
    <col width="50" customWidth="1" min="8" max="8"/>
    <col width="21" customWidth="1" min="9" max="9"/>
    <col width="25" customWidth="1" min="10" max="10"/>
    <col width="28" customWidth="1" min="11" max="11"/>
    <col width="24" customWidth="1" min="12" max="12"/>
    <col width="30" customWidth="1" min="13" max="13"/>
    <col width="23" customWidth="1" min="14" max="14"/>
    <col width="21" customWidth="1" min="15" max="15"/>
    <col width="18" customWidth="1" min="16" max="16"/>
    <col width="21" customWidth="1" min="17" max="17"/>
    <col width="23" customWidth="1" min="18" max="18"/>
    <col width="17" customWidth="1" min="19" max="19"/>
    <col width="20" customWidth="1" min="20" max="20"/>
    <col width="14" customWidth="1" min="21" max="21"/>
    <col width="17" customWidth="1" min="22" max="22"/>
    <col width="15" customWidth="1" min="23" max="23"/>
    <col width="15" customWidth="1" min="24" max="24"/>
    <col width="22" customWidth="1" min="25" max="25"/>
    <col width="22" customWidth="1" min="26" max="26"/>
    <col width="29" customWidth="1" min="27" max="27"/>
  </cols>
  <sheetData>
    <row r="1">
      <c r="A1" s="5" t="inlineStr">
        <is>
          <t>Assessment_ID</t>
        </is>
      </c>
      <c r="B1" s="5" t="inlineStr">
        <is>
          <t>Client_ID</t>
        </is>
      </c>
      <c r="C1" s="5" t="inlineStr">
        <is>
          <t>Release_ID</t>
        </is>
      </c>
      <c r="D1" s="5" t="inlineStr">
        <is>
          <t>Change_ID</t>
        </is>
      </c>
      <c r="E1" s="5" t="inlineStr">
        <is>
          <t>Impact_Type</t>
        </is>
      </c>
      <c r="F1" s="5" t="inlineStr">
        <is>
          <t>Impacted_Entity_Type</t>
        </is>
      </c>
      <c r="G1" s="5" t="inlineStr">
        <is>
          <t>Impacted_Entity_ID</t>
        </is>
      </c>
      <c r="H1" s="5" t="inlineStr">
        <is>
          <t>Impact_Reason</t>
        </is>
      </c>
      <c r="I1" s="5" t="inlineStr">
        <is>
          <t>Direct_Match_Flag</t>
        </is>
      </c>
      <c r="J1" s="5" t="inlineStr">
        <is>
          <t>Dependency_Match_Flag</t>
        </is>
      </c>
      <c r="K1" s="5" t="inlineStr">
        <is>
          <t>Customization_Match_Flag</t>
        </is>
      </c>
      <c r="L1" s="5" t="inlineStr">
        <is>
          <t>Security_Impact_Flag</t>
        </is>
      </c>
      <c r="M1" s="5" t="inlineStr">
        <is>
          <t>Business_Criticality_Score</t>
        </is>
      </c>
      <c r="N1" s="5" t="inlineStr">
        <is>
          <t>Customization_Score</t>
        </is>
      </c>
      <c r="O1" s="5" t="inlineStr">
        <is>
          <t>Integration_Score</t>
        </is>
      </c>
      <c r="P1" s="5" t="inlineStr">
        <is>
          <t>Security_Score</t>
        </is>
      </c>
      <c r="Q1" s="5" t="inlineStr">
        <is>
          <t>Environment_Score</t>
        </is>
      </c>
      <c r="R1" s="5" t="inlineStr">
        <is>
          <t>Oracle_Change_Score</t>
        </is>
      </c>
      <c r="S1" s="5" t="inlineStr">
        <is>
          <t>History_Score</t>
        </is>
      </c>
      <c r="T1" s="5" t="inlineStr">
        <is>
          <t>Total_Risk_Score</t>
        </is>
      </c>
      <c r="U1" s="5" t="inlineStr">
        <is>
          <t>Risk_Level</t>
        </is>
      </c>
      <c r="V1" s="5" t="inlineStr">
        <is>
          <t>Review_Status</t>
        </is>
      </c>
      <c r="W1" s="5" t="inlineStr">
        <is>
          <t>Reviewed_By</t>
        </is>
      </c>
      <c r="X1" s="5" t="inlineStr">
        <is>
          <t>Review_Date</t>
        </is>
      </c>
      <c r="Y1" s="5" t="inlineStr">
        <is>
          <t>Recommended_Action</t>
        </is>
      </c>
      <c r="Z1" s="5" t="inlineStr">
        <is>
          <t>Test_Required_Flag</t>
        </is>
      </c>
      <c r="AA1" s="5" t="inlineStr">
        <is>
          <t>Remediation_Required_Flag</t>
        </is>
      </c>
    </row>
    <row r="2">
      <c r="A2" t="inlineStr">
        <is>
          <t>ASMT_001</t>
        </is>
      </c>
      <c r="B2" t="inlineStr">
        <is>
          <t>CLT_DFL001</t>
        </is>
      </c>
      <c r="C2" t="inlineStr">
        <is>
          <t>REL_26C</t>
        </is>
      </c>
      <c r="D2" t="inlineStr">
        <is>
          <t>CHG_PAY_001</t>
        </is>
      </c>
      <c r="E2" t="inlineStr">
        <is>
          <t>Functional</t>
        </is>
      </c>
      <c r="F2" t="inlineStr">
        <is>
          <t>Configuration</t>
        </is>
      </c>
      <c r="G2" t="inlineStr">
        <is>
          <t>CFG_DFL_001</t>
        </is>
      </c>
      <c r="H2" t="inlineStr">
        <is>
          <t>DFL Payroll impacted by functional change</t>
        </is>
      </c>
      <c r="I2" t="inlineStr">
        <is>
          <t>Y</t>
        </is>
      </c>
      <c r="J2" t="inlineStr">
        <is>
          <t>N</t>
        </is>
      </c>
      <c r="K2" t="inlineStr">
        <is>
          <t>N</t>
        </is>
      </c>
      <c r="L2" t="inlineStr">
        <is>
          <t>N</t>
        </is>
      </c>
      <c r="M2" t="n">
        <v>5</v>
      </c>
      <c r="N2" t="n">
        <v>3</v>
      </c>
      <c r="O2" t="n">
        <v>3</v>
      </c>
      <c r="P2" t="n">
        <v>1</v>
      </c>
      <c r="Q2" t="n">
        <v>3</v>
      </c>
      <c r="R2">
        <f>IFERROR(XLOOKUP(XLOOKUP(D2,tblReleaseChanges[Change_ID],tblReleaseChanges[Oracle_Severity],""),tblSeverityMap[Severity_Text],tblSeverityMap[Score],0),0)</f>
        <v/>
      </c>
      <c r="S2" t="n">
        <v>4</v>
      </c>
      <c r="T2">
        <f>ROUND((M2*0.25)+(N2*0.20)+(O2*0.15)+(P2*0.15)+(Q2*0.10)+(R2*0.10)+(S2*0.05),2)</f>
        <v/>
      </c>
      <c r="U2">
        <f>IF(T2&gt;=4.25,"Critical",IF(T2&gt;=3.5,"High",IF(T2&gt;=2,"Medium","Low")))</f>
        <v/>
      </c>
      <c r="V2" t="inlineStr">
        <is>
          <t>Pending Review</t>
        </is>
      </c>
      <c r="W2" t="inlineStr"/>
      <c r="X2" t="inlineStr"/>
      <c r="Y2" t="inlineStr">
        <is>
          <t>Review and validate on-call/shift element eligibility rules in UAT</t>
        </is>
      </c>
      <c r="Z2" t="inlineStr">
        <is>
          <t>Y</t>
        </is>
      </c>
      <c r="AA2" t="inlineStr">
        <is>
          <t>Y</t>
        </is>
      </c>
    </row>
    <row r="3">
      <c r="A3" t="inlineStr">
        <is>
          <t>ASMT_002</t>
        </is>
      </c>
      <c r="B3" t="inlineStr">
        <is>
          <t>CLT_DFL001</t>
        </is>
      </c>
      <c r="C3" t="inlineStr">
        <is>
          <t>REL_26C</t>
        </is>
      </c>
      <c r="D3" t="inlineStr">
        <is>
          <t>CHG_PAY_002</t>
        </is>
      </c>
      <c r="E3" t="inlineStr">
        <is>
          <t>Legislative</t>
        </is>
      </c>
      <c r="F3" t="inlineStr">
        <is>
          <t>Configuration</t>
        </is>
      </c>
      <c r="G3" t="inlineStr">
        <is>
          <t>CFG_DFL_002</t>
        </is>
      </c>
      <c r="H3" t="inlineStr">
        <is>
          <t>DFL Payroll impacted by legislative change</t>
        </is>
      </c>
      <c r="I3" t="inlineStr">
        <is>
          <t>Y</t>
        </is>
      </c>
      <c r="J3" t="inlineStr">
        <is>
          <t>N</t>
        </is>
      </c>
      <c r="K3" t="inlineStr">
        <is>
          <t>Y</t>
        </is>
      </c>
      <c r="L3" t="inlineStr">
        <is>
          <t>N</t>
        </is>
      </c>
      <c r="M3" t="n">
        <v>5</v>
      </c>
      <c r="N3" t="n">
        <v>4</v>
      </c>
      <c r="O3" t="n">
        <v>3</v>
      </c>
      <c r="P3" t="n">
        <v>1</v>
      </c>
      <c r="Q3" t="n">
        <v>3</v>
      </c>
      <c r="R3">
        <f>IFERROR(XLOOKUP(XLOOKUP(D3,tblReleaseChanges[Change_ID],tblReleaseChanges[Oracle_Severity],""),tblSeverityMap[Severity_Text],tblSeverityMap[Score],0),0)</f>
        <v/>
      </c>
      <c r="S3" t="n">
        <v>5</v>
      </c>
      <c r="T3">
        <f>ROUND((M3*0.25)+(N3*0.20)+(O3*0.15)+(P3*0.15)+(Q3*0.10)+(R3*0.10)+(S3*0.05),2)</f>
        <v/>
      </c>
      <c r="U3">
        <f>IF(T3&gt;=4.25,"Critical",IF(T3&gt;=3.5,"High",IF(T3&gt;=2,"Medium","Low")))</f>
        <v/>
      </c>
      <c r="V3" t="inlineStr">
        <is>
          <t>Pending Review</t>
        </is>
      </c>
      <c r="W3" t="inlineStr"/>
      <c r="X3" t="inlineStr"/>
      <c r="Y3" t="inlineStr">
        <is>
          <t>Run parallel payroll in UAT — validate NI/tax/minimum wage calculations match HMRC expectations</t>
        </is>
      </c>
      <c r="Z3" t="inlineStr">
        <is>
          <t>Y</t>
        </is>
      </c>
      <c r="AA3" t="inlineStr">
        <is>
          <t>Y</t>
        </is>
      </c>
    </row>
    <row r="4">
      <c r="A4" t="inlineStr">
        <is>
          <t>ASMT_003</t>
        </is>
      </c>
      <c r="B4" t="inlineStr">
        <is>
          <t>CLT_DFL001</t>
        </is>
      </c>
      <c r="C4" t="inlineStr">
        <is>
          <t>REL_26C</t>
        </is>
      </c>
      <c r="D4" t="inlineStr">
        <is>
          <t>CHG_PAY_003</t>
        </is>
      </c>
      <c r="E4" t="inlineStr">
        <is>
          <t>UI</t>
        </is>
      </c>
      <c r="F4" t="inlineStr">
        <is>
          <t>Configuration</t>
        </is>
      </c>
      <c r="G4" t="inlineStr">
        <is>
          <t>CFG_DFL_003</t>
        </is>
      </c>
      <c r="H4" t="inlineStr">
        <is>
          <t>DFL Payroll impacted by ui change</t>
        </is>
      </c>
      <c r="I4" t="inlineStr">
        <is>
          <t>Y</t>
        </is>
      </c>
      <c r="J4" t="inlineStr">
        <is>
          <t>N</t>
        </is>
      </c>
      <c r="K4" t="inlineStr">
        <is>
          <t>N</t>
        </is>
      </c>
      <c r="L4" t="inlineStr">
        <is>
          <t>N</t>
        </is>
      </c>
      <c r="M4" t="n">
        <v>5</v>
      </c>
      <c r="N4" t="n">
        <v>2</v>
      </c>
      <c r="O4" t="n">
        <v>3</v>
      </c>
      <c r="P4" t="n">
        <v>1</v>
      </c>
      <c r="Q4" t="n">
        <v>3</v>
      </c>
      <c r="R4">
        <f>IFERROR(XLOOKUP(XLOOKUP(D4,tblReleaseChanges[Change_ID],tblReleaseChanges[Oracle_Severity],""),tblSeverityMap[Severity_Text],tblSeverityMap[Score],0),0)</f>
        <v/>
      </c>
      <c r="S4" t="n">
        <v>3</v>
      </c>
      <c r="T4">
        <f>ROUND((M4*0.25)+(N4*0.20)+(O4*0.15)+(P4*0.15)+(Q4*0.10)+(R4*0.10)+(S4*0.05),2)</f>
        <v/>
      </c>
      <c r="U4">
        <f>IF(T4&gt;=4.25,"Critical",IF(T4&gt;=3.5,"High",IF(T4&gt;=2,"Medium","Low")))</f>
        <v/>
      </c>
      <c r="V4" t="inlineStr">
        <is>
          <t>Pending Review</t>
        </is>
      </c>
      <c r="W4" t="inlineStr"/>
      <c r="X4" t="inlineStr"/>
      <c r="Y4" t="inlineStr">
        <is>
          <t>Train payroll team on new Redwood P60/P45 screens</t>
        </is>
      </c>
      <c r="Z4" t="inlineStr">
        <is>
          <t>Y</t>
        </is>
      </c>
      <c r="AA4" t="inlineStr">
        <is>
          <t>N</t>
        </is>
      </c>
    </row>
    <row r="5">
      <c r="A5" t="inlineStr">
        <is>
          <t>ASMT_004</t>
        </is>
      </c>
      <c r="B5" t="inlineStr">
        <is>
          <t>CLT_DFL001</t>
        </is>
      </c>
      <c r="C5" t="inlineStr">
        <is>
          <t>REL_26C</t>
        </is>
      </c>
      <c r="D5" t="inlineStr">
        <is>
          <t>CHG_HR_001</t>
        </is>
      </c>
      <c r="E5" t="inlineStr">
        <is>
          <t>Technical</t>
        </is>
      </c>
      <c r="F5" t="inlineStr">
        <is>
          <t>Interface</t>
        </is>
      </c>
      <c r="G5" t="inlineStr"/>
      <c r="H5" t="inlineStr">
        <is>
          <t>DFL Human Resources impacted by technical change</t>
        </is>
      </c>
      <c r="I5" t="inlineStr">
        <is>
          <t>Y</t>
        </is>
      </c>
      <c r="J5" t="inlineStr">
        <is>
          <t>N</t>
        </is>
      </c>
      <c r="K5" t="inlineStr">
        <is>
          <t>Y</t>
        </is>
      </c>
      <c r="L5" t="inlineStr">
        <is>
          <t>N</t>
        </is>
      </c>
      <c r="M5" t="n">
        <v>5</v>
      </c>
      <c r="N5" t="n">
        <v>5</v>
      </c>
      <c r="O5" t="n">
        <v>3</v>
      </c>
      <c r="P5" t="n">
        <v>1</v>
      </c>
      <c r="Q5" t="n">
        <v>3</v>
      </c>
      <c r="R5">
        <f>IFERROR(XLOOKUP(XLOOKUP(D5,tblReleaseChanges[Change_ID],tblReleaseChanges[Oracle_Severity],""),tblSeverityMap[Severity_Text],tblSeverityMap[Score],0),0)</f>
        <v/>
      </c>
      <c r="S5" t="n">
        <v>4</v>
      </c>
      <c r="T5">
        <f>ROUND((M5*0.25)+(N5*0.20)+(O5*0.15)+(P5*0.15)+(Q5*0.10)+(R5*0.10)+(S5*0.05),2)</f>
        <v/>
      </c>
      <c r="U5">
        <f>IF(T5&gt;=4.25,"Critical",IF(T5&gt;=3.5,"High",IF(T5&gt;=2,"Medium","Low")))</f>
        <v/>
      </c>
      <c r="V5" t="inlineStr">
        <is>
          <t>Pending Review</t>
        </is>
      </c>
      <c r="W5" t="inlineStr"/>
      <c r="X5" t="inlineStr"/>
      <c r="Y5" t="inlineStr">
        <is>
          <t>Update HR integration consumer code to handle new 'legalEmployerName' field</t>
        </is>
      </c>
      <c r="Z5" t="inlineStr">
        <is>
          <t>Y</t>
        </is>
      </c>
      <c r="AA5" t="inlineStr">
        <is>
          <t>Y</t>
        </is>
      </c>
    </row>
    <row r="6">
      <c r="A6" t="inlineStr">
        <is>
          <t>ASMT_005</t>
        </is>
      </c>
      <c r="B6" t="inlineStr">
        <is>
          <t>CLT_DFL001</t>
        </is>
      </c>
      <c r="C6" t="inlineStr">
        <is>
          <t>REL_26C</t>
        </is>
      </c>
      <c r="D6" t="inlineStr">
        <is>
          <t>CHG_HR_002</t>
        </is>
      </c>
      <c r="E6" t="inlineStr">
        <is>
          <t>Functional</t>
        </is>
      </c>
      <c r="F6" t="inlineStr">
        <is>
          <t>Configuration</t>
        </is>
      </c>
      <c r="G6" t="inlineStr">
        <is>
          <t>CFG_DFL_005</t>
        </is>
      </c>
      <c r="H6" t="inlineStr">
        <is>
          <t>DFL Human Resources impacted by functional change</t>
        </is>
      </c>
      <c r="I6" t="inlineStr">
        <is>
          <t>Y</t>
        </is>
      </c>
      <c r="J6" t="inlineStr">
        <is>
          <t>N</t>
        </is>
      </c>
      <c r="K6" t="inlineStr">
        <is>
          <t>N</t>
        </is>
      </c>
      <c r="L6" t="inlineStr">
        <is>
          <t>N</t>
        </is>
      </c>
      <c r="M6" t="n">
        <v>5</v>
      </c>
      <c r="N6" t="n">
        <v>3</v>
      </c>
      <c r="O6" t="n">
        <v>3</v>
      </c>
      <c r="P6" t="n">
        <v>1</v>
      </c>
      <c r="Q6" t="n">
        <v>3</v>
      </c>
      <c r="R6">
        <f>IFERROR(XLOOKUP(XLOOKUP(D6,tblReleaseChanges[Change_ID],tblReleaseChanges[Oracle_Severity],""),tblSeverityMap[Severity_Text],tblSeverityMap[Score],0),0)</f>
        <v/>
      </c>
      <c r="S6" t="n">
        <v>4</v>
      </c>
      <c r="T6">
        <f>ROUND((M6*0.25)+(N6*0.20)+(O6*0.15)+(P6*0.15)+(Q6*0.10)+(R6*0.10)+(S6*0.05),2)</f>
        <v/>
      </c>
      <c r="U6">
        <f>IF(T6&gt;=4.25,"Critical",IF(T6&gt;=3.5,"High",IF(T6&gt;=2,"Medium","Low")))</f>
        <v/>
      </c>
      <c r="V6" t="inlineStr">
        <is>
          <t>Pending Review</t>
        </is>
      </c>
      <c r="W6" t="inlineStr"/>
      <c r="X6" t="inlineStr"/>
      <c r="Y6" t="inlineStr">
        <is>
          <t>Configure ZeroHoursIndicator — update data for ~320 casual employees</t>
        </is>
      </c>
      <c r="Z6" t="inlineStr">
        <is>
          <t>Y</t>
        </is>
      </c>
      <c r="AA6" t="inlineStr">
        <is>
          <t>Y</t>
        </is>
      </c>
    </row>
    <row r="7">
      <c r="A7" t="inlineStr">
        <is>
          <t>ASMT_006</t>
        </is>
      </c>
      <c r="B7" t="inlineStr">
        <is>
          <t>CLT_DFL001</t>
        </is>
      </c>
      <c r="C7" t="inlineStr">
        <is>
          <t>REL_26C</t>
        </is>
      </c>
      <c r="D7" t="inlineStr">
        <is>
          <t>CHG_HR_003</t>
        </is>
      </c>
      <c r="E7" t="inlineStr">
        <is>
          <t>UI</t>
        </is>
      </c>
      <c r="F7" t="inlineStr">
        <is>
          <t>Configuration</t>
        </is>
      </c>
      <c r="G7" t="inlineStr">
        <is>
          <t>CFG_DFL_006</t>
        </is>
      </c>
      <c r="H7" t="inlineStr">
        <is>
          <t>DFL Human Resources impacted by ui change</t>
        </is>
      </c>
      <c r="I7" t="inlineStr">
        <is>
          <t>Y</t>
        </is>
      </c>
      <c r="J7" t="inlineStr">
        <is>
          <t>N</t>
        </is>
      </c>
      <c r="K7" t="inlineStr">
        <is>
          <t>N</t>
        </is>
      </c>
      <c r="L7" t="inlineStr">
        <is>
          <t>N</t>
        </is>
      </c>
      <c r="M7" t="n">
        <v>5</v>
      </c>
      <c r="N7" t="n">
        <v>2</v>
      </c>
      <c r="O7" t="n">
        <v>3</v>
      </c>
      <c r="P7" t="n">
        <v>1</v>
      </c>
      <c r="Q7" t="n">
        <v>3</v>
      </c>
      <c r="R7">
        <f>IFERROR(XLOOKUP(XLOOKUP(D7,tblReleaseChanges[Change_ID],tblReleaseChanges[Oracle_Severity],""),tblSeverityMap[Severity_Text],tblSeverityMap[Score],0),0)</f>
        <v/>
      </c>
      <c r="S7" t="n">
        <v>3</v>
      </c>
      <c r="T7">
        <f>ROUND((M7*0.25)+(N7*0.20)+(O7*0.15)+(P7*0.15)+(Q7*0.10)+(R7*0.10)+(S7*0.05),2)</f>
        <v/>
      </c>
      <c r="U7">
        <f>IF(T7&gt;=4.25,"Critical",IF(T7&gt;=3.5,"High",IF(T7&gt;=2,"Medium","Low")))</f>
        <v/>
      </c>
      <c r="V7" t="inlineStr">
        <is>
          <t>Pending Review</t>
        </is>
      </c>
      <c r="W7" t="inlineStr"/>
      <c r="X7" t="inlineStr"/>
      <c r="Y7" t="inlineStr">
        <is>
          <t>Update manager training materials; communicate UI change to branch managers</t>
        </is>
      </c>
      <c r="Z7" t="inlineStr">
        <is>
          <t>Y</t>
        </is>
      </c>
      <c r="AA7" t="inlineStr">
        <is>
          <t>N</t>
        </is>
      </c>
    </row>
    <row r="8">
      <c r="A8" t="inlineStr">
        <is>
          <t>ASMT_007</t>
        </is>
      </c>
      <c r="B8" t="inlineStr">
        <is>
          <t>CLT_DFL001</t>
        </is>
      </c>
      <c r="C8" t="inlineStr">
        <is>
          <t>REL_26C</t>
        </is>
      </c>
      <c r="D8" t="inlineStr">
        <is>
          <t>CHG_ABS_001</t>
        </is>
      </c>
      <c r="E8" t="inlineStr">
        <is>
          <t>Functional</t>
        </is>
      </c>
      <c r="F8" t="inlineStr">
        <is>
          <t>Configuration</t>
        </is>
      </c>
      <c r="G8" t="inlineStr">
        <is>
          <t>CFG_DFL_007</t>
        </is>
      </c>
      <c r="H8" t="inlineStr">
        <is>
          <t>DFL Absence Management impacted by functional change</t>
        </is>
      </c>
      <c r="I8" t="inlineStr">
        <is>
          <t>Y</t>
        </is>
      </c>
      <c r="J8" t="inlineStr">
        <is>
          <t>N</t>
        </is>
      </c>
      <c r="K8" t="inlineStr">
        <is>
          <t>N</t>
        </is>
      </c>
      <c r="L8" t="inlineStr">
        <is>
          <t>N</t>
        </is>
      </c>
      <c r="M8" t="n">
        <v>4</v>
      </c>
      <c r="N8" t="n">
        <v>3</v>
      </c>
      <c r="O8" t="n">
        <v>2</v>
      </c>
      <c r="P8" t="n">
        <v>1</v>
      </c>
      <c r="Q8" t="n">
        <v>3</v>
      </c>
      <c r="R8">
        <f>IFERROR(XLOOKUP(XLOOKUP(D8,tblReleaseChanges[Change_ID],tblReleaseChanges[Oracle_Severity],""),tblSeverityMap[Severity_Text],tblSeverityMap[Score],0),0)</f>
        <v/>
      </c>
      <c r="S8" t="n">
        <v>3</v>
      </c>
      <c r="T8">
        <f>ROUND((M8*0.25)+(N8*0.20)+(O8*0.15)+(P8*0.15)+(Q8*0.10)+(R8*0.10)+(S8*0.05),2)</f>
        <v/>
      </c>
      <c r="U8">
        <f>IF(T8&gt;=4.25,"Critical",IF(T8&gt;=3.5,"High",IF(T8&gt;=2,"Medium","Low")))</f>
        <v/>
      </c>
      <c r="V8" t="inlineStr">
        <is>
          <t>Pending Review</t>
        </is>
      </c>
      <c r="W8" t="inlineStr"/>
      <c r="X8" t="inlineStr"/>
      <c r="Y8" t="inlineStr">
        <is>
          <t>Review DFL annual leave carry-forward configuration for 26C compatibility</t>
        </is>
      </c>
      <c r="Z8" t="inlineStr">
        <is>
          <t>Y</t>
        </is>
      </c>
      <c r="AA8" t="inlineStr">
        <is>
          <t>N</t>
        </is>
      </c>
    </row>
    <row r="9">
      <c r="A9" t="inlineStr">
        <is>
          <t>ASMT_008</t>
        </is>
      </c>
      <c r="B9" t="inlineStr">
        <is>
          <t>CLT_DFL001</t>
        </is>
      </c>
      <c r="C9" t="inlineStr">
        <is>
          <t>REL_26C</t>
        </is>
      </c>
      <c r="D9" t="inlineStr">
        <is>
          <t>CHG_ABS_002</t>
        </is>
      </c>
      <c r="E9" t="inlineStr">
        <is>
          <t>Functional</t>
        </is>
      </c>
      <c r="F9" t="inlineStr">
        <is>
          <t>Configuration</t>
        </is>
      </c>
      <c r="G9" t="inlineStr">
        <is>
          <t>CFG_DFL_008</t>
        </is>
      </c>
      <c r="H9" t="inlineStr">
        <is>
          <t>DFL Absence Management impacted by functional change</t>
        </is>
      </c>
      <c r="I9" t="inlineStr">
        <is>
          <t>Y</t>
        </is>
      </c>
      <c r="J9" t="inlineStr">
        <is>
          <t>N</t>
        </is>
      </c>
      <c r="K9" t="inlineStr">
        <is>
          <t>N</t>
        </is>
      </c>
      <c r="L9" t="inlineStr">
        <is>
          <t>N</t>
        </is>
      </c>
      <c r="M9" t="n">
        <v>4</v>
      </c>
      <c r="N9" t="n">
        <v>3</v>
      </c>
      <c r="O9" t="n">
        <v>2</v>
      </c>
      <c r="P9" t="n">
        <v>1</v>
      </c>
      <c r="Q9" t="n">
        <v>3</v>
      </c>
      <c r="R9">
        <f>IFERROR(XLOOKUP(XLOOKUP(D9,tblReleaseChanges[Change_ID],tblReleaseChanges[Oracle_Severity],""),tblSeverityMap[Severity_Text],tblSeverityMap[Score],0),0)</f>
        <v/>
      </c>
      <c r="S9" t="n">
        <v>4</v>
      </c>
      <c r="T9">
        <f>ROUND((M9*0.25)+(N9*0.20)+(O9*0.15)+(P9*0.15)+(Q9*0.10)+(R9*0.10)+(S9*0.05),2)</f>
        <v/>
      </c>
      <c r="U9">
        <f>IF(T9&gt;=4.25,"Critical",IF(T9&gt;=3.5,"High",IF(T9&gt;=2,"Medium","Low")))</f>
        <v/>
      </c>
      <c r="V9" t="inlineStr">
        <is>
          <t>Pending Review</t>
        </is>
      </c>
      <c r="W9" t="inlineStr"/>
      <c r="X9" t="inlineStr"/>
      <c r="Y9" t="inlineStr">
        <is>
          <t>Configure new statutory bereavement leave types; review DFL bereavement policy alignment</t>
        </is>
      </c>
      <c r="Z9" t="inlineStr">
        <is>
          <t>Y</t>
        </is>
      </c>
      <c r="AA9" t="inlineStr">
        <is>
          <t>Y</t>
        </is>
      </c>
    </row>
    <row r="10">
      <c r="A10" t="inlineStr">
        <is>
          <t>ASMT_009</t>
        </is>
      </c>
      <c r="B10" t="inlineStr">
        <is>
          <t>CLT_DFL001</t>
        </is>
      </c>
      <c r="C10" t="inlineStr">
        <is>
          <t>REL_26C</t>
        </is>
      </c>
      <c r="D10" t="inlineStr">
        <is>
          <t>CHG_TL_001</t>
        </is>
      </c>
      <c r="E10" t="inlineStr">
        <is>
          <t>Functional</t>
        </is>
      </c>
      <c r="F10" t="inlineStr">
        <is>
          <t>Configuration</t>
        </is>
      </c>
      <c r="G10" t="inlineStr">
        <is>
          <t>CFG_DFL_009</t>
        </is>
      </c>
      <c r="H10" t="inlineStr">
        <is>
          <t>DFL Time and Labor impacted by functional change</t>
        </is>
      </c>
      <c r="I10" t="inlineStr">
        <is>
          <t>Y</t>
        </is>
      </c>
      <c r="J10" t="inlineStr">
        <is>
          <t>N</t>
        </is>
      </c>
      <c r="K10" t="inlineStr">
        <is>
          <t>N</t>
        </is>
      </c>
      <c r="L10" t="inlineStr">
        <is>
          <t>N</t>
        </is>
      </c>
      <c r="M10" t="n">
        <v>4</v>
      </c>
      <c r="N10" t="n">
        <v>3</v>
      </c>
      <c r="O10" t="n">
        <v>2</v>
      </c>
      <c r="P10" t="n">
        <v>1</v>
      </c>
      <c r="Q10" t="n">
        <v>3</v>
      </c>
      <c r="R10">
        <f>IFERROR(XLOOKUP(XLOOKUP(D10,tblReleaseChanges[Change_ID],tblReleaseChanges[Oracle_Severity],""),tblSeverityMap[Severity_Text],tblSeverityMap[Score],0),0)</f>
        <v/>
      </c>
      <c r="S10" t="n">
        <v>3</v>
      </c>
      <c r="T10">
        <f>ROUND((M10*0.25)+(N10*0.20)+(O10*0.15)+(P10*0.15)+(Q10*0.10)+(R10*0.10)+(S10*0.05),2)</f>
        <v/>
      </c>
      <c r="U10">
        <f>IF(T10&gt;=4.25,"Critical",IF(T10&gt;=3.5,"High",IF(T10&gt;=2,"Medium","Low")))</f>
        <v/>
      </c>
      <c r="V10" t="inlineStr">
        <is>
          <t>Pending Review</t>
        </is>
      </c>
      <c r="W10" t="inlineStr"/>
      <c r="X10" t="inlineStr"/>
      <c r="Y10" t="inlineStr">
        <is>
          <t>Validate shift differential calculations for on-call funeral directors in UAT</t>
        </is>
      </c>
      <c r="Z10" t="inlineStr">
        <is>
          <t>Y</t>
        </is>
      </c>
      <c r="AA10" t="inlineStr">
        <is>
          <t>N</t>
        </is>
      </c>
    </row>
    <row r="11">
      <c r="A11" t="inlineStr">
        <is>
          <t>ASMT_010</t>
        </is>
      </c>
      <c r="B11" t="inlineStr">
        <is>
          <t>CLT_DFL001</t>
        </is>
      </c>
      <c r="C11" t="inlineStr">
        <is>
          <t>REL_26C</t>
        </is>
      </c>
      <c r="D11" t="inlineStr">
        <is>
          <t>CHG_WFS_001</t>
        </is>
      </c>
      <c r="E11" t="inlineStr">
        <is>
          <t>AI Feature</t>
        </is>
      </c>
      <c r="F11" t="inlineStr">
        <is>
          <t>Configuration</t>
        </is>
      </c>
      <c r="G11" t="inlineStr">
        <is>
          <t>CFG_DFL_010</t>
        </is>
      </c>
      <c r="H11" t="inlineStr">
        <is>
          <t>DFL Workforce Scheduling impacted by ai feature change</t>
        </is>
      </c>
      <c r="I11" t="inlineStr">
        <is>
          <t>Y</t>
        </is>
      </c>
      <c r="J11" t="inlineStr">
        <is>
          <t>N</t>
        </is>
      </c>
      <c r="K11" t="inlineStr">
        <is>
          <t>N</t>
        </is>
      </c>
      <c r="L11" t="inlineStr">
        <is>
          <t>N</t>
        </is>
      </c>
      <c r="M11" t="n">
        <v>4</v>
      </c>
      <c r="N11" t="n">
        <v>1</v>
      </c>
      <c r="O11" t="n">
        <v>2</v>
      </c>
      <c r="P11" t="n">
        <v>1</v>
      </c>
      <c r="Q11" t="n">
        <v>3</v>
      </c>
      <c r="R11">
        <f>IFERROR(XLOOKUP(XLOOKUP(D11,tblReleaseChanges[Change_ID],tblReleaseChanges[Oracle_Severity],""),tblSeverityMap[Severity_Text],tblSeverityMap[Score],0),0)</f>
        <v/>
      </c>
      <c r="S11" t="n">
        <v>1</v>
      </c>
      <c r="T11">
        <f>ROUND((M11*0.25)+(N11*0.20)+(O11*0.15)+(P11*0.15)+(Q11*0.10)+(R11*0.10)+(S11*0.05),2)</f>
        <v/>
      </c>
      <c r="U11">
        <f>IF(T11&gt;=4.25,"Critical",IF(T11&gt;=3.5,"High",IF(T11&gt;=2,"Medium","Low")))</f>
        <v/>
      </c>
      <c r="V11" t="inlineStr">
        <is>
          <t>Pending Review</t>
        </is>
      </c>
      <c r="W11" t="inlineStr"/>
      <c r="X11" t="inlineStr"/>
      <c r="Y11" t="inlineStr">
        <is>
          <t>Evaluate AI rota suggestions feature for DFL operational use; configure if beneficial</t>
        </is>
      </c>
      <c r="Z11" t="inlineStr">
        <is>
          <t>N</t>
        </is>
      </c>
      <c r="AA11" t="inlineStr">
        <is>
          <t>N</t>
        </is>
      </c>
    </row>
    <row r="12">
      <c r="A12" t="inlineStr">
        <is>
          <t>ASMT_011</t>
        </is>
      </c>
      <c r="B12" t="inlineStr">
        <is>
          <t>CLT_DFL001</t>
        </is>
      </c>
      <c r="C12" t="inlineStr">
        <is>
          <t>REL_26C</t>
        </is>
      </c>
      <c r="D12" t="inlineStr">
        <is>
          <t>CHG_FIN_001</t>
        </is>
      </c>
      <c r="E12" t="inlineStr">
        <is>
          <t>AI Feature</t>
        </is>
      </c>
      <c r="F12" t="inlineStr">
        <is>
          <t>Configuration</t>
        </is>
      </c>
      <c r="G12" t="inlineStr">
        <is>
          <t>CFG_DFL_001</t>
        </is>
      </c>
      <c r="H12" t="inlineStr">
        <is>
          <t>DFL Financials impacted by ai feature change</t>
        </is>
      </c>
      <c r="I12" t="inlineStr">
        <is>
          <t>Y</t>
        </is>
      </c>
      <c r="J12" t="inlineStr">
        <is>
          <t>N</t>
        </is>
      </c>
      <c r="K12" t="inlineStr">
        <is>
          <t>N</t>
        </is>
      </c>
      <c r="L12" t="inlineStr">
        <is>
          <t>N</t>
        </is>
      </c>
      <c r="M12" t="n">
        <v>5</v>
      </c>
      <c r="N12" t="n">
        <v>1</v>
      </c>
      <c r="O12" t="n">
        <v>5</v>
      </c>
      <c r="P12" t="n">
        <v>1</v>
      </c>
      <c r="Q12" t="n">
        <v>3</v>
      </c>
      <c r="R12">
        <f>IFERROR(XLOOKUP(XLOOKUP(D12,tblReleaseChanges[Change_ID],tblReleaseChanges[Oracle_Severity],""),tblSeverityMap[Severity_Text],tblSeverityMap[Score],0),0)</f>
        <v/>
      </c>
      <c r="S12" t="n">
        <v>3</v>
      </c>
      <c r="T12">
        <f>ROUND((M12*0.25)+(N12*0.20)+(O12*0.15)+(P12*0.15)+(Q12*0.10)+(R12*0.10)+(S12*0.05),2)</f>
        <v/>
      </c>
      <c r="U12">
        <f>IF(T12&gt;=4.25,"Critical",IF(T12&gt;=3.5,"High",IF(T12&gt;=2,"Medium","Low")))</f>
        <v/>
      </c>
      <c r="V12" t="inlineStr">
        <is>
          <t>Pending Review</t>
        </is>
      </c>
      <c r="W12" t="inlineStr"/>
      <c r="X12" t="inlineStr"/>
      <c r="Y12" t="inlineStr">
        <is>
          <t>Configure AI matching tolerance for DFL supplier invoice patterns; test against top 20 suppliers</t>
        </is>
      </c>
      <c r="Z12" t="inlineStr">
        <is>
          <t>Y</t>
        </is>
      </c>
      <c r="AA12" t="inlineStr">
        <is>
          <t>N</t>
        </is>
      </c>
    </row>
    <row r="13">
      <c r="A13" t="inlineStr">
        <is>
          <t>ASMT_012</t>
        </is>
      </c>
      <c r="B13" t="inlineStr">
        <is>
          <t>CLT_DFL001</t>
        </is>
      </c>
      <c r="C13" t="inlineStr">
        <is>
          <t>REL_26C</t>
        </is>
      </c>
      <c r="D13" t="inlineStr">
        <is>
          <t>CHG_FIN_002</t>
        </is>
      </c>
      <c r="E13" t="inlineStr">
        <is>
          <t>UI</t>
        </is>
      </c>
      <c r="F13" t="inlineStr">
        <is>
          <t>Configuration</t>
        </is>
      </c>
      <c r="G13" t="inlineStr">
        <is>
          <t>CFG_DFL_002</t>
        </is>
      </c>
      <c r="H13" t="inlineStr">
        <is>
          <t>DFL Financials impacted by ui change</t>
        </is>
      </c>
      <c r="I13" t="inlineStr">
        <is>
          <t>Y</t>
        </is>
      </c>
      <c r="J13" t="inlineStr">
        <is>
          <t>N</t>
        </is>
      </c>
      <c r="K13" t="inlineStr">
        <is>
          <t>N</t>
        </is>
      </c>
      <c r="L13" t="inlineStr">
        <is>
          <t>N</t>
        </is>
      </c>
      <c r="M13" t="n">
        <v>5</v>
      </c>
      <c r="N13" t="n">
        <v>2</v>
      </c>
      <c r="O13" t="n">
        <v>5</v>
      </c>
      <c r="P13" t="n">
        <v>1</v>
      </c>
      <c r="Q13" t="n">
        <v>3</v>
      </c>
      <c r="R13">
        <f>IFERROR(XLOOKUP(XLOOKUP(D13,tblReleaseChanges[Change_ID],tblReleaseChanges[Oracle_Severity],""),tblSeverityMap[Severity_Text],tblSeverityMap[Score],0),0)</f>
        <v/>
      </c>
      <c r="S13" t="n">
        <v>4</v>
      </c>
      <c r="T13">
        <f>ROUND((M13*0.25)+(N13*0.20)+(O13*0.15)+(P13*0.15)+(Q13*0.10)+(R13*0.10)+(S13*0.05),2)</f>
        <v/>
      </c>
      <c r="U13">
        <f>IF(T13&gt;=4.25,"Critical",IF(T13&gt;=3.5,"High",IF(T13&gt;=2,"Medium","Low")))</f>
        <v/>
      </c>
      <c r="V13" t="inlineStr">
        <is>
          <t>Pending Review</t>
        </is>
      </c>
      <c r="W13" t="inlineStr"/>
      <c r="X13" t="inlineStr"/>
      <c r="Y13" t="inlineStr">
        <is>
          <t>Train finance team on new Redwood period close UI; run month-end simulation in UAT</t>
        </is>
      </c>
      <c r="Z13" t="inlineStr">
        <is>
          <t>Y</t>
        </is>
      </c>
      <c r="AA13" t="inlineStr">
        <is>
          <t>Y</t>
        </is>
      </c>
    </row>
    <row r="14">
      <c r="A14" t="inlineStr">
        <is>
          <t>ASMT_013</t>
        </is>
      </c>
      <c r="B14" t="inlineStr">
        <is>
          <t>CLT_DFL001</t>
        </is>
      </c>
      <c r="C14" t="inlineStr">
        <is>
          <t>REL_26C</t>
        </is>
      </c>
      <c r="D14" t="inlineStr">
        <is>
          <t>CHG_FIN_003</t>
        </is>
      </c>
      <c r="E14" t="inlineStr">
        <is>
          <t>Technical</t>
        </is>
      </c>
      <c r="F14" t="inlineStr">
        <is>
          <t>Interface</t>
        </is>
      </c>
      <c r="G14" t="inlineStr"/>
      <c r="H14" t="inlineStr">
        <is>
          <t>DFL Financials impacted by technical change</t>
        </is>
      </c>
      <c r="I14" t="inlineStr">
        <is>
          <t>Y</t>
        </is>
      </c>
      <c r="J14" t="inlineStr">
        <is>
          <t>N</t>
        </is>
      </c>
      <c r="K14" t="inlineStr">
        <is>
          <t>Y</t>
        </is>
      </c>
      <c r="L14" t="inlineStr">
        <is>
          <t>N</t>
        </is>
      </c>
      <c r="M14" t="n">
        <v>5</v>
      </c>
      <c r="N14" t="n">
        <v>5</v>
      </c>
      <c r="O14" t="n">
        <v>5</v>
      </c>
      <c r="P14" t="n">
        <v>1</v>
      </c>
      <c r="Q14" t="n">
        <v>3</v>
      </c>
      <c r="R14">
        <f>IFERROR(XLOOKUP(XLOOKUP(D14,tblReleaseChanges[Change_ID],tblReleaseChanges[Oracle_Severity],""),tblSeverityMap[Severity_Text],tblSeverityMap[Score],0),0)</f>
        <v/>
      </c>
      <c r="S14" t="n">
        <v>5</v>
      </c>
      <c r="T14">
        <f>ROUND((M14*0.25)+(N14*0.20)+(O14*0.15)+(P14*0.15)+(Q14*0.10)+(R14*0.10)+(S14*0.05),2)</f>
        <v/>
      </c>
      <c r="U14">
        <f>IF(T14&gt;=4.25,"Critical",IF(T14&gt;=3.5,"High",IF(T14&gt;=2,"Medium","Low")))</f>
        <v/>
      </c>
      <c r="V14" t="inlineStr">
        <is>
          <t>Pending Review</t>
        </is>
      </c>
      <c r="W14" t="inlineStr"/>
      <c r="X14" t="inlineStr"/>
      <c r="Y14" t="inlineStr">
        <is>
          <t>URGENT: Migrate Fixed Assets SOAP integration to REST before 27A (target: 26C UAT)</t>
        </is>
      </c>
      <c r="Z14" t="inlineStr">
        <is>
          <t>Y</t>
        </is>
      </c>
      <c r="AA14" t="inlineStr">
        <is>
          <t>Y</t>
        </is>
      </c>
    </row>
    <row r="15">
      <c r="A15" t="inlineStr">
        <is>
          <t>ASMT_014</t>
        </is>
      </c>
      <c r="B15" t="inlineStr">
        <is>
          <t>CLT_DFL001</t>
        </is>
      </c>
      <c r="C15" t="inlineStr">
        <is>
          <t>REL_26C</t>
        </is>
      </c>
      <c r="D15" t="inlineStr">
        <is>
          <t>CHG_FIN_004</t>
        </is>
      </c>
      <c r="E15" t="inlineStr">
        <is>
          <t>Functional</t>
        </is>
      </c>
      <c r="F15" t="inlineStr">
        <is>
          <t>Configuration</t>
        </is>
      </c>
      <c r="G15" t="inlineStr">
        <is>
          <t>CFG_DFL_004</t>
        </is>
      </c>
      <c r="H15" t="inlineStr">
        <is>
          <t>DFL Financials impacted by functional change</t>
        </is>
      </c>
      <c r="I15" t="inlineStr">
        <is>
          <t>Y</t>
        </is>
      </c>
      <c r="J15" t="inlineStr">
        <is>
          <t>N</t>
        </is>
      </c>
      <c r="K15" t="inlineStr">
        <is>
          <t>N</t>
        </is>
      </c>
      <c r="L15" t="inlineStr">
        <is>
          <t>N</t>
        </is>
      </c>
      <c r="M15" t="n">
        <v>5</v>
      </c>
      <c r="N15" t="n">
        <v>3</v>
      </c>
      <c r="O15" t="n">
        <v>5</v>
      </c>
      <c r="P15" t="n">
        <v>1</v>
      </c>
      <c r="Q15" t="n">
        <v>3</v>
      </c>
      <c r="R15">
        <f>IFERROR(XLOOKUP(XLOOKUP(D15,tblReleaseChanges[Change_ID],tblReleaseChanges[Oracle_Severity],""),tblSeverityMap[Severity_Text],tblSeverityMap[Score],0),0)</f>
        <v/>
      </c>
      <c r="S15" t="n">
        <v>4</v>
      </c>
      <c r="T15">
        <f>ROUND((M15*0.25)+(N15*0.20)+(O15*0.15)+(P15*0.15)+(Q15*0.10)+(R15*0.10)+(S15*0.05),2)</f>
        <v/>
      </c>
      <c r="U15">
        <f>IF(T15&gt;=4.25,"Critical",IF(T15&gt;=3.5,"High",IF(T15&gt;=2,"Medium","Low")))</f>
        <v/>
      </c>
      <c r="V15" t="inlineStr">
        <is>
          <t>Pending Review</t>
        </is>
      </c>
      <c r="W15" t="inlineStr"/>
      <c r="X15" t="inlineStr"/>
      <c r="Y15" t="inlineStr">
        <is>
          <t>Review funeral package revenue recognition templates for IFRS 15 compliance under new rules</t>
        </is>
      </c>
      <c r="Z15" t="inlineStr">
        <is>
          <t>Y</t>
        </is>
      </c>
      <c r="AA15" t="inlineStr">
        <is>
          <t>Y</t>
        </is>
      </c>
    </row>
    <row r="16">
      <c r="A16" t="inlineStr">
        <is>
          <t>ASMT_015</t>
        </is>
      </c>
      <c r="B16" t="inlineStr">
        <is>
          <t>CLT_DFL001</t>
        </is>
      </c>
      <c r="C16" t="inlineStr">
        <is>
          <t>REL_26C</t>
        </is>
      </c>
      <c r="D16" t="inlineStr">
        <is>
          <t>CHG_FIN_005</t>
        </is>
      </c>
      <c r="E16" t="inlineStr">
        <is>
          <t>Functional</t>
        </is>
      </c>
      <c r="F16" t="inlineStr">
        <is>
          <t>Configuration</t>
        </is>
      </c>
      <c r="G16" t="inlineStr">
        <is>
          <t>CFG_DFL_005</t>
        </is>
      </c>
      <c r="H16" t="inlineStr">
        <is>
          <t>DFL Financials impacted by functional change</t>
        </is>
      </c>
      <c r="I16" t="inlineStr">
        <is>
          <t>Y</t>
        </is>
      </c>
      <c r="J16" t="inlineStr">
        <is>
          <t>N</t>
        </is>
      </c>
      <c r="K16" t="inlineStr">
        <is>
          <t>N</t>
        </is>
      </c>
      <c r="L16" t="inlineStr">
        <is>
          <t>N</t>
        </is>
      </c>
      <c r="M16" t="n">
        <v>5</v>
      </c>
      <c r="N16" t="n">
        <v>3</v>
      </c>
      <c r="O16" t="n">
        <v>5</v>
      </c>
      <c r="P16" t="n">
        <v>1</v>
      </c>
      <c r="Q16" t="n">
        <v>3</v>
      </c>
      <c r="R16">
        <f>IFERROR(XLOOKUP(XLOOKUP(D16,tblReleaseChanges[Change_ID],tblReleaseChanges[Oracle_Severity],""),tblSeverityMap[Severity_Text],tblSeverityMap[Score],0),0)</f>
        <v/>
      </c>
      <c r="S16" t="n">
        <v>3</v>
      </c>
      <c r="T16">
        <f>ROUND((M16*0.25)+(N16*0.20)+(O16*0.15)+(P16*0.15)+(Q16*0.10)+(R16*0.10)+(S16*0.05),2)</f>
        <v/>
      </c>
      <c r="U16">
        <f>IF(T16&gt;=4.25,"Critical",IF(T16&gt;=3.5,"High",IF(T16&gt;=2,"Medium","Low")))</f>
        <v/>
      </c>
      <c r="V16" t="inlineStr">
        <is>
          <t>Pending Review</t>
        </is>
      </c>
      <c r="W16" t="inlineStr"/>
      <c r="X16" t="inlineStr"/>
      <c r="Y16" t="inlineStr">
        <is>
          <t>Configure deferred revenue tracking for DFL pre-need plans; align with trust accounting</t>
        </is>
      </c>
      <c r="Z16" t="inlineStr">
        <is>
          <t>Y</t>
        </is>
      </c>
      <c r="AA16" t="inlineStr">
        <is>
          <t>N</t>
        </is>
      </c>
    </row>
    <row r="17">
      <c r="A17" t="inlineStr">
        <is>
          <t>ASMT_016</t>
        </is>
      </c>
      <c r="B17" t="inlineStr">
        <is>
          <t>CLT_DFL001</t>
        </is>
      </c>
      <c r="C17" t="inlineStr">
        <is>
          <t>REL_26C</t>
        </is>
      </c>
      <c r="D17" t="inlineStr">
        <is>
          <t>CHG_PRC_001</t>
        </is>
      </c>
      <c r="E17" t="inlineStr">
        <is>
          <t>UI</t>
        </is>
      </c>
      <c r="F17" t="inlineStr">
        <is>
          <t>Configuration</t>
        </is>
      </c>
      <c r="G17" t="inlineStr">
        <is>
          <t>CFG_DFL_006</t>
        </is>
      </c>
      <c r="H17" t="inlineStr">
        <is>
          <t>DFL Procurement impacted by ui change</t>
        </is>
      </c>
      <c r="I17" t="inlineStr">
        <is>
          <t>Y</t>
        </is>
      </c>
      <c r="J17" t="inlineStr">
        <is>
          <t>N</t>
        </is>
      </c>
      <c r="K17" t="inlineStr">
        <is>
          <t>N</t>
        </is>
      </c>
      <c r="L17" t="inlineStr">
        <is>
          <t>N</t>
        </is>
      </c>
      <c r="M17" t="n">
        <v>4</v>
      </c>
      <c r="N17" t="n">
        <v>2</v>
      </c>
      <c r="O17" t="n">
        <v>4</v>
      </c>
      <c r="P17" t="n">
        <v>1</v>
      </c>
      <c r="Q17" t="n">
        <v>3</v>
      </c>
      <c r="R17">
        <f>IFERROR(XLOOKUP(XLOOKUP(D17,tblReleaseChanges[Change_ID],tblReleaseChanges[Oracle_Severity],""),tblSeverityMap[Severity_Text],tblSeverityMap[Score],0),0)</f>
        <v/>
      </c>
      <c r="S17" t="n">
        <v>3</v>
      </c>
      <c r="T17">
        <f>ROUND((M17*0.25)+(N17*0.20)+(O17*0.15)+(P17*0.15)+(Q17*0.10)+(R17*0.10)+(S17*0.05),2)</f>
        <v/>
      </c>
      <c r="U17">
        <f>IF(T17&gt;=4.25,"Critical",IF(T17&gt;=3.5,"High",IF(T17&gt;=2,"Medium","Low")))</f>
        <v/>
      </c>
      <c r="V17" t="inlineStr">
        <is>
          <t>Pending Review</t>
        </is>
      </c>
      <c r="W17" t="inlineStr"/>
      <c r="X17" t="inlineStr"/>
      <c r="Y17" t="inlineStr">
        <is>
          <t>Communicate Redwood portal change to key suppliers; update supplier onboarding guides</t>
        </is>
      </c>
      <c r="Z17" t="inlineStr">
        <is>
          <t>Y</t>
        </is>
      </c>
      <c r="AA17" t="inlineStr">
        <is>
          <t>N</t>
        </is>
      </c>
    </row>
    <row r="18">
      <c r="A18" t="inlineStr">
        <is>
          <t>ASMT_017</t>
        </is>
      </c>
      <c r="B18" t="inlineStr">
        <is>
          <t>CLT_DFL001</t>
        </is>
      </c>
      <c r="C18" t="inlineStr">
        <is>
          <t>REL_26C</t>
        </is>
      </c>
      <c r="D18" t="inlineStr">
        <is>
          <t>CHG_PRC_002</t>
        </is>
      </c>
      <c r="E18" t="inlineStr">
        <is>
          <t>AI Feature</t>
        </is>
      </c>
      <c r="F18" t="inlineStr">
        <is>
          <t>Configuration</t>
        </is>
      </c>
      <c r="G18" t="inlineStr">
        <is>
          <t>CFG_DFL_007</t>
        </is>
      </c>
      <c r="H18" t="inlineStr">
        <is>
          <t>DFL Procurement impacted by ai feature change</t>
        </is>
      </c>
      <c r="I18" t="inlineStr">
        <is>
          <t>Y</t>
        </is>
      </c>
      <c r="J18" t="inlineStr">
        <is>
          <t>N</t>
        </is>
      </c>
      <c r="K18" t="inlineStr">
        <is>
          <t>N</t>
        </is>
      </c>
      <c r="L18" t="inlineStr">
        <is>
          <t>N</t>
        </is>
      </c>
      <c r="M18" t="n">
        <v>4</v>
      </c>
      <c r="N18" t="n">
        <v>1</v>
      </c>
      <c r="O18" t="n">
        <v>4</v>
      </c>
      <c r="P18" t="n">
        <v>1</v>
      </c>
      <c r="Q18" t="n">
        <v>3</v>
      </c>
      <c r="R18">
        <f>IFERROR(XLOOKUP(XLOOKUP(D18,tblReleaseChanges[Change_ID],tblReleaseChanges[Oracle_Severity],""),tblSeverityMap[Severity_Text],tblSeverityMap[Score],0),0)</f>
        <v/>
      </c>
      <c r="S18" t="n">
        <v>1</v>
      </c>
      <c r="T18">
        <f>ROUND((M18*0.25)+(N18*0.20)+(O18*0.15)+(P18*0.15)+(Q18*0.10)+(R18*0.10)+(S18*0.05),2)</f>
        <v/>
      </c>
      <c r="U18">
        <f>IF(T18&gt;=4.25,"Critical",IF(T18&gt;=3.5,"High",IF(T18&gt;=2,"Medium","Low")))</f>
        <v/>
      </c>
      <c r="V18" t="inlineStr">
        <is>
          <t>Pending Review</t>
        </is>
      </c>
      <c r="W18" t="inlineStr"/>
      <c r="X18" t="inlineStr"/>
      <c r="Y18" t="inlineStr">
        <is>
          <t>Evaluate AI contract analysis for DFL; seek legal and IT security sign-off before enabling</t>
        </is>
      </c>
      <c r="Z18" t="inlineStr">
        <is>
          <t>N</t>
        </is>
      </c>
      <c r="AA18" t="inlineStr">
        <is>
          <t>N</t>
        </is>
      </c>
    </row>
    <row r="19">
      <c r="A19" t="inlineStr">
        <is>
          <t>ASMT_018</t>
        </is>
      </c>
      <c r="B19" t="inlineStr">
        <is>
          <t>CLT_DFL001</t>
        </is>
      </c>
      <c r="C19" t="inlineStr">
        <is>
          <t>REL_26C</t>
        </is>
      </c>
      <c r="D19" t="inlineStr">
        <is>
          <t>CHG_PM_001</t>
        </is>
      </c>
      <c r="E19" t="inlineStr">
        <is>
          <t>Functional</t>
        </is>
      </c>
      <c r="F19" t="inlineStr">
        <is>
          <t>Configuration</t>
        </is>
      </c>
      <c r="G19" t="inlineStr">
        <is>
          <t>CFG_DFL_008</t>
        </is>
      </c>
      <c r="H19" t="inlineStr">
        <is>
          <t>DFL Project Management impacted by functional change</t>
        </is>
      </c>
      <c r="I19" t="inlineStr">
        <is>
          <t>Y</t>
        </is>
      </c>
      <c r="J19" t="inlineStr">
        <is>
          <t>N</t>
        </is>
      </c>
      <c r="K19" t="inlineStr">
        <is>
          <t>N</t>
        </is>
      </c>
      <c r="L19" t="inlineStr">
        <is>
          <t>N</t>
        </is>
      </c>
      <c r="M19" t="n">
        <v>2</v>
      </c>
      <c r="N19" t="n">
        <v>3</v>
      </c>
      <c r="O19" t="n">
        <v>2</v>
      </c>
      <c r="P19" t="n">
        <v>1</v>
      </c>
      <c r="Q19" t="n">
        <v>3</v>
      </c>
      <c r="R19">
        <f>IFERROR(XLOOKUP(XLOOKUP(D19,tblReleaseChanges[Change_ID],tblReleaseChanges[Oracle_Severity],""),tblSeverityMap[Severity_Text],tblSeverityMap[Score],0),0)</f>
        <v/>
      </c>
      <c r="S19" t="n">
        <v>1</v>
      </c>
      <c r="T19">
        <f>ROUND((M19*0.25)+(N19*0.20)+(O19*0.15)+(P19*0.15)+(Q19*0.10)+(R19*0.10)+(S19*0.05),2)</f>
        <v/>
      </c>
      <c r="U19">
        <f>IF(T19&gt;=4.25,"Critical",IF(T19&gt;=3.5,"High",IF(T19&gt;=2,"Medium","Low")))</f>
        <v/>
      </c>
      <c r="V19" t="inlineStr">
        <is>
          <t>Pending Review</t>
        </is>
      </c>
      <c r="W19" t="inlineStr"/>
      <c r="X19" t="inlineStr"/>
      <c r="Y19" t="inlineStr">
        <is>
          <t>Review project template configurations for branch refurbishment programme</t>
        </is>
      </c>
      <c r="Z19" t="inlineStr">
        <is>
          <t>N</t>
        </is>
      </c>
      <c r="AA19" t="inlineStr">
        <is>
          <t>N</t>
        </is>
      </c>
    </row>
    <row r="20">
      <c r="A20" t="inlineStr">
        <is>
          <t>ASMT_019</t>
        </is>
      </c>
      <c r="B20" t="inlineStr">
        <is>
          <t>CLT_DFL001</t>
        </is>
      </c>
      <c r="C20" t="inlineStr">
        <is>
          <t>REL_26C</t>
        </is>
      </c>
      <c r="D20" t="inlineStr">
        <is>
          <t>CHG_INV_001</t>
        </is>
      </c>
      <c r="E20" t="inlineStr">
        <is>
          <t>Functional</t>
        </is>
      </c>
      <c r="F20" t="inlineStr">
        <is>
          <t>Configuration</t>
        </is>
      </c>
      <c r="G20" t="inlineStr">
        <is>
          <t>CFG_DFL_009</t>
        </is>
      </c>
      <c r="H20" t="inlineStr">
        <is>
          <t>DFL Inventory Management impacted by functional change</t>
        </is>
      </c>
      <c r="I20" t="inlineStr">
        <is>
          <t>Y</t>
        </is>
      </c>
      <c r="J20" t="inlineStr">
        <is>
          <t>N</t>
        </is>
      </c>
      <c r="K20" t="inlineStr">
        <is>
          <t>N</t>
        </is>
      </c>
      <c r="L20" t="inlineStr">
        <is>
          <t>N</t>
        </is>
      </c>
      <c r="M20" t="n">
        <v>3</v>
      </c>
      <c r="N20" t="n">
        <v>3</v>
      </c>
      <c r="O20" t="n">
        <v>3</v>
      </c>
      <c r="P20" t="n">
        <v>1</v>
      </c>
      <c r="Q20" t="n">
        <v>3</v>
      </c>
      <c r="R20">
        <f>IFERROR(XLOOKUP(XLOOKUP(D20,tblReleaseChanges[Change_ID],tblReleaseChanges[Oracle_Severity],""),tblSeverityMap[Severity_Text],tblSeverityMap[Score],0),0)</f>
        <v/>
      </c>
      <c r="S20" t="n">
        <v>3</v>
      </c>
      <c r="T20">
        <f>ROUND((M20*0.25)+(N20*0.20)+(O20*0.15)+(P20*0.15)+(Q20*0.10)+(R20*0.10)+(S20*0.05),2)</f>
        <v/>
      </c>
      <c r="U20">
        <f>IF(T20&gt;=4.25,"Critical",IF(T20&gt;=3.5,"High",IF(T20&gt;=2,"Medium","Low")))</f>
        <v/>
      </c>
      <c r="V20" t="inlineStr">
        <is>
          <t>Pending Review</t>
        </is>
      </c>
      <c r="W20" t="inlineStr"/>
      <c r="X20" t="inlineStr"/>
      <c r="Y20" t="inlineStr">
        <is>
          <t>Configure lot tracking for regulated embalming supplies; validate COSHH compliance data</t>
        </is>
      </c>
      <c r="Z20" t="inlineStr">
        <is>
          <t>Y</t>
        </is>
      </c>
      <c r="AA20" t="inlineStr">
        <is>
          <t>N</t>
        </is>
      </c>
    </row>
    <row r="21">
      <c r="A21" t="inlineStr">
        <is>
          <t>ASMT_020</t>
        </is>
      </c>
      <c r="B21" t="inlineStr">
        <is>
          <t>CLT_DFL001</t>
        </is>
      </c>
      <c r="C21" t="inlineStr">
        <is>
          <t>REL_26C</t>
        </is>
      </c>
      <c r="D21" t="inlineStr">
        <is>
          <t>CHG_INV_002</t>
        </is>
      </c>
      <c r="E21" t="inlineStr">
        <is>
          <t>AI Feature</t>
        </is>
      </c>
      <c r="F21" t="inlineStr">
        <is>
          <t>Configuration</t>
        </is>
      </c>
      <c r="G21" t="inlineStr">
        <is>
          <t>CFG_DFL_010</t>
        </is>
      </c>
      <c r="H21" t="inlineStr">
        <is>
          <t>DFL Inventory Management impacted by ai feature change</t>
        </is>
      </c>
      <c r="I21" t="inlineStr">
        <is>
          <t>Y</t>
        </is>
      </c>
      <c r="J21" t="inlineStr">
        <is>
          <t>N</t>
        </is>
      </c>
      <c r="K21" t="inlineStr">
        <is>
          <t>N</t>
        </is>
      </c>
      <c r="L21" t="inlineStr">
        <is>
          <t>N</t>
        </is>
      </c>
      <c r="M21" t="n">
        <v>3</v>
      </c>
      <c r="N21" t="n">
        <v>1</v>
      </c>
      <c r="O21" t="n">
        <v>3</v>
      </c>
      <c r="P21" t="n">
        <v>1</v>
      </c>
      <c r="Q21" t="n">
        <v>3</v>
      </c>
      <c r="R21">
        <f>IFERROR(XLOOKUP(XLOOKUP(D21,tblReleaseChanges[Change_ID],tblReleaseChanges[Oracle_Severity],""),tblSeverityMap[Severity_Text],tblSeverityMap[Score],0),0)</f>
        <v/>
      </c>
      <c r="S21" t="n">
        <v>1</v>
      </c>
      <c r="T21">
        <f>ROUND((M21*0.25)+(N21*0.20)+(O21*0.15)+(P21*0.15)+(Q21*0.10)+(R21*0.10)+(S21*0.05),2)</f>
        <v/>
      </c>
      <c r="U21">
        <f>IF(T21&gt;=4.25,"Critical",IF(T21&gt;=3.5,"High",IF(T21&gt;=2,"Medium","Low")))</f>
        <v/>
      </c>
      <c r="V21" t="inlineStr">
        <is>
          <t>Pending Review</t>
        </is>
      </c>
      <c r="W21" t="inlineStr"/>
      <c r="X21" t="inlineStr"/>
      <c r="Y21" t="inlineStr">
        <is>
          <t>Evaluate AI demand forecasting; assess data quality requirements before enabling</t>
        </is>
      </c>
      <c r="Z21" t="inlineStr">
        <is>
          <t>N</t>
        </is>
      </c>
      <c r="AA21" t="inlineStr">
        <is>
          <t>N</t>
        </is>
      </c>
    </row>
    <row r="22">
      <c r="A22" t="inlineStr">
        <is>
          <t>ASMT_021</t>
        </is>
      </c>
      <c r="B22" t="inlineStr">
        <is>
          <t>CLT_DFL001</t>
        </is>
      </c>
      <c r="C22" t="inlineStr">
        <is>
          <t>REL_26C</t>
        </is>
      </c>
      <c r="D22" t="inlineStr">
        <is>
          <t>CHG_OM_001</t>
        </is>
      </c>
      <c r="E22" t="inlineStr">
        <is>
          <t>Technical</t>
        </is>
      </c>
      <c r="F22" t="inlineStr">
        <is>
          <t>Interface</t>
        </is>
      </c>
      <c r="G22" t="inlineStr"/>
      <c r="H22" t="inlineStr">
        <is>
          <t>DFL Order Management impacted by technical change</t>
        </is>
      </c>
      <c r="I22" t="inlineStr">
        <is>
          <t>Y</t>
        </is>
      </c>
      <c r="J22" t="inlineStr">
        <is>
          <t>N</t>
        </is>
      </c>
      <c r="K22" t="inlineStr">
        <is>
          <t>Y</t>
        </is>
      </c>
      <c r="L22" t="inlineStr">
        <is>
          <t>N</t>
        </is>
      </c>
      <c r="M22" t="n">
        <v>4</v>
      </c>
      <c r="N22" t="n">
        <v>5</v>
      </c>
      <c r="O22" t="n">
        <v>4</v>
      </c>
      <c r="P22" t="n">
        <v>1</v>
      </c>
      <c r="Q22" t="n">
        <v>3</v>
      </c>
      <c r="R22">
        <f>IFERROR(XLOOKUP(XLOOKUP(D22,tblReleaseChanges[Change_ID],tblReleaseChanges[Oracle_Severity],""),tblSeverityMap[Severity_Text],tblSeverityMap[Score],0),0)</f>
        <v/>
      </c>
      <c r="S22" t="n">
        <v>4</v>
      </c>
      <c r="T22">
        <f>ROUND((M22*0.25)+(N22*0.20)+(O22*0.15)+(P22*0.15)+(Q22*0.10)+(R22*0.10)+(S22*0.05),2)</f>
        <v/>
      </c>
      <c r="U22">
        <f>IF(T22&gt;=4.25,"Critical",IF(T22&gt;=3.5,"High",IF(T22&gt;=2,"Medium","Low")))</f>
        <v/>
      </c>
      <c r="V22" t="inlineStr">
        <is>
          <t>Pending Review</t>
        </is>
      </c>
      <c r="W22" t="inlineStr"/>
      <c r="X22" t="inlineStr"/>
      <c r="Y22" t="inlineStr">
        <is>
          <t>Test funeral case management system integration against updated OM REST API schema</t>
        </is>
      </c>
      <c r="Z22" t="inlineStr">
        <is>
          <t>Y</t>
        </is>
      </c>
      <c r="AA22" t="inlineStr">
        <is>
          <t>Y</t>
        </is>
      </c>
    </row>
    <row r="23">
      <c r="A23" t="inlineStr">
        <is>
          <t>ASMT_022</t>
        </is>
      </c>
      <c r="B23" t="inlineStr">
        <is>
          <t>CLT_DFL001</t>
        </is>
      </c>
      <c r="C23" t="inlineStr">
        <is>
          <t>REL_26C</t>
        </is>
      </c>
      <c r="D23" t="inlineStr">
        <is>
          <t>CHG_RCT_001</t>
        </is>
      </c>
      <c r="E23" t="inlineStr">
        <is>
          <t>AI Feature</t>
        </is>
      </c>
      <c r="F23" t="inlineStr">
        <is>
          <t>Configuration</t>
        </is>
      </c>
      <c r="G23" t="inlineStr">
        <is>
          <t>CFG_DFL_002</t>
        </is>
      </c>
      <c r="H23" t="inlineStr">
        <is>
          <t>DFL Recruiting impacted by ai feature change</t>
        </is>
      </c>
      <c r="I23" t="inlineStr">
        <is>
          <t>Y</t>
        </is>
      </c>
      <c r="J23" t="inlineStr">
        <is>
          <t>N</t>
        </is>
      </c>
      <c r="K23" t="inlineStr">
        <is>
          <t>N</t>
        </is>
      </c>
      <c r="L23" t="inlineStr">
        <is>
          <t>N</t>
        </is>
      </c>
      <c r="M23" t="n">
        <v>3</v>
      </c>
      <c r="N23" t="n">
        <v>1</v>
      </c>
      <c r="O23" t="n">
        <v>2</v>
      </c>
      <c r="P23" t="n">
        <v>1</v>
      </c>
      <c r="Q23" t="n">
        <v>3</v>
      </c>
      <c r="R23">
        <f>IFERROR(XLOOKUP(XLOOKUP(D23,tblReleaseChanges[Change_ID],tblReleaseChanges[Oracle_Severity],""),tblSeverityMap[Severity_Text],tblSeverityMap[Score],0),0)</f>
        <v/>
      </c>
      <c r="S23" t="n">
        <v>1</v>
      </c>
      <c r="T23">
        <f>ROUND((M23*0.25)+(N23*0.20)+(O23*0.15)+(P23*0.15)+(Q23*0.10)+(R23*0.10)+(S23*0.05),2)</f>
        <v/>
      </c>
      <c r="U23">
        <f>IF(T23&gt;=4.25,"Critical",IF(T23&gt;=3.5,"High",IF(T23&gt;=2,"Medium","Low")))</f>
        <v/>
      </c>
      <c r="V23" t="inlineStr">
        <is>
          <t>Pending Review</t>
        </is>
      </c>
      <c r="W23" t="inlineStr"/>
      <c r="X23" t="inlineStr"/>
      <c r="Y23" t="inlineStr">
        <is>
          <t>Enable AI job description optimisation; brief HR team on capabilities and limitations</t>
        </is>
      </c>
      <c r="Z23" t="inlineStr">
        <is>
          <t>N</t>
        </is>
      </c>
      <c r="AA23" t="inlineStr">
        <is>
          <t>N</t>
        </is>
      </c>
    </row>
    <row r="24">
      <c r="A24" t="inlineStr">
        <is>
          <t>ASMT_023</t>
        </is>
      </c>
      <c r="B24" t="inlineStr">
        <is>
          <t>CLT_DFL001</t>
        </is>
      </c>
      <c r="C24" t="inlineStr">
        <is>
          <t>REL_26C</t>
        </is>
      </c>
      <c r="D24" t="inlineStr">
        <is>
          <t>CHG_CMP_001</t>
        </is>
      </c>
      <c r="E24" t="inlineStr">
        <is>
          <t>AI Feature</t>
        </is>
      </c>
      <c r="F24" t="inlineStr">
        <is>
          <t>Configuration</t>
        </is>
      </c>
      <c r="G24" t="inlineStr">
        <is>
          <t>CFG_DFL_003</t>
        </is>
      </c>
      <c r="H24" t="inlineStr">
        <is>
          <t>DFL Compensation impacted by ai feature change</t>
        </is>
      </c>
      <c r="I24" t="inlineStr">
        <is>
          <t>Y</t>
        </is>
      </c>
      <c r="J24" t="inlineStr">
        <is>
          <t>N</t>
        </is>
      </c>
      <c r="K24" t="inlineStr">
        <is>
          <t>N</t>
        </is>
      </c>
      <c r="L24" t="inlineStr">
        <is>
          <t>N</t>
        </is>
      </c>
      <c r="M24" t="n">
        <v>3</v>
      </c>
      <c r="N24" t="n">
        <v>1</v>
      </c>
      <c r="O24" t="n">
        <v>2</v>
      </c>
      <c r="P24" t="n">
        <v>1</v>
      </c>
      <c r="Q24" t="n">
        <v>3</v>
      </c>
      <c r="R24">
        <f>IFERROR(XLOOKUP(XLOOKUP(D24,tblReleaseChanges[Change_ID],tblReleaseChanges[Oracle_Severity],""),tblSeverityMap[Severity_Text],tblSeverityMap[Score],0),0)</f>
        <v/>
      </c>
      <c r="S24" t="n">
        <v>1</v>
      </c>
      <c r="T24">
        <f>ROUND((M24*0.25)+(N24*0.20)+(O24*0.15)+(P24*0.15)+(Q24*0.10)+(R24*0.10)+(S24*0.05),2)</f>
        <v/>
      </c>
      <c r="U24">
        <f>IF(T24&gt;=4.25,"Critical",IF(T24&gt;=3.5,"High",IF(T24&gt;=2,"Medium","Low")))</f>
        <v/>
      </c>
      <c r="V24" t="inlineStr">
        <is>
          <t>Pending Review</t>
        </is>
      </c>
      <c r="W24" t="inlineStr"/>
      <c r="X24" t="inlineStr"/>
      <c r="Y24" t="inlineStr">
        <is>
          <t>Review AI salary benchmarking capability; assess data governance requirements</t>
        </is>
      </c>
      <c r="Z24" t="inlineStr">
        <is>
          <t>N</t>
        </is>
      </c>
      <c r="AA24" t="inlineStr">
        <is>
          <t>N</t>
        </is>
      </c>
    </row>
    <row r="25">
      <c r="A25" t="inlineStr">
        <is>
          <t>ASMT_024</t>
        </is>
      </c>
      <c r="B25" t="inlineStr">
        <is>
          <t>CLT_DFL001</t>
        </is>
      </c>
      <c r="C25" t="inlineStr">
        <is>
          <t>REL_26C</t>
        </is>
      </c>
      <c r="D25" t="inlineStr">
        <is>
          <t>CHG_BEN_001</t>
        </is>
      </c>
      <c r="E25" t="inlineStr">
        <is>
          <t>Functional</t>
        </is>
      </c>
      <c r="F25" t="inlineStr">
        <is>
          <t>Configuration</t>
        </is>
      </c>
      <c r="G25" t="inlineStr">
        <is>
          <t>CFG_DFL_004</t>
        </is>
      </c>
      <c r="H25" t="inlineStr">
        <is>
          <t>DFL Benefits impacted by functional change</t>
        </is>
      </c>
      <c r="I25" t="inlineStr">
        <is>
          <t>Y</t>
        </is>
      </c>
      <c r="J25" t="inlineStr">
        <is>
          <t>N</t>
        </is>
      </c>
      <c r="K25" t="inlineStr">
        <is>
          <t>N</t>
        </is>
      </c>
      <c r="L25" t="inlineStr">
        <is>
          <t>N</t>
        </is>
      </c>
      <c r="M25" t="n">
        <v>4</v>
      </c>
      <c r="N25" t="n">
        <v>3</v>
      </c>
      <c r="O25" t="n">
        <v>2</v>
      </c>
      <c r="P25" t="n">
        <v>1</v>
      </c>
      <c r="Q25" t="n">
        <v>3</v>
      </c>
      <c r="R25">
        <f>IFERROR(XLOOKUP(XLOOKUP(D25,tblReleaseChanges[Change_ID],tblReleaseChanges[Oracle_Severity],""),tblSeverityMap[Severity_Text],tblSeverityMap[Score],0),0)</f>
        <v/>
      </c>
      <c r="S25" t="n">
        <v>3</v>
      </c>
      <c r="T25">
        <f>ROUND((M25*0.25)+(N25*0.20)+(O25*0.15)+(P25*0.15)+(Q25*0.10)+(R25*0.10)+(S25*0.05),2)</f>
        <v/>
      </c>
      <c r="U25">
        <f>IF(T25&gt;=4.25,"Critical",IF(T25&gt;=3.5,"High",IF(T25&gt;=2,"Medium","Low")))</f>
        <v/>
      </c>
      <c r="V25" t="inlineStr">
        <is>
          <t>Pending Review</t>
        </is>
      </c>
      <c r="W25" t="inlineStr"/>
      <c r="X25" t="inlineStr"/>
      <c r="Y25" t="inlineStr">
        <is>
          <t>Review life event rules for DFL benefit plans; test auto-processing of new event types</t>
        </is>
      </c>
      <c r="Z25" t="inlineStr">
        <is>
          <t>Y</t>
        </is>
      </c>
      <c r="AA25" t="inlineStr">
        <is>
          <t>N</t>
        </is>
      </c>
    </row>
    <row r="26">
      <c r="A26" t="inlineStr">
        <is>
          <t>ASMT_IMP_0001</t>
        </is>
      </c>
      <c r="B26" t="inlineStr">
        <is>
          <t>CLT_DFL001</t>
        </is>
      </c>
      <c r="C26" t="inlineStr">
        <is>
          <t>REL_26C</t>
        </is>
      </c>
      <c r="D26" t="inlineStr">
        <is>
          <t>CHG_IMP_0001</t>
        </is>
      </c>
      <c r="E26" t="inlineStr">
        <is>
          <t>Functional</t>
        </is>
      </c>
      <c r="F26" t="inlineStr">
        <is>
          <t>Configuration</t>
        </is>
      </c>
      <c r="G26" t="inlineStr"/>
      <c r="H26" t="inlineStr">
        <is>
          <t>DFL Financials impacted by Oracle 26C change</t>
        </is>
      </c>
      <c r="I26" t="inlineStr">
        <is>
          <t>Y</t>
        </is>
      </c>
      <c r="J26" t="inlineStr">
        <is>
          <t>N</t>
        </is>
      </c>
      <c r="K26" t="inlineStr">
        <is>
          <t>N</t>
        </is>
      </c>
      <c r="L26" t="inlineStr">
        <is>
          <t>N</t>
        </is>
      </c>
      <c r="M26" t="n">
        <v>5</v>
      </c>
      <c r="N26" t="n">
        <v>2</v>
      </c>
      <c r="O26" t="n">
        <v>5</v>
      </c>
      <c r="P26" t="n">
        <v>1</v>
      </c>
      <c r="Q26" t="n">
        <v>3</v>
      </c>
      <c r="R26">
        <f>IFERROR(XLOOKUP(XLOOKUP(D26,tblReleaseChanges[Change_ID],tblReleaseChanges[Oracle_Severity],""),tblSeverityMap[Severity_Text],tblSeverityMap[Score],0),0)</f>
        <v/>
      </c>
      <c r="S26" t="n">
        <v>1</v>
      </c>
      <c r="T26">
        <f>ROUND((M26*0.25)+(N26*0.20)+(O26*0.15)+(P26*0.15)+(Q26*0.10)+(R26*0.10)+(S26*0.05),2)</f>
        <v/>
      </c>
      <c r="U26">
        <f>IF(T26&gt;=4.25,"Critical",IF(T26&gt;=3.5,"High",IF(T26&gt;=2,"Medium","Low")))</f>
        <v/>
      </c>
      <c r="V26" t="inlineStr">
        <is>
          <t>Pending Review</t>
        </is>
      </c>
      <c r="W26" t="inlineStr"/>
      <c r="X26" t="inlineStr"/>
      <c r="Y26" t="inlineStr">
        <is>
          <t>Auto-enabled — no action required</t>
        </is>
      </c>
      <c r="Z26" t="inlineStr">
        <is>
          <t>N</t>
        </is>
      </c>
      <c r="AA26" t="inlineStr">
        <is>
          <t>N</t>
        </is>
      </c>
    </row>
    <row r="27">
      <c r="A27" t="inlineStr">
        <is>
          <t>ASMT_IMP_0002</t>
        </is>
      </c>
      <c r="B27" t="inlineStr">
        <is>
          <t>CLT_DFL001</t>
        </is>
      </c>
      <c r="C27" t="inlineStr">
        <is>
          <t>REL_26C</t>
        </is>
      </c>
      <c r="D27" t="inlineStr">
        <is>
          <t>CHG_IMP_0002</t>
        </is>
      </c>
      <c r="E27" t="inlineStr">
        <is>
          <t>Functional</t>
        </is>
      </c>
      <c r="F27" t="inlineStr">
        <is>
          <t>Configuration</t>
        </is>
      </c>
      <c r="G27" t="inlineStr"/>
      <c r="H27" t="inlineStr">
        <is>
          <t>DFL Financials impacted by Oracle 26C change</t>
        </is>
      </c>
      <c r="I27" t="inlineStr">
        <is>
          <t>Y</t>
        </is>
      </c>
      <c r="J27" t="inlineStr">
        <is>
          <t>N</t>
        </is>
      </c>
      <c r="K27" t="inlineStr">
        <is>
          <t>N</t>
        </is>
      </c>
      <c r="L27" t="inlineStr">
        <is>
          <t>N</t>
        </is>
      </c>
      <c r="M27" t="n">
        <v>5</v>
      </c>
      <c r="N27" t="n">
        <v>2</v>
      </c>
      <c r="O27" t="n">
        <v>5</v>
      </c>
      <c r="P27" t="n">
        <v>1</v>
      </c>
      <c r="Q27" t="n">
        <v>3</v>
      </c>
      <c r="R27">
        <f>IFERROR(XLOOKUP(XLOOKUP(D27,tblReleaseChanges[Change_ID],tblReleaseChanges[Oracle_Severity],""),tblSeverityMap[Severity_Text],tblSeverityMap[Score],0),0)</f>
        <v/>
      </c>
      <c r="S27" t="n">
        <v>1</v>
      </c>
      <c r="T27">
        <f>ROUND((M27*0.25)+(N27*0.20)+(O27*0.15)+(P27*0.15)+(Q27*0.10)+(R27*0.10)+(S27*0.05),2)</f>
        <v/>
      </c>
      <c r="U27">
        <f>IF(T27&gt;=4.25,"Critical",IF(T27&gt;=3.5,"High",IF(T27&gt;=2,"Medium","Low")))</f>
        <v/>
      </c>
      <c r="V27" t="inlineStr">
        <is>
          <t>Pending Review</t>
        </is>
      </c>
      <c r="W27" t="inlineStr"/>
      <c r="X27" t="inlineStr"/>
      <c r="Y27" t="inlineStr">
        <is>
          <t>Auto-enabled — no action required</t>
        </is>
      </c>
      <c r="Z27" t="inlineStr">
        <is>
          <t>N</t>
        </is>
      </c>
      <c r="AA27" t="inlineStr">
        <is>
          <t>N</t>
        </is>
      </c>
    </row>
    <row r="28">
      <c r="A28" t="inlineStr">
        <is>
          <t>ASMT_IMP_0003</t>
        </is>
      </c>
      <c r="B28" t="inlineStr">
        <is>
          <t>CLT_DFL001</t>
        </is>
      </c>
      <c r="C28" t="inlineStr">
        <is>
          <t>REL_26C</t>
        </is>
      </c>
      <c r="D28" t="inlineStr">
        <is>
          <t>CHG_IMP_0003</t>
        </is>
      </c>
      <c r="E28" t="inlineStr">
        <is>
          <t>Functional</t>
        </is>
      </c>
      <c r="F28" t="inlineStr">
        <is>
          <t>Configuration</t>
        </is>
      </c>
      <c r="G28" t="inlineStr"/>
      <c r="H28" t="inlineStr">
        <is>
          <t>DFL Financials impacted by Oracle 26C change</t>
        </is>
      </c>
      <c r="I28" t="inlineStr">
        <is>
          <t>Y</t>
        </is>
      </c>
      <c r="J28" t="inlineStr">
        <is>
          <t>N</t>
        </is>
      </c>
      <c r="K28" t="inlineStr">
        <is>
          <t>N</t>
        </is>
      </c>
      <c r="L28" t="inlineStr">
        <is>
          <t>N</t>
        </is>
      </c>
      <c r="M28" t="n">
        <v>5</v>
      </c>
      <c r="N28" t="n">
        <v>2</v>
      </c>
      <c r="O28" t="n">
        <v>5</v>
      </c>
      <c r="P28" t="n">
        <v>1</v>
      </c>
      <c r="Q28" t="n">
        <v>3</v>
      </c>
      <c r="R28">
        <f>IFERROR(XLOOKUP(XLOOKUP(D28,tblReleaseChanges[Change_ID],tblReleaseChanges[Oracle_Severity],""),tblSeverityMap[Severity_Text],tblSeverityMap[Score],0),0)</f>
        <v/>
      </c>
      <c r="S28" t="n">
        <v>4</v>
      </c>
      <c r="T28">
        <f>ROUND((M28*0.25)+(N28*0.20)+(O28*0.15)+(P28*0.15)+(Q28*0.10)+(R28*0.10)+(S28*0.05),2)</f>
        <v/>
      </c>
      <c r="U28">
        <f>IF(T28&gt;=4.25,"Critical",IF(T28&gt;=3.5,"High",IF(T28&gt;=2,"Medium","Low")))</f>
        <v/>
      </c>
      <c r="V28" t="inlineStr">
        <is>
          <t>Pending Review</t>
        </is>
      </c>
      <c r="W28" t="inlineStr"/>
      <c r="X28" t="inlineStr"/>
      <c r="Y28" t="inlineStr">
        <is>
          <t xml:space="preserve">Action type: Steps to Enable. Review the REST service definition in the REST API guides to leverage (available from the Oracle Help Center &gt; *your apps service area of interest* &gt; APIs &amp; Schema). </t>
        </is>
      </c>
      <c r="Z28" t="inlineStr">
        <is>
          <t>Y</t>
        </is>
      </c>
      <c r="AA28" t="inlineStr">
        <is>
          <t>Y</t>
        </is>
      </c>
    </row>
    <row r="29">
      <c r="A29" t="inlineStr">
        <is>
          <t>ASMT_IMP_0004</t>
        </is>
      </c>
      <c r="B29" t="inlineStr">
        <is>
          <t>CLT_DFL001</t>
        </is>
      </c>
      <c r="C29" t="inlineStr">
        <is>
          <t>REL_26C</t>
        </is>
      </c>
      <c r="D29" t="inlineStr">
        <is>
          <t>CHG_IMP_0004</t>
        </is>
      </c>
      <c r="E29" t="inlineStr">
        <is>
          <t>Functional</t>
        </is>
      </c>
      <c r="F29" t="inlineStr">
        <is>
          <t>Configuration</t>
        </is>
      </c>
      <c r="G29" t="inlineStr"/>
      <c r="H29" t="inlineStr">
        <is>
          <t>DFL Financials impacted by Oracle 26C change</t>
        </is>
      </c>
      <c r="I29" t="inlineStr">
        <is>
          <t>Y</t>
        </is>
      </c>
      <c r="J29" t="inlineStr">
        <is>
          <t>N</t>
        </is>
      </c>
      <c r="K29" t="inlineStr">
        <is>
          <t>N</t>
        </is>
      </c>
      <c r="L29" t="inlineStr">
        <is>
          <t>N</t>
        </is>
      </c>
      <c r="M29" t="n">
        <v>5</v>
      </c>
      <c r="N29" t="n">
        <v>2</v>
      </c>
      <c r="O29" t="n">
        <v>5</v>
      </c>
      <c r="P29" t="n">
        <v>1</v>
      </c>
      <c r="Q29" t="n">
        <v>3</v>
      </c>
      <c r="R29">
        <f>IFERROR(XLOOKUP(XLOOKUP(D29,tblReleaseChanges[Change_ID],tblReleaseChanges[Oracle_Severity],""),tblSeverityMap[Severity_Text],tblSeverityMap[Score],0),0)</f>
        <v/>
      </c>
      <c r="S29" t="n">
        <v>4</v>
      </c>
      <c r="T29">
        <f>ROUND((M29*0.25)+(N29*0.20)+(O29*0.15)+(P29*0.15)+(Q29*0.10)+(R29*0.10)+(S29*0.05),2)</f>
        <v/>
      </c>
      <c r="U29">
        <f>IF(T29&gt;=4.25,"Critical",IF(T29&gt;=3.5,"High",IF(T29&gt;=2,"Medium","Low")))</f>
        <v/>
      </c>
      <c r="V29" t="inlineStr">
        <is>
          <t>Pending Review</t>
        </is>
      </c>
      <c r="W29" t="inlineStr"/>
      <c r="X29" t="inlineStr"/>
      <c r="Y29" t="inlineStr">
        <is>
          <t>Action type: Steps to Enable. Review the REST service definition in the REST API guides to leverage (available from the Oracle Help Center &gt; *your apps service area of interest* &gt; APIs &amp; Schema).</t>
        </is>
      </c>
      <c r="Z29" t="inlineStr">
        <is>
          <t>Y</t>
        </is>
      </c>
      <c r="AA29" t="inlineStr">
        <is>
          <t>Y</t>
        </is>
      </c>
    </row>
    <row r="30">
      <c r="A30" t="inlineStr">
        <is>
          <t>ASMT_IMP_0005</t>
        </is>
      </c>
      <c r="B30" t="inlineStr">
        <is>
          <t>CLT_DFL001</t>
        </is>
      </c>
      <c r="C30" t="inlineStr">
        <is>
          <t>REL_26C</t>
        </is>
      </c>
      <c r="D30" t="inlineStr">
        <is>
          <t>CHG_IMP_0005</t>
        </is>
      </c>
      <c r="E30" t="inlineStr">
        <is>
          <t>Functional</t>
        </is>
      </c>
      <c r="F30" t="inlineStr">
        <is>
          <t>Configuration</t>
        </is>
      </c>
      <c r="G30" t="inlineStr"/>
      <c r="H30" t="inlineStr">
        <is>
          <t>DFL Financials impacted by Oracle 26C change</t>
        </is>
      </c>
      <c r="I30" t="inlineStr">
        <is>
          <t>Y</t>
        </is>
      </c>
      <c r="J30" t="inlineStr">
        <is>
          <t>N</t>
        </is>
      </c>
      <c r="K30" t="inlineStr">
        <is>
          <t>N</t>
        </is>
      </c>
      <c r="L30" t="inlineStr">
        <is>
          <t>N</t>
        </is>
      </c>
      <c r="M30" t="n">
        <v>5</v>
      </c>
      <c r="N30" t="n">
        <v>2</v>
      </c>
      <c r="O30" t="n">
        <v>5</v>
      </c>
      <c r="P30" t="n">
        <v>1</v>
      </c>
      <c r="Q30" t="n">
        <v>3</v>
      </c>
      <c r="R30">
        <f>IFERROR(XLOOKUP(XLOOKUP(D30,tblReleaseChanges[Change_ID],tblReleaseChanges[Oracle_Severity],""),tblSeverityMap[Severity_Text],tblSeverityMap[Score],0),0)</f>
        <v/>
      </c>
      <c r="S30" t="n">
        <v>1</v>
      </c>
      <c r="T30">
        <f>ROUND((M30*0.25)+(N30*0.20)+(O30*0.15)+(P30*0.15)+(Q30*0.10)+(R30*0.10)+(S30*0.05),2)</f>
        <v/>
      </c>
      <c r="U30">
        <f>IF(T30&gt;=4.25,"Critical",IF(T30&gt;=3.5,"High",IF(T30&gt;=2,"Medium","Low")))</f>
        <v/>
      </c>
      <c r="V30" t="inlineStr">
        <is>
          <t>Pending Review</t>
        </is>
      </c>
      <c r="W30" t="inlineStr"/>
      <c r="X30" t="inlineStr"/>
      <c r="Y30" t="inlineStr">
        <is>
          <t>Auto-enabled — no action required</t>
        </is>
      </c>
      <c r="Z30" t="inlineStr">
        <is>
          <t>N</t>
        </is>
      </c>
      <c r="AA30" t="inlineStr">
        <is>
          <t>N</t>
        </is>
      </c>
    </row>
    <row r="31">
      <c r="A31" t="inlineStr">
        <is>
          <t>ASMT_IMP_0006</t>
        </is>
      </c>
      <c r="B31" t="inlineStr">
        <is>
          <t>CLT_DFL001</t>
        </is>
      </c>
      <c r="C31" t="inlineStr">
        <is>
          <t>REL_26C</t>
        </is>
      </c>
      <c r="D31" t="inlineStr">
        <is>
          <t>CHG_IMP_0006</t>
        </is>
      </c>
      <c r="E31" t="inlineStr">
        <is>
          <t>Functional</t>
        </is>
      </c>
      <c r="F31" t="inlineStr">
        <is>
          <t>Configuration</t>
        </is>
      </c>
      <c r="G31" t="inlineStr"/>
      <c r="H31" t="inlineStr">
        <is>
          <t>DFL Financials impacted by Oracle 26C change</t>
        </is>
      </c>
      <c r="I31" t="inlineStr">
        <is>
          <t>Y</t>
        </is>
      </c>
      <c r="J31" t="inlineStr">
        <is>
          <t>N</t>
        </is>
      </c>
      <c r="K31" t="inlineStr">
        <is>
          <t>N</t>
        </is>
      </c>
      <c r="L31" t="inlineStr">
        <is>
          <t>N</t>
        </is>
      </c>
      <c r="M31" t="n">
        <v>5</v>
      </c>
      <c r="N31" t="n">
        <v>2</v>
      </c>
      <c r="O31" t="n">
        <v>5</v>
      </c>
      <c r="P31" t="n">
        <v>1</v>
      </c>
      <c r="Q31" t="n">
        <v>3</v>
      </c>
      <c r="R31">
        <f>IFERROR(XLOOKUP(XLOOKUP(D31,tblReleaseChanges[Change_ID],tblReleaseChanges[Oracle_Severity],""),tblSeverityMap[Severity_Text],tblSeverityMap[Score],0),0)</f>
        <v/>
      </c>
      <c r="S31" t="n">
        <v>4</v>
      </c>
      <c r="T31">
        <f>ROUND((M31*0.25)+(N31*0.20)+(O31*0.15)+(P31*0.15)+(Q31*0.10)+(R31*0.10)+(S31*0.05),2)</f>
        <v/>
      </c>
      <c r="U31">
        <f>IF(T31&gt;=4.25,"Critical",IF(T31&gt;=3.5,"High",IF(T31&gt;=2,"Medium","Low")))</f>
        <v/>
      </c>
      <c r="V31" t="inlineStr">
        <is>
          <t>Pending Review</t>
        </is>
      </c>
      <c r="W31" t="inlineStr"/>
      <c r="X31" t="inlineStr"/>
      <c r="Y31" t="inlineStr">
        <is>
          <t>Action type: Steps to Enable. Use the Opt In UI to enable this feature. For instructions, refer to the Optional Uptake of New Features section of this document. Offering: *Financials</t>
        </is>
      </c>
      <c r="Z31" t="inlineStr">
        <is>
          <t>Y</t>
        </is>
      </c>
      <c r="AA31" t="inlineStr">
        <is>
          <t>Y</t>
        </is>
      </c>
    </row>
    <row r="32">
      <c r="A32" t="inlineStr">
        <is>
          <t>ASMT_IMP_0007</t>
        </is>
      </c>
      <c r="B32" t="inlineStr">
        <is>
          <t>CLT_DFL001</t>
        </is>
      </c>
      <c r="C32" t="inlineStr">
        <is>
          <t>REL_26C</t>
        </is>
      </c>
      <c r="D32" t="inlineStr">
        <is>
          <t>CHG_IMP_0007</t>
        </is>
      </c>
      <c r="E32" t="inlineStr">
        <is>
          <t>Functional</t>
        </is>
      </c>
      <c r="F32" t="inlineStr">
        <is>
          <t>Configuration</t>
        </is>
      </c>
      <c r="G32" t="inlineStr"/>
      <c r="H32" t="inlineStr">
        <is>
          <t>DFL Financials impacted by Oracle 26C change</t>
        </is>
      </c>
      <c r="I32" t="inlineStr">
        <is>
          <t>Y</t>
        </is>
      </c>
      <c r="J32" t="inlineStr">
        <is>
          <t>N</t>
        </is>
      </c>
      <c r="K32" t="inlineStr">
        <is>
          <t>N</t>
        </is>
      </c>
      <c r="L32" t="inlineStr">
        <is>
          <t>N</t>
        </is>
      </c>
      <c r="M32" t="n">
        <v>5</v>
      </c>
      <c r="N32" t="n">
        <v>2</v>
      </c>
      <c r="O32" t="n">
        <v>5</v>
      </c>
      <c r="P32" t="n">
        <v>1</v>
      </c>
      <c r="Q32" t="n">
        <v>3</v>
      </c>
      <c r="R32">
        <f>IFERROR(XLOOKUP(XLOOKUP(D32,tblReleaseChanges[Change_ID],tblReleaseChanges[Oracle_Severity],""),tblSeverityMap[Severity_Text],tblSeverityMap[Score],0),0)</f>
        <v/>
      </c>
      <c r="S32" t="n">
        <v>4</v>
      </c>
      <c r="T32">
        <f>ROUND((M32*0.25)+(N32*0.20)+(O32*0.15)+(P32*0.15)+(Q32*0.10)+(R32*0.10)+(S32*0.05),2)</f>
        <v/>
      </c>
      <c r="U32">
        <f>IF(T32&gt;=4.25,"Critical",IF(T32&gt;=3.5,"High",IF(T32&gt;=2,"Medium","Low")))</f>
        <v/>
      </c>
      <c r="V32" t="inlineStr">
        <is>
          <t>Pending Review</t>
        </is>
      </c>
      <c r="W32" t="inlineStr"/>
      <c r="X32" t="inlineStr"/>
      <c r="Y32" t="inlineStr">
        <is>
          <t>Action type: Steps to Enable. To enable the feature, follow these steps. 1. In the Setup and Maintenance work area, click the Task icon and select the Search men</t>
        </is>
      </c>
      <c r="Z32" t="inlineStr">
        <is>
          <t>Y</t>
        </is>
      </c>
      <c r="AA32" t="inlineStr">
        <is>
          <t>Y</t>
        </is>
      </c>
    </row>
    <row r="33">
      <c r="A33" t="inlineStr">
        <is>
          <t>ASMT_IMP_0008</t>
        </is>
      </c>
      <c r="B33" t="inlineStr">
        <is>
          <t>CLT_DFL001</t>
        </is>
      </c>
      <c r="C33" t="inlineStr">
        <is>
          <t>REL_26C</t>
        </is>
      </c>
      <c r="D33" t="inlineStr">
        <is>
          <t>CHG_IMP_0008</t>
        </is>
      </c>
      <c r="E33" t="inlineStr">
        <is>
          <t>Functional</t>
        </is>
      </c>
      <c r="F33" t="inlineStr">
        <is>
          <t>Configuration</t>
        </is>
      </c>
      <c r="G33" t="inlineStr"/>
      <c r="H33" t="inlineStr">
        <is>
          <t>DFL Financials impacted by Oracle 26C change</t>
        </is>
      </c>
      <c r="I33" t="inlineStr">
        <is>
          <t>Y</t>
        </is>
      </c>
      <c r="J33" t="inlineStr">
        <is>
          <t>N</t>
        </is>
      </c>
      <c r="K33" t="inlineStr">
        <is>
          <t>N</t>
        </is>
      </c>
      <c r="L33" t="inlineStr">
        <is>
          <t>N</t>
        </is>
      </c>
      <c r="M33" t="n">
        <v>5</v>
      </c>
      <c r="N33" t="n">
        <v>2</v>
      </c>
      <c r="O33" t="n">
        <v>5</v>
      </c>
      <c r="P33" t="n">
        <v>1</v>
      </c>
      <c r="Q33" t="n">
        <v>3</v>
      </c>
      <c r="R33">
        <f>IFERROR(XLOOKUP(XLOOKUP(D33,tblReleaseChanges[Change_ID],tblReleaseChanges[Oracle_Severity],""),tblSeverityMap[Severity_Text],tblSeverityMap[Score],0),0)</f>
        <v/>
      </c>
      <c r="S33" t="n">
        <v>4</v>
      </c>
      <c r="T33">
        <f>ROUND((M33*0.25)+(N33*0.20)+(O33*0.15)+(P33*0.15)+(Q33*0.10)+(R33*0.10)+(S33*0.05),2)</f>
        <v/>
      </c>
      <c r="U33">
        <f>IF(T33&gt;=4.25,"Critical",IF(T33&gt;=3.5,"High",IF(T33&gt;=2,"Medium","Low")))</f>
        <v/>
      </c>
      <c r="V33" t="inlineStr">
        <is>
          <t>Pending Review</t>
        </is>
      </c>
      <c r="W33" t="inlineStr"/>
      <c r="X33" t="inlineStr"/>
      <c r="Y33" t="inlineStr">
        <is>
          <t>Action type: Steps to Enable. The Budget Adjustment Assistant role is needed to use the assistant within the AI Agent Studio. Refer to the Access Requirements section for details.</t>
        </is>
      </c>
      <c r="Z33" t="inlineStr">
        <is>
          <t>Y</t>
        </is>
      </c>
      <c r="AA33" t="inlineStr">
        <is>
          <t>Y</t>
        </is>
      </c>
    </row>
    <row r="34">
      <c r="A34" t="inlineStr">
        <is>
          <t>ASMT_IMP_0009</t>
        </is>
      </c>
      <c r="B34" t="inlineStr">
        <is>
          <t>CLT_DFL001</t>
        </is>
      </c>
      <c r="C34" t="inlineStr">
        <is>
          <t>REL_26C</t>
        </is>
      </c>
      <c r="D34" t="inlineStr">
        <is>
          <t>CHG_IMP_0009</t>
        </is>
      </c>
      <c r="E34" t="inlineStr">
        <is>
          <t>Functional</t>
        </is>
      </c>
      <c r="F34" t="inlineStr">
        <is>
          <t>Configuration</t>
        </is>
      </c>
      <c r="G34" t="inlineStr"/>
      <c r="H34" t="inlineStr">
        <is>
          <t>DFL Financials impacted by Oracle 26C change</t>
        </is>
      </c>
      <c r="I34" t="inlineStr">
        <is>
          <t>Y</t>
        </is>
      </c>
      <c r="J34" t="inlineStr">
        <is>
          <t>N</t>
        </is>
      </c>
      <c r="K34" t="inlineStr">
        <is>
          <t>N</t>
        </is>
      </c>
      <c r="L34" t="inlineStr">
        <is>
          <t>N</t>
        </is>
      </c>
      <c r="M34" t="n">
        <v>5</v>
      </c>
      <c r="N34" t="n">
        <v>2</v>
      </c>
      <c r="O34" t="n">
        <v>5</v>
      </c>
      <c r="P34" t="n">
        <v>1</v>
      </c>
      <c r="Q34" t="n">
        <v>3</v>
      </c>
      <c r="R34">
        <f>IFERROR(XLOOKUP(XLOOKUP(D34,tblReleaseChanges[Change_ID],tblReleaseChanges[Oracle_Severity],""),tblSeverityMap[Severity_Text],tblSeverityMap[Score],0),0)</f>
        <v/>
      </c>
      <c r="S34" t="n">
        <v>1</v>
      </c>
      <c r="T34">
        <f>ROUND((M34*0.25)+(N34*0.20)+(O34*0.15)+(P34*0.15)+(Q34*0.10)+(R34*0.10)+(S34*0.05),2)</f>
        <v/>
      </c>
      <c r="U34">
        <f>IF(T34&gt;=4.25,"Critical",IF(T34&gt;=3.5,"High",IF(T34&gt;=2,"Medium","Low")))</f>
        <v/>
      </c>
      <c r="V34" t="inlineStr">
        <is>
          <t>Pending Review</t>
        </is>
      </c>
      <c r="W34" t="inlineStr"/>
      <c r="X34" t="inlineStr"/>
      <c r="Y34" t="inlineStr">
        <is>
          <t>Auto-enabled — no action required</t>
        </is>
      </c>
      <c r="Z34" t="inlineStr">
        <is>
          <t>N</t>
        </is>
      </c>
      <c r="AA34" t="inlineStr">
        <is>
          <t>N</t>
        </is>
      </c>
    </row>
    <row r="35">
      <c r="A35" t="inlineStr">
        <is>
          <t>ASMT_IMP_0010</t>
        </is>
      </c>
      <c r="B35" t="inlineStr">
        <is>
          <t>CLT_DFL001</t>
        </is>
      </c>
      <c r="C35" t="inlineStr">
        <is>
          <t>REL_26C</t>
        </is>
      </c>
      <c r="D35" t="inlineStr">
        <is>
          <t>CHG_IMP_0010</t>
        </is>
      </c>
      <c r="E35" t="inlineStr">
        <is>
          <t>Functional</t>
        </is>
      </c>
      <c r="F35" t="inlineStr">
        <is>
          <t>Configuration</t>
        </is>
      </c>
      <c r="G35" t="inlineStr"/>
      <c r="H35" t="inlineStr">
        <is>
          <t>DFL Financials impacted by Oracle 26C change</t>
        </is>
      </c>
      <c r="I35" t="inlineStr">
        <is>
          <t>Y</t>
        </is>
      </c>
      <c r="J35" t="inlineStr">
        <is>
          <t>N</t>
        </is>
      </c>
      <c r="K35" t="inlineStr">
        <is>
          <t>N</t>
        </is>
      </c>
      <c r="L35" t="inlineStr">
        <is>
          <t>N</t>
        </is>
      </c>
      <c r="M35" t="n">
        <v>5</v>
      </c>
      <c r="N35" t="n">
        <v>2</v>
      </c>
      <c r="O35" t="n">
        <v>5</v>
      </c>
      <c r="P35" t="n">
        <v>1</v>
      </c>
      <c r="Q35" t="n">
        <v>3</v>
      </c>
      <c r="R35">
        <f>IFERROR(XLOOKUP(XLOOKUP(D35,tblReleaseChanges[Change_ID],tblReleaseChanges[Oracle_Severity],""),tblSeverityMap[Severity_Text],tblSeverityMap[Score],0),0)</f>
        <v/>
      </c>
      <c r="S35" t="n">
        <v>4</v>
      </c>
      <c r="T35">
        <f>ROUND((M35*0.25)+(N35*0.20)+(O35*0.15)+(P35*0.15)+(Q35*0.10)+(R35*0.10)+(S35*0.05),2)</f>
        <v/>
      </c>
      <c r="U35">
        <f>IF(T35&gt;=4.25,"Critical",IF(T35&gt;=3.5,"High",IF(T35&gt;=2,"Medium","Low")))</f>
        <v/>
      </c>
      <c r="V35" t="inlineStr">
        <is>
          <t>Pending Review</t>
        </is>
      </c>
      <c r="W35" t="inlineStr"/>
      <c r="X35" t="inlineStr"/>
      <c r="Y35" t="inlineStr">
        <is>
          <t>Action type: Steps to Enable. Complete these settings in Manage Lease Accounting Configuration: 1. Navigate to the Create or Edit System Options page. 2. Select the Primary and Secondary Accounting St</t>
        </is>
      </c>
      <c r="Z35" t="inlineStr">
        <is>
          <t>Y</t>
        </is>
      </c>
      <c r="AA35" t="inlineStr">
        <is>
          <t>Y</t>
        </is>
      </c>
    </row>
    <row r="36">
      <c r="A36" t="inlineStr">
        <is>
          <t>ASMT_IMP_0011</t>
        </is>
      </c>
      <c r="B36" t="inlineStr">
        <is>
          <t>CLT_DFL001</t>
        </is>
      </c>
      <c r="C36" t="inlineStr">
        <is>
          <t>REL_26C</t>
        </is>
      </c>
      <c r="D36" t="inlineStr">
        <is>
          <t>CHG_IMP_0011</t>
        </is>
      </c>
      <c r="E36" t="inlineStr">
        <is>
          <t>Functional</t>
        </is>
      </c>
      <c r="F36" t="inlineStr">
        <is>
          <t>Configuration</t>
        </is>
      </c>
      <c r="G36" t="inlineStr"/>
      <c r="H36" t="inlineStr">
        <is>
          <t>DFL Financials impacted by Oracle 26C change</t>
        </is>
      </c>
      <c r="I36" t="inlineStr">
        <is>
          <t>Y</t>
        </is>
      </c>
      <c r="J36" t="inlineStr">
        <is>
          <t>N</t>
        </is>
      </c>
      <c r="K36" t="inlineStr">
        <is>
          <t>N</t>
        </is>
      </c>
      <c r="L36" t="inlineStr">
        <is>
          <t>N</t>
        </is>
      </c>
      <c r="M36" t="n">
        <v>5</v>
      </c>
      <c r="N36" t="n">
        <v>2</v>
      </c>
      <c r="O36" t="n">
        <v>5</v>
      </c>
      <c r="P36" t="n">
        <v>1</v>
      </c>
      <c r="Q36" t="n">
        <v>3</v>
      </c>
      <c r="R36">
        <f>IFERROR(XLOOKUP(XLOOKUP(D36,tblReleaseChanges[Change_ID],tblReleaseChanges[Oracle_Severity],""),tblSeverityMap[Severity_Text],tblSeverityMap[Score],0),0)</f>
        <v/>
      </c>
      <c r="S36" t="n">
        <v>4</v>
      </c>
      <c r="T36">
        <f>ROUND((M36*0.25)+(N36*0.20)+(O36*0.15)+(P36*0.15)+(Q36*0.10)+(R36*0.10)+(S36*0.05),2)</f>
        <v/>
      </c>
      <c r="U36">
        <f>IF(T36&gt;=4.25,"Critical",IF(T36&gt;=3.5,"High",IF(T36&gt;=2,"Medium","Low")))</f>
        <v/>
      </c>
      <c r="V36" t="inlineStr">
        <is>
          <t>Pending Review</t>
        </is>
      </c>
      <c r="W36" t="inlineStr"/>
      <c r="X36" t="inlineStr"/>
      <c r="Y36" t="inlineStr">
        <is>
          <t>Action type: Steps to Enable. This feature is ready to use and does not require any opt-in To configure carried interest payout processing: 1. In Setup and Maintenance, navigate to the Joint Venture M</t>
        </is>
      </c>
      <c r="Z36" t="inlineStr">
        <is>
          <t>Y</t>
        </is>
      </c>
      <c r="AA36" t="inlineStr">
        <is>
          <t>Y</t>
        </is>
      </c>
    </row>
    <row r="37">
      <c r="A37" t="inlineStr">
        <is>
          <t>ASMT_IMP_0012</t>
        </is>
      </c>
      <c r="B37" t="inlineStr">
        <is>
          <t>CLT_DFL001</t>
        </is>
      </c>
      <c r="C37" t="inlineStr">
        <is>
          <t>REL_26C</t>
        </is>
      </c>
      <c r="D37" t="inlineStr">
        <is>
          <t>CHG_IMP_0012</t>
        </is>
      </c>
      <c r="E37" t="inlineStr">
        <is>
          <t>Functional</t>
        </is>
      </c>
      <c r="F37" t="inlineStr">
        <is>
          <t>Configuration</t>
        </is>
      </c>
      <c r="G37" t="inlineStr"/>
      <c r="H37" t="inlineStr">
        <is>
          <t>DFL Financials impacted by Oracle 26C change</t>
        </is>
      </c>
      <c r="I37" t="inlineStr">
        <is>
          <t>Y</t>
        </is>
      </c>
      <c r="J37" t="inlineStr">
        <is>
          <t>N</t>
        </is>
      </c>
      <c r="K37" t="inlineStr">
        <is>
          <t>N</t>
        </is>
      </c>
      <c r="L37" t="inlineStr">
        <is>
          <t>N</t>
        </is>
      </c>
      <c r="M37" t="n">
        <v>5</v>
      </c>
      <c r="N37" t="n">
        <v>2</v>
      </c>
      <c r="O37" t="n">
        <v>5</v>
      </c>
      <c r="P37" t="n">
        <v>1</v>
      </c>
      <c r="Q37" t="n">
        <v>3</v>
      </c>
      <c r="R37">
        <f>IFERROR(XLOOKUP(XLOOKUP(D37,tblReleaseChanges[Change_ID],tblReleaseChanges[Oracle_Severity],""),tblSeverityMap[Severity_Text],tblSeverityMap[Score],0),0)</f>
        <v/>
      </c>
      <c r="S37" t="n">
        <v>4</v>
      </c>
      <c r="T37">
        <f>ROUND((M37*0.25)+(N37*0.20)+(O37*0.15)+(P37*0.15)+(Q37*0.10)+(R37*0.10)+(S37*0.05),2)</f>
        <v/>
      </c>
      <c r="U37">
        <f>IF(T37&gt;=4.25,"Critical",IF(T37&gt;=3.5,"High",IF(T37&gt;=2,"Medium","Low")))</f>
        <v/>
      </c>
      <c r="V37" t="inlineStr">
        <is>
          <t>Pending Review</t>
        </is>
      </c>
      <c r="W37" t="inlineStr"/>
      <c r="X37" t="inlineStr"/>
      <c r="Y37" t="inlineStr">
        <is>
          <t xml:space="preserve">Action type: Steps to Enable. • The Cash Processing Agent for Cash Positioning and Improved Liquidity is enabled by default. • Configure the required security access described in the Access </t>
        </is>
      </c>
      <c r="Z37" t="inlineStr">
        <is>
          <t>Y</t>
        </is>
      </c>
      <c r="AA37" t="inlineStr">
        <is>
          <t>Y</t>
        </is>
      </c>
    </row>
    <row r="38">
      <c r="A38" t="inlineStr">
        <is>
          <t>ASMT_IMP_0013</t>
        </is>
      </c>
      <c r="B38" t="inlineStr">
        <is>
          <t>CLT_DFL001</t>
        </is>
      </c>
      <c r="C38" t="inlineStr">
        <is>
          <t>REL_26C</t>
        </is>
      </c>
      <c r="D38" t="inlineStr">
        <is>
          <t>CHG_IMP_0013</t>
        </is>
      </c>
      <c r="E38" t="inlineStr">
        <is>
          <t>Functional</t>
        </is>
      </c>
      <c r="F38" t="inlineStr">
        <is>
          <t>Configuration</t>
        </is>
      </c>
      <c r="G38" t="inlineStr"/>
      <c r="H38" t="inlineStr">
        <is>
          <t>DFL Financials impacted by Oracle 26C change</t>
        </is>
      </c>
      <c r="I38" t="inlineStr">
        <is>
          <t>Y</t>
        </is>
      </c>
      <c r="J38" t="inlineStr">
        <is>
          <t>N</t>
        </is>
      </c>
      <c r="K38" t="inlineStr">
        <is>
          <t>N</t>
        </is>
      </c>
      <c r="L38" t="inlineStr">
        <is>
          <t>N</t>
        </is>
      </c>
      <c r="M38" t="n">
        <v>5</v>
      </c>
      <c r="N38" t="n">
        <v>2</v>
      </c>
      <c r="O38" t="n">
        <v>5</v>
      </c>
      <c r="P38" t="n">
        <v>1</v>
      </c>
      <c r="Q38" t="n">
        <v>3</v>
      </c>
      <c r="R38">
        <f>IFERROR(XLOOKUP(XLOOKUP(D38,tblReleaseChanges[Change_ID],tblReleaseChanges[Oracle_Severity],""),tblSeverityMap[Severity_Text],tblSeverityMap[Score],0),0)</f>
        <v/>
      </c>
      <c r="S38" t="n">
        <v>4</v>
      </c>
      <c r="T38">
        <f>ROUND((M38*0.25)+(N38*0.20)+(O38*0.15)+(P38*0.15)+(Q38*0.10)+(R38*0.10)+(S38*0.05),2)</f>
        <v/>
      </c>
      <c r="U38">
        <f>IF(T38&gt;=4.25,"Critical",IF(T38&gt;=3.5,"High",IF(T38&gt;=2,"Medium","Low")))</f>
        <v/>
      </c>
      <c r="V38" t="inlineStr">
        <is>
          <t>Pending Review</t>
        </is>
      </c>
      <c r="W38" t="inlineStr"/>
      <c r="X38" t="inlineStr"/>
      <c r="Y38" t="inlineStr">
        <is>
          <t>Action type: Steps to Enable. To enable this feature you need to log a Service Request (SR). • The Cash Processing Agent is enabled by default. • Configure the required security access descr</t>
        </is>
      </c>
      <c r="Z38" t="inlineStr">
        <is>
          <t>Y</t>
        </is>
      </c>
      <c r="AA38" t="inlineStr">
        <is>
          <t>Y</t>
        </is>
      </c>
    </row>
    <row r="39">
      <c r="A39" t="inlineStr">
        <is>
          <t>ASMT_IMP_0014</t>
        </is>
      </c>
      <c r="B39" t="inlineStr">
        <is>
          <t>CLT_DFL001</t>
        </is>
      </c>
      <c r="C39" t="inlineStr">
        <is>
          <t>REL_26C</t>
        </is>
      </c>
      <c r="D39" t="inlineStr">
        <is>
          <t>CHG_IMP_0014</t>
        </is>
      </c>
      <c r="E39" t="inlineStr">
        <is>
          <t>AI Feature</t>
        </is>
      </c>
      <c r="F39" t="inlineStr">
        <is>
          <t>Configuration</t>
        </is>
      </c>
      <c r="G39" t="inlineStr"/>
      <c r="H39" t="inlineStr">
        <is>
          <t>DFL Financials impacted by Oracle 26C change</t>
        </is>
      </c>
      <c r="I39" t="inlineStr">
        <is>
          <t>Y</t>
        </is>
      </c>
      <c r="J39" t="inlineStr">
        <is>
          <t>N</t>
        </is>
      </c>
      <c r="K39" t="inlineStr">
        <is>
          <t>N</t>
        </is>
      </c>
      <c r="L39" t="inlineStr">
        <is>
          <t>N</t>
        </is>
      </c>
      <c r="M39" t="n">
        <v>5</v>
      </c>
      <c r="N39" t="n">
        <v>2</v>
      </c>
      <c r="O39" t="n">
        <v>5</v>
      </c>
      <c r="P39" t="n">
        <v>3</v>
      </c>
      <c r="Q39" t="n">
        <v>3</v>
      </c>
      <c r="R39">
        <f>IFERROR(XLOOKUP(XLOOKUP(D39,tblReleaseChanges[Change_ID],tblReleaseChanges[Oracle_Severity],""),tblSeverityMap[Severity_Text],tblSeverityMap[Score],0),0)</f>
        <v/>
      </c>
      <c r="S39" t="n">
        <v>4</v>
      </c>
      <c r="T39">
        <f>ROUND((M39*0.25)+(N39*0.20)+(O39*0.15)+(P39*0.15)+(Q39*0.10)+(R39*0.10)+(S39*0.05),2)</f>
        <v/>
      </c>
      <c r="U39">
        <f>IF(T39&gt;=4.25,"Critical",IF(T39&gt;=3.5,"High",IF(T39&gt;=2,"Medium","Low")))</f>
        <v/>
      </c>
      <c r="V39" t="inlineStr">
        <is>
          <t>Pending Review</t>
        </is>
      </c>
      <c r="W39" t="inlineStr"/>
      <c r="X39" t="inlineStr"/>
      <c r="Y39" t="inlineStr">
        <is>
          <t>Action type: Steps to Enable. • Pre-Requisite: Analytical Views must be enabled. • Use the Collections Policy Execution Assistant to upload the policy for use in the Collector Works</t>
        </is>
      </c>
      <c r="Z39" t="inlineStr">
        <is>
          <t>Y</t>
        </is>
      </c>
      <c r="AA39" t="inlineStr">
        <is>
          <t>Y</t>
        </is>
      </c>
    </row>
    <row r="40">
      <c r="A40" t="inlineStr">
        <is>
          <t>ASMT_IMP_0015</t>
        </is>
      </c>
      <c r="B40" t="inlineStr">
        <is>
          <t>CLT_DFL001</t>
        </is>
      </c>
      <c r="C40" t="inlineStr">
        <is>
          <t>REL_26C</t>
        </is>
      </c>
      <c r="D40" t="inlineStr">
        <is>
          <t>CHG_IMP_0015</t>
        </is>
      </c>
      <c r="E40" t="inlineStr">
        <is>
          <t>Functional</t>
        </is>
      </c>
      <c r="F40" t="inlineStr">
        <is>
          <t>Configuration</t>
        </is>
      </c>
      <c r="G40" t="inlineStr"/>
      <c r="H40" t="inlineStr">
        <is>
          <t>DFL Financials impacted by Oracle 26C change</t>
        </is>
      </c>
      <c r="I40" t="inlineStr">
        <is>
          <t>Y</t>
        </is>
      </c>
      <c r="J40" t="inlineStr">
        <is>
          <t>N</t>
        </is>
      </c>
      <c r="K40" t="inlineStr">
        <is>
          <t>N</t>
        </is>
      </c>
      <c r="L40" t="inlineStr">
        <is>
          <t>N</t>
        </is>
      </c>
      <c r="M40" t="n">
        <v>5</v>
      </c>
      <c r="N40" t="n">
        <v>2</v>
      </c>
      <c r="O40" t="n">
        <v>5</v>
      </c>
      <c r="P40" t="n">
        <v>1</v>
      </c>
      <c r="Q40" t="n">
        <v>3</v>
      </c>
      <c r="R40">
        <f>IFERROR(XLOOKUP(XLOOKUP(D40,tblReleaseChanges[Change_ID],tblReleaseChanges[Oracle_Severity],""),tblSeverityMap[Severity_Text],tblSeverityMap[Score],0),0)</f>
        <v/>
      </c>
      <c r="S40" t="n">
        <v>1</v>
      </c>
      <c r="T40">
        <f>ROUND((M40*0.25)+(N40*0.20)+(O40*0.15)+(P40*0.15)+(Q40*0.10)+(R40*0.10)+(S40*0.05),2)</f>
        <v/>
      </c>
      <c r="U40">
        <f>IF(T40&gt;=4.25,"Critical",IF(T40&gt;=3.5,"High",IF(T40&gt;=2,"Medium","Low")))</f>
        <v/>
      </c>
      <c r="V40" t="inlineStr">
        <is>
          <t>Pending Review</t>
        </is>
      </c>
      <c r="W40" t="inlineStr"/>
      <c r="X40" t="inlineStr"/>
      <c r="Y40" t="inlineStr">
        <is>
          <t>Auto-enabled — no action required</t>
        </is>
      </c>
      <c r="Z40" t="inlineStr">
        <is>
          <t>N</t>
        </is>
      </c>
      <c r="AA40" t="inlineStr">
        <is>
          <t>N</t>
        </is>
      </c>
    </row>
    <row r="41">
      <c r="A41" t="inlineStr">
        <is>
          <t>ASMT_IMP_0016</t>
        </is>
      </c>
      <c r="B41" t="inlineStr">
        <is>
          <t>CLT_DFL001</t>
        </is>
      </c>
      <c r="C41" t="inlineStr">
        <is>
          <t>REL_26C</t>
        </is>
      </c>
      <c r="D41" t="inlineStr">
        <is>
          <t>CHG_IMP_0016</t>
        </is>
      </c>
      <c r="E41" t="inlineStr">
        <is>
          <t>Functional</t>
        </is>
      </c>
      <c r="F41" t="inlineStr">
        <is>
          <t>Configuration</t>
        </is>
      </c>
      <c r="G41" t="inlineStr"/>
      <c r="H41" t="inlineStr">
        <is>
          <t>DFL Financials impacted by Oracle 26C change</t>
        </is>
      </c>
      <c r="I41" t="inlineStr">
        <is>
          <t>Y</t>
        </is>
      </c>
      <c r="J41" t="inlineStr">
        <is>
          <t>N</t>
        </is>
      </c>
      <c r="K41" t="inlineStr">
        <is>
          <t>N</t>
        </is>
      </c>
      <c r="L41" t="inlineStr">
        <is>
          <t>N</t>
        </is>
      </c>
      <c r="M41" t="n">
        <v>5</v>
      </c>
      <c r="N41" t="n">
        <v>2</v>
      </c>
      <c r="O41" t="n">
        <v>5</v>
      </c>
      <c r="P41" t="n">
        <v>1</v>
      </c>
      <c r="Q41" t="n">
        <v>3</v>
      </c>
      <c r="R41">
        <f>IFERROR(XLOOKUP(XLOOKUP(D41,tblReleaseChanges[Change_ID],tblReleaseChanges[Oracle_Severity],""),tblSeverityMap[Severity_Text],tblSeverityMap[Score],0),0)</f>
        <v/>
      </c>
      <c r="S41" t="n">
        <v>4</v>
      </c>
      <c r="T41">
        <f>ROUND((M41*0.25)+(N41*0.20)+(O41*0.15)+(P41*0.15)+(Q41*0.10)+(R41*0.10)+(S41*0.05),2)</f>
        <v/>
      </c>
      <c r="U41">
        <f>IF(T41&gt;=4.25,"Critical",IF(T41&gt;=3.5,"High",IF(T41&gt;=2,"Medium","Low")))</f>
        <v/>
      </c>
      <c r="V41" t="inlineStr">
        <is>
          <t>Pending Review</t>
        </is>
      </c>
      <c r="W41" t="inlineStr"/>
      <c r="X41" t="inlineStr"/>
      <c r="Y41" t="inlineStr">
        <is>
          <t>Action type: Steps to Enable. To enable email-based expense completion: • Configure electronic receipt forwarding so employees can email receipts to the Expenses Agent. • In Setup and Maintenance, nav</t>
        </is>
      </c>
      <c r="Z41" t="inlineStr">
        <is>
          <t>Y</t>
        </is>
      </c>
      <c r="AA41" t="inlineStr">
        <is>
          <t>Y</t>
        </is>
      </c>
    </row>
    <row r="42">
      <c r="A42" t="inlineStr">
        <is>
          <t>ASMT_IMP_0017</t>
        </is>
      </c>
      <c r="B42" t="inlineStr">
        <is>
          <t>CLT_DFL001</t>
        </is>
      </c>
      <c r="C42" t="inlineStr">
        <is>
          <t>REL_26C</t>
        </is>
      </c>
      <c r="D42" t="inlineStr">
        <is>
          <t>CHG_IMP_0017</t>
        </is>
      </c>
      <c r="E42" t="inlineStr">
        <is>
          <t>Functional</t>
        </is>
      </c>
      <c r="F42" t="inlineStr">
        <is>
          <t>Configuration</t>
        </is>
      </c>
      <c r="G42" t="inlineStr"/>
      <c r="H42" t="inlineStr">
        <is>
          <t>DFL Financials impacted by Oracle 26C change</t>
        </is>
      </c>
      <c r="I42" t="inlineStr">
        <is>
          <t>Y</t>
        </is>
      </c>
      <c r="J42" t="inlineStr">
        <is>
          <t>N</t>
        </is>
      </c>
      <c r="K42" t="inlineStr">
        <is>
          <t>N</t>
        </is>
      </c>
      <c r="L42" t="inlineStr">
        <is>
          <t>N</t>
        </is>
      </c>
      <c r="M42" t="n">
        <v>5</v>
      </c>
      <c r="N42" t="n">
        <v>2</v>
      </c>
      <c r="O42" t="n">
        <v>5</v>
      </c>
      <c r="P42" t="n">
        <v>1</v>
      </c>
      <c r="Q42" t="n">
        <v>3</v>
      </c>
      <c r="R42">
        <f>IFERROR(XLOOKUP(XLOOKUP(D42,tblReleaseChanges[Change_ID],tblReleaseChanges[Oracle_Severity],""),tblSeverityMap[Severity_Text],tblSeverityMap[Score],0),0)</f>
        <v/>
      </c>
      <c r="S42" t="n">
        <v>4</v>
      </c>
      <c r="T42">
        <f>ROUND((M42*0.25)+(N42*0.20)+(O42*0.15)+(P42*0.15)+(Q42*0.10)+(R42*0.10)+(S42*0.05),2)</f>
        <v/>
      </c>
      <c r="U42">
        <f>IF(T42&gt;=4.25,"Critical",IF(T42&gt;=3.5,"High",IF(T42&gt;=2,"Medium","Low")))</f>
        <v/>
      </c>
      <c r="V42" t="inlineStr">
        <is>
          <t>Pending Review</t>
        </is>
      </c>
      <c r="W42" t="inlineStr"/>
      <c r="X42" t="inlineStr"/>
      <c r="Y42" t="inlineStr">
        <is>
          <t>Action type: Steps to Enable. 1. To use these capabilities, first enable Touchless Expenses as outlined in the Touchless Mobile Expenses (25D) feature. 2. Configure cash advance application settings f</t>
        </is>
      </c>
      <c r="Z42" t="inlineStr">
        <is>
          <t>Y</t>
        </is>
      </c>
      <c r="AA42" t="inlineStr">
        <is>
          <t>Y</t>
        </is>
      </c>
    </row>
    <row r="43">
      <c r="A43" t="inlineStr">
        <is>
          <t>ASMT_IMP_0018</t>
        </is>
      </c>
      <c r="B43" t="inlineStr">
        <is>
          <t>CLT_DFL001</t>
        </is>
      </c>
      <c r="C43" t="inlineStr">
        <is>
          <t>REL_26C</t>
        </is>
      </c>
      <c r="D43" t="inlineStr">
        <is>
          <t>CHG_IMP_0018</t>
        </is>
      </c>
      <c r="E43" t="inlineStr">
        <is>
          <t>Functional</t>
        </is>
      </c>
      <c r="F43" t="inlineStr">
        <is>
          <t>Configuration</t>
        </is>
      </c>
      <c r="G43" t="inlineStr"/>
      <c r="H43" t="inlineStr">
        <is>
          <t>DFL Financials impacted by Oracle 26C change</t>
        </is>
      </c>
      <c r="I43" t="inlineStr">
        <is>
          <t>Y</t>
        </is>
      </c>
      <c r="J43" t="inlineStr">
        <is>
          <t>N</t>
        </is>
      </c>
      <c r="K43" t="inlineStr">
        <is>
          <t>N</t>
        </is>
      </c>
      <c r="L43" t="inlineStr">
        <is>
          <t>N</t>
        </is>
      </c>
      <c r="M43" t="n">
        <v>5</v>
      </c>
      <c r="N43" t="n">
        <v>2</v>
      </c>
      <c r="O43" t="n">
        <v>5</v>
      </c>
      <c r="P43" t="n">
        <v>1</v>
      </c>
      <c r="Q43" t="n">
        <v>3</v>
      </c>
      <c r="R43">
        <f>IFERROR(XLOOKUP(XLOOKUP(D43,tblReleaseChanges[Change_ID],tblReleaseChanges[Oracle_Severity],""),tblSeverityMap[Severity_Text],tblSeverityMap[Score],0),0)</f>
        <v/>
      </c>
      <c r="S43" t="n">
        <v>4</v>
      </c>
      <c r="T43">
        <f>ROUND((M43*0.25)+(N43*0.20)+(O43*0.15)+(P43*0.15)+(Q43*0.10)+(R43*0.10)+(S43*0.05),2)</f>
        <v/>
      </c>
      <c r="U43">
        <f>IF(T43&gt;=4.25,"Critical",IF(T43&gt;=3.5,"High",IF(T43&gt;=2,"Medium","Low")))</f>
        <v/>
      </c>
      <c r="V43" t="inlineStr">
        <is>
          <t>Pending Review</t>
        </is>
      </c>
      <c r="W43" t="inlineStr"/>
      <c r="X43" t="inlineStr"/>
      <c r="Y43" t="inlineStr">
        <is>
          <t>Action type: Steps to Enable. To use these capabilities, first enable Touchless Expenses as outlined in the Touchless Mobile Expenses (25D) feature.</t>
        </is>
      </c>
      <c r="Z43" t="inlineStr">
        <is>
          <t>Y</t>
        </is>
      </c>
      <c r="AA43" t="inlineStr">
        <is>
          <t>Y</t>
        </is>
      </c>
    </row>
    <row r="44">
      <c r="A44" t="inlineStr">
        <is>
          <t>ASMT_IMP_0019</t>
        </is>
      </c>
      <c r="B44" t="inlineStr">
        <is>
          <t>CLT_DFL001</t>
        </is>
      </c>
      <c r="C44" t="inlineStr">
        <is>
          <t>REL_26C</t>
        </is>
      </c>
      <c r="D44" t="inlineStr">
        <is>
          <t>CHG_IMP_0019</t>
        </is>
      </c>
      <c r="E44" t="inlineStr">
        <is>
          <t>Functional</t>
        </is>
      </c>
      <c r="F44" t="inlineStr">
        <is>
          <t>Configuration</t>
        </is>
      </c>
      <c r="G44" t="inlineStr"/>
      <c r="H44" t="inlineStr">
        <is>
          <t>DFL Financials impacted by Oracle 26C change</t>
        </is>
      </c>
      <c r="I44" t="inlineStr">
        <is>
          <t>Y</t>
        </is>
      </c>
      <c r="J44" t="inlineStr">
        <is>
          <t>N</t>
        </is>
      </c>
      <c r="K44" t="inlineStr">
        <is>
          <t>N</t>
        </is>
      </c>
      <c r="L44" t="inlineStr">
        <is>
          <t>N</t>
        </is>
      </c>
      <c r="M44" t="n">
        <v>5</v>
      </c>
      <c r="N44" t="n">
        <v>2</v>
      </c>
      <c r="O44" t="n">
        <v>5</v>
      </c>
      <c r="P44" t="n">
        <v>1</v>
      </c>
      <c r="Q44" t="n">
        <v>3</v>
      </c>
      <c r="R44">
        <f>IFERROR(XLOOKUP(XLOOKUP(D44,tblReleaseChanges[Change_ID],tblReleaseChanges[Oracle_Severity],""),tblSeverityMap[Severity_Text],tblSeverityMap[Score],0),0)</f>
        <v/>
      </c>
      <c r="S44" t="n">
        <v>1</v>
      </c>
      <c r="T44">
        <f>ROUND((M44*0.25)+(N44*0.20)+(O44*0.15)+(P44*0.15)+(Q44*0.10)+(R44*0.10)+(S44*0.05),2)</f>
        <v/>
      </c>
      <c r="U44">
        <f>IF(T44&gt;=4.25,"Critical",IF(T44&gt;=3.5,"High",IF(T44&gt;=2,"Medium","Low")))</f>
        <v/>
      </c>
      <c r="V44" t="inlineStr">
        <is>
          <t>Pending Review</t>
        </is>
      </c>
      <c r="W44" t="inlineStr"/>
      <c r="X44" t="inlineStr"/>
      <c r="Y44" t="inlineStr">
        <is>
          <t>Auto-enabled — no action required</t>
        </is>
      </c>
      <c r="Z44" t="inlineStr">
        <is>
          <t>N</t>
        </is>
      </c>
      <c r="AA44" t="inlineStr">
        <is>
          <t>N</t>
        </is>
      </c>
    </row>
    <row r="45">
      <c r="A45" t="inlineStr">
        <is>
          <t>ASMT_IMP_0020</t>
        </is>
      </c>
      <c r="B45" t="inlineStr">
        <is>
          <t>CLT_DFL001</t>
        </is>
      </c>
      <c r="C45" t="inlineStr">
        <is>
          <t>REL_26C</t>
        </is>
      </c>
      <c r="D45" t="inlineStr">
        <is>
          <t>CHG_IMP_0020</t>
        </is>
      </c>
      <c r="E45" t="inlineStr">
        <is>
          <t>Functional</t>
        </is>
      </c>
      <c r="F45" t="inlineStr">
        <is>
          <t>Configuration</t>
        </is>
      </c>
      <c r="G45" t="inlineStr"/>
      <c r="H45" t="inlineStr">
        <is>
          <t>DFL Financials impacted by Oracle 26C change</t>
        </is>
      </c>
      <c r="I45" t="inlineStr">
        <is>
          <t>Y</t>
        </is>
      </c>
      <c r="J45" t="inlineStr">
        <is>
          <t>N</t>
        </is>
      </c>
      <c r="K45" t="inlineStr">
        <is>
          <t>N</t>
        </is>
      </c>
      <c r="L45" t="inlineStr">
        <is>
          <t>N</t>
        </is>
      </c>
      <c r="M45" t="n">
        <v>5</v>
      </c>
      <c r="N45" t="n">
        <v>2</v>
      </c>
      <c r="O45" t="n">
        <v>5</v>
      </c>
      <c r="P45" t="n">
        <v>1</v>
      </c>
      <c r="Q45" t="n">
        <v>3</v>
      </c>
      <c r="R45">
        <f>IFERROR(XLOOKUP(XLOOKUP(D45,tblReleaseChanges[Change_ID],tblReleaseChanges[Oracle_Severity],""),tblSeverityMap[Severity_Text],tblSeverityMap[Score],0),0)</f>
        <v/>
      </c>
      <c r="S45" t="n">
        <v>4</v>
      </c>
      <c r="T45">
        <f>ROUND((M45*0.25)+(N45*0.20)+(O45*0.15)+(P45*0.15)+(Q45*0.10)+(R45*0.10)+(S45*0.05),2)</f>
        <v/>
      </c>
      <c r="U45">
        <f>IF(T45&gt;=4.25,"Critical",IF(T45&gt;=3.5,"High",IF(T45&gt;=2,"Medium","Low")))</f>
        <v/>
      </c>
      <c r="V45" t="inlineStr">
        <is>
          <t>Pending Review</t>
        </is>
      </c>
      <c r="W45" t="inlineStr"/>
      <c r="X45" t="inlineStr"/>
      <c r="Y45" t="inlineStr">
        <is>
          <t>Action type: Steps to Enable. Use the Opt In UI to enable this feature. For instructions, refer to the Optional Uptake of New Features section of this document. Offering: *Financials* No Longer Option</t>
        </is>
      </c>
      <c r="Z45" t="inlineStr">
        <is>
          <t>Y</t>
        </is>
      </c>
      <c r="AA45" t="inlineStr">
        <is>
          <t>Y</t>
        </is>
      </c>
    </row>
    <row r="46">
      <c r="A46" t="inlineStr">
        <is>
          <t>ASMT_IMP_0021</t>
        </is>
      </c>
      <c r="B46" t="inlineStr">
        <is>
          <t>CLT_DFL001</t>
        </is>
      </c>
      <c r="C46" t="inlineStr">
        <is>
          <t>REL_26C</t>
        </is>
      </c>
      <c r="D46" t="inlineStr">
        <is>
          <t>CHG_IMP_0021</t>
        </is>
      </c>
      <c r="E46" t="inlineStr">
        <is>
          <t>Functional</t>
        </is>
      </c>
      <c r="F46" t="inlineStr">
        <is>
          <t>Configuration</t>
        </is>
      </c>
      <c r="G46" t="inlineStr"/>
      <c r="H46" t="inlineStr">
        <is>
          <t>DFL Financials impacted by Oracle 26C change</t>
        </is>
      </c>
      <c r="I46" t="inlineStr">
        <is>
          <t>Y</t>
        </is>
      </c>
      <c r="J46" t="inlineStr">
        <is>
          <t>N</t>
        </is>
      </c>
      <c r="K46" t="inlineStr">
        <is>
          <t>N</t>
        </is>
      </c>
      <c r="L46" t="inlineStr">
        <is>
          <t>N</t>
        </is>
      </c>
      <c r="M46" t="n">
        <v>5</v>
      </c>
      <c r="N46" t="n">
        <v>2</v>
      </c>
      <c r="O46" t="n">
        <v>5</v>
      </c>
      <c r="P46" t="n">
        <v>1</v>
      </c>
      <c r="Q46" t="n">
        <v>3</v>
      </c>
      <c r="R46">
        <f>IFERROR(XLOOKUP(XLOOKUP(D46,tblReleaseChanges[Change_ID],tblReleaseChanges[Oracle_Severity],""),tblSeverityMap[Severity_Text],tblSeverityMap[Score],0),0)</f>
        <v/>
      </c>
      <c r="S46" t="n">
        <v>1</v>
      </c>
      <c r="T46">
        <f>ROUND((M46*0.25)+(N46*0.20)+(O46*0.15)+(P46*0.15)+(Q46*0.10)+(R46*0.10)+(S46*0.05),2)</f>
        <v/>
      </c>
      <c r="U46">
        <f>IF(T46&gt;=4.25,"Critical",IF(T46&gt;=3.5,"High",IF(T46&gt;=2,"Medium","Low")))</f>
        <v/>
      </c>
      <c r="V46" t="inlineStr">
        <is>
          <t>Pending Review</t>
        </is>
      </c>
      <c r="W46" t="inlineStr"/>
      <c r="X46" t="inlineStr"/>
      <c r="Y46" t="inlineStr">
        <is>
          <t>Auto-enabled — no action required</t>
        </is>
      </c>
      <c r="Z46" t="inlineStr">
        <is>
          <t>N</t>
        </is>
      </c>
      <c r="AA46" t="inlineStr">
        <is>
          <t>N</t>
        </is>
      </c>
    </row>
    <row r="47">
      <c r="A47" t="inlineStr">
        <is>
          <t>ASMT_IMP_0022</t>
        </is>
      </c>
      <c r="B47" t="inlineStr">
        <is>
          <t>CLT_DFL001</t>
        </is>
      </c>
      <c r="C47" t="inlineStr">
        <is>
          <t>REL_26C</t>
        </is>
      </c>
      <c r="D47" t="inlineStr">
        <is>
          <t>CHG_IMP_0022</t>
        </is>
      </c>
      <c r="E47" t="inlineStr">
        <is>
          <t>Functional</t>
        </is>
      </c>
      <c r="F47" t="inlineStr">
        <is>
          <t>Configuration</t>
        </is>
      </c>
      <c r="G47" t="inlineStr"/>
      <c r="H47" t="inlineStr">
        <is>
          <t>DFL Financials impacted by Oracle 26C change</t>
        </is>
      </c>
      <c r="I47" t="inlineStr">
        <is>
          <t>Y</t>
        </is>
      </c>
      <c r="J47" t="inlineStr">
        <is>
          <t>N</t>
        </is>
      </c>
      <c r="K47" t="inlineStr">
        <is>
          <t>N</t>
        </is>
      </c>
      <c r="L47" t="inlineStr">
        <is>
          <t>N</t>
        </is>
      </c>
      <c r="M47" t="n">
        <v>5</v>
      </c>
      <c r="N47" t="n">
        <v>2</v>
      </c>
      <c r="O47" t="n">
        <v>5</v>
      </c>
      <c r="P47" t="n">
        <v>1</v>
      </c>
      <c r="Q47" t="n">
        <v>3</v>
      </c>
      <c r="R47">
        <f>IFERROR(XLOOKUP(XLOOKUP(D47,tblReleaseChanges[Change_ID],tblReleaseChanges[Oracle_Severity],""),tblSeverityMap[Severity_Text],tblSeverityMap[Score],0),0)</f>
        <v/>
      </c>
      <c r="S47" t="n">
        <v>4</v>
      </c>
      <c r="T47">
        <f>ROUND((M47*0.25)+(N47*0.20)+(O47*0.15)+(P47*0.15)+(Q47*0.10)+(R47*0.10)+(S47*0.05),2)</f>
        <v/>
      </c>
      <c r="U47">
        <f>IF(T47&gt;=4.25,"Critical",IF(T47&gt;=3.5,"High",IF(T47&gt;=2,"Medium","Low")))</f>
        <v/>
      </c>
      <c r="V47" t="inlineStr">
        <is>
          <t>Pending Review</t>
        </is>
      </c>
      <c r="W47" t="inlineStr"/>
      <c r="X47" t="inlineStr"/>
      <c r="Y47" t="inlineStr">
        <is>
          <t>Action type: Steps to Enable. No additional system configuration is required to run the report. However, ensure that required lookup values and global descriptive flexfields (GDFs) are populated for a</t>
        </is>
      </c>
      <c r="Z47" t="inlineStr">
        <is>
          <t>Y</t>
        </is>
      </c>
      <c r="AA47" t="inlineStr">
        <is>
          <t>Y</t>
        </is>
      </c>
    </row>
    <row r="48">
      <c r="A48" t="inlineStr">
        <is>
          <t>ASMT_IMP_0023</t>
        </is>
      </c>
      <c r="B48" t="inlineStr">
        <is>
          <t>CLT_DFL001</t>
        </is>
      </c>
      <c r="C48" t="inlineStr">
        <is>
          <t>REL_26C</t>
        </is>
      </c>
      <c r="D48" t="inlineStr">
        <is>
          <t>CHG_IMP_0023</t>
        </is>
      </c>
      <c r="E48" t="inlineStr">
        <is>
          <t>Functional</t>
        </is>
      </c>
      <c r="F48" t="inlineStr">
        <is>
          <t>Configuration</t>
        </is>
      </c>
      <c r="G48" t="inlineStr"/>
      <c r="H48" t="inlineStr">
        <is>
          <t>DFL Financials impacted by Oracle 26C change</t>
        </is>
      </c>
      <c r="I48" t="inlineStr">
        <is>
          <t>Y</t>
        </is>
      </c>
      <c r="J48" t="inlineStr">
        <is>
          <t>N</t>
        </is>
      </c>
      <c r="K48" t="inlineStr">
        <is>
          <t>N</t>
        </is>
      </c>
      <c r="L48" t="inlineStr">
        <is>
          <t>N</t>
        </is>
      </c>
      <c r="M48" t="n">
        <v>5</v>
      </c>
      <c r="N48" t="n">
        <v>2</v>
      </c>
      <c r="O48" t="n">
        <v>5</v>
      </c>
      <c r="P48" t="n">
        <v>1</v>
      </c>
      <c r="Q48" t="n">
        <v>3</v>
      </c>
      <c r="R48">
        <f>IFERROR(XLOOKUP(XLOOKUP(D48,tblReleaseChanges[Change_ID],tblReleaseChanges[Oracle_Severity],""),tblSeverityMap[Severity_Text],tblSeverityMap[Score],0),0)</f>
        <v/>
      </c>
      <c r="S48" t="n">
        <v>4</v>
      </c>
      <c r="T48">
        <f>ROUND((M48*0.25)+(N48*0.20)+(O48*0.15)+(P48*0.15)+(Q48*0.10)+(R48*0.10)+(S48*0.05),2)</f>
        <v/>
      </c>
      <c r="U48">
        <f>IF(T48&gt;=4.25,"Critical",IF(T48&gt;=3.5,"High",IF(T48&gt;=2,"Medium","Low")))</f>
        <v/>
      </c>
      <c r="V48" t="inlineStr">
        <is>
          <t>Pending Review</t>
        </is>
      </c>
      <c r="W48" t="inlineStr"/>
      <c r="X48" t="inlineStr"/>
      <c r="Y48" t="inlineStr">
        <is>
          <t>Action type: Steps to Enable. **Setup Steps** To report tax amounts for unrefunded deposits collected for products in beverage packaging in the P_360 and K_360 tax boxes in the Sales Registe</t>
        </is>
      </c>
      <c r="Z48" t="inlineStr">
        <is>
          <t>Y</t>
        </is>
      </c>
      <c r="AA48" t="inlineStr">
        <is>
          <t>Y</t>
        </is>
      </c>
    </row>
    <row r="49">
      <c r="A49" t="inlineStr">
        <is>
          <t>ASMT_IMP_0024</t>
        </is>
      </c>
      <c r="B49" t="inlineStr">
        <is>
          <t>CLT_DFL001</t>
        </is>
      </c>
      <c r="C49" t="inlineStr">
        <is>
          <t>REL_26C</t>
        </is>
      </c>
      <c r="D49" t="inlineStr">
        <is>
          <t>CHG_IMP_0024</t>
        </is>
      </c>
      <c r="E49" t="inlineStr">
        <is>
          <t>Functional</t>
        </is>
      </c>
      <c r="F49" t="inlineStr">
        <is>
          <t>Configuration</t>
        </is>
      </c>
      <c r="G49" t="inlineStr"/>
      <c r="H49" t="inlineStr">
        <is>
          <t>DFL Financials impacted by Oracle 26C change</t>
        </is>
      </c>
      <c r="I49" t="inlineStr">
        <is>
          <t>Y</t>
        </is>
      </c>
      <c r="J49" t="inlineStr">
        <is>
          <t>N</t>
        </is>
      </c>
      <c r="K49" t="inlineStr">
        <is>
          <t>N</t>
        </is>
      </c>
      <c r="L49" t="inlineStr">
        <is>
          <t>N</t>
        </is>
      </c>
      <c r="M49" t="n">
        <v>5</v>
      </c>
      <c r="N49" t="n">
        <v>2</v>
      </c>
      <c r="O49" t="n">
        <v>5</v>
      </c>
      <c r="P49" t="n">
        <v>1</v>
      </c>
      <c r="Q49" t="n">
        <v>3</v>
      </c>
      <c r="R49">
        <f>IFERROR(XLOOKUP(XLOOKUP(D49,tblReleaseChanges[Change_ID],tblReleaseChanges[Oracle_Severity],""),tblSeverityMap[Severity_Text],tblSeverityMap[Score],0),0)</f>
        <v/>
      </c>
      <c r="S49" t="n">
        <v>1</v>
      </c>
      <c r="T49">
        <f>ROUND((M49*0.25)+(N49*0.20)+(O49*0.15)+(P49*0.15)+(Q49*0.10)+(R49*0.10)+(S49*0.05),2)</f>
        <v/>
      </c>
      <c r="U49">
        <f>IF(T49&gt;=4.25,"Critical",IF(T49&gt;=3.5,"High",IF(T49&gt;=2,"Medium","Low")))</f>
        <v/>
      </c>
      <c r="V49" t="inlineStr">
        <is>
          <t>Pending Review</t>
        </is>
      </c>
      <c r="W49" t="inlineStr"/>
      <c r="X49" t="inlineStr"/>
      <c r="Y49" t="inlineStr">
        <is>
          <t>Auto-enabled — no action required</t>
        </is>
      </c>
      <c r="Z49" t="inlineStr">
        <is>
          <t>N</t>
        </is>
      </c>
      <c r="AA49" t="inlineStr">
        <is>
          <t>N</t>
        </is>
      </c>
    </row>
    <row r="50">
      <c r="A50" t="inlineStr">
        <is>
          <t>ASMT_IMP_0025</t>
        </is>
      </c>
      <c r="B50" t="inlineStr">
        <is>
          <t>CLT_DFL001</t>
        </is>
      </c>
      <c r="C50" t="inlineStr">
        <is>
          <t>REL_26C</t>
        </is>
      </c>
      <c r="D50" t="inlineStr">
        <is>
          <t>CHG_IMP_0025</t>
        </is>
      </c>
      <c r="E50" t="inlineStr">
        <is>
          <t>Functional</t>
        </is>
      </c>
      <c r="F50" t="inlineStr">
        <is>
          <t>Configuration</t>
        </is>
      </c>
      <c r="G50" t="inlineStr"/>
      <c r="H50" t="inlineStr">
        <is>
          <t>DFL Financials impacted by Oracle 26C change</t>
        </is>
      </c>
      <c r="I50" t="inlineStr">
        <is>
          <t>Y</t>
        </is>
      </c>
      <c r="J50" t="inlineStr">
        <is>
          <t>N</t>
        </is>
      </c>
      <c r="K50" t="inlineStr">
        <is>
          <t>N</t>
        </is>
      </c>
      <c r="L50" t="inlineStr">
        <is>
          <t>N</t>
        </is>
      </c>
      <c r="M50" t="n">
        <v>5</v>
      </c>
      <c r="N50" t="n">
        <v>2</v>
      </c>
      <c r="O50" t="n">
        <v>5</v>
      </c>
      <c r="P50" t="n">
        <v>1</v>
      </c>
      <c r="Q50" t="n">
        <v>3</v>
      </c>
      <c r="R50">
        <f>IFERROR(XLOOKUP(XLOOKUP(D50,tblReleaseChanges[Change_ID],tblReleaseChanges[Oracle_Severity],""),tblSeverityMap[Severity_Text],tblSeverityMap[Score],0),0)</f>
        <v/>
      </c>
      <c r="S50" t="n">
        <v>1</v>
      </c>
      <c r="T50">
        <f>ROUND((M50*0.25)+(N50*0.20)+(O50*0.15)+(P50*0.15)+(Q50*0.10)+(R50*0.10)+(S50*0.05),2)</f>
        <v/>
      </c>
      <c r="U50">
        <f>IF(T50&gt;=4.25,"Critical",IF(T50&gt;=3.5,"High",IF(T50&gt;=2,"Medium","Low")))</f>
        <v/>
      </c>
      <c r="V50" t="inlineStr">
        <is>
          <t>Pending Review</t>
        </is>
      </c>
      <c r="W50" t="inlineStr"/>
      <c r="X50" t="inlineStr"/>
      <c r="Y50" t="inlineStr">
        <is>
          <t>Auto-enabled — no action required</t>
        </is>
      </c>
      <c r="Z50" t="inlineStr">
        <is>
          <t>N</t>
        </is>
      </c>
      <c r="AA50" t="inlineStr">
        <is>
          <t>N</t>
        </is>
      </c>
    </row>
    <row r="51">
      <c r="A51" t="inlineStr">
        <is>
          <t>ASMT_IMP_0026</t>
        </is>
      </c>
      <c r="B51" t="inlineStr">
        <is>
          <t>CLT_DFL001</t>
        </is>
      </c>
      <c r="C51" t="inlineStr">
        <is>
          <t>REL_26C</t>
        </is>
      </c>
      <c r="D51" t="inlineStr">
        <is>
          <t>CHG_IMP_0026</t>
        </is>
      </c>
      <c r="E51" t="inlineStr">
        <is>
          <t>Functional</t>
        </is>
      </c>
      <c r="F51" t="inlineStr">
        <is>
          <t>Configuration</t>
        </is>
      </c>
      <c r="G51" t="inlineStr"/>
      <c r="H51" t="inlineStr">
        <is>
          <t>DFL Financials impacted by Oracle 26C change</t>
        </is>
      </c>
      <c r="I51" t="inlineStr">
        <is>
          <t>Y</t>
        </is>
      </c>
      <c r="J51" t="inlineStr">
        <is>
          <t>N</t>
        </is>
      </c>
      <c r="K51" t="inlineStr">
        <is>
          <t>N</t>
        </is>
      </c>
      <c r="L51" t="inlineStr">
        <is>
          <t>N</t>
        </is>
      </c>
      <c r="M51" t="n">
        <v>5</v>
      </c>
      <c r="N51" t="n">
        <v>2</v>
      </c>
      <c r="O51" t="n">
        <v>5</v>
      </c>
      <c r="P51" t="n">
        <v>1</v>
      </c>
      <c r="Q51" t="n">
        <v>3</v>
      </c>
      <c r="R51">
        <f>IFERROR(XLOOKUP(XLOOKUP(D51,tblReleaseChanges[Change_ID],tblReleaseChanges[Oracle_Severity],""),tblSeverityMap[Severity_Text],tblSeverityMap[Score],0),0)</f>
        <v/>
      </c>
      <c r="S51" t="n">
        <v>4</v>
      </c>
      <c r="T51">
        <f>ROUND((M51*0.25)+(N51*0.20)+(O51*0.15)+(P51*0.15)+(Q51*0.10)+(R51*0.10)+(S51*0.05),2)</f>
        <v/>
      </c>
      <c r="U51">
        <f>IF(T51&gt;=4.25,"Critical",IF(T51&gt;=3.5,"High",IF(T51&gt;=2,"Medium","Low")))</f>
        <v/>
      </c>
      <c r="V51" t="inlineStr">
        <is>
          <t>Pending Review</t>
        </is>
      </c>
      <c r="W51" t="inlineStr"/>
      <c r="X51" t="inlineStr"/>
      <c r="Y51" t="inlineStr">
        <is>
          <t xml:space="preserve">Action type: Steps to Enable. • Sign in as an Application Implementation Consultant. • Navigate to **Setup and Maintenance**. • In the **Financials**offering, open the General Ledger functional area. </t>
        </is>
      </c>
      <c r="Z51" t="inlineStr">
        <is>
          <t>Y</t>
        </is>
      </c>
      <c r="AA51" t="inlineStr">
        <is>
          <t>Y</t>
        </is>
      </c>
    </row>
    <row r="52">
      <c r="A52" t="inlineStr">
        <is>
          <t>ASMT_IMP_0027</t>
        </is>
      </c>
      <c r="B52" t="inlineStr">
        <is>
          <t>CLT_DFL001</t>
        </is>
      </c>
      <c r="C52" t="inlineStr">
        <is>
          <t>REL_26C</t>
        </is>
      </c>
      <c r="D52" t="inlineStr">
        <is>
          <t>CHG_IMP_0027</t>
        </is>
      </c>
      <c r="E52" t="inlineStr">
        <is>
          <t>Functional</t>
        </is>
      </c>
      <c r="F52" t="inlineStr">
        <is>
          <t>Configuration</t>
        </is>
      </c>
      <c r="G52" t="inlineStr"/>
      <c r="H52" t="inlineStr">
        <is>
          <t>DFL Financials impacted by Oracle 26C change</t>
        </is>
      </c>
      <c r="I52" t="inlineStr">
        <is>
          <t>Y</t>
        </is>
      </c>
      <c r="J52" t="inlineStr">
        <is>
          <t>N</t>
        </is>
      </c>
      <c r="K52" t="inlineStr">
        <is>
          <t>N</t>
        </is>
      </c>
      <c r="L52" t="inlineStr">
        <is>
          <t>N</t>
        </is>
      </c>
      <c r="M52" t="n">
        <v>5</v>
      </c>
      <c r="N52" t="n">
        <v>2</v>
      </c>
      <c r="O52" t="n">
        <v>5</v>
      </c>
      <c r="P52" t="n">
        <v>1</v>
      </c>
      <c r="Q52" t="n">
        <v>3</v>
      </c>
      <c r="R52">
        <f>IFERROR(XLOOKUP(XLOOKUP(D52,tblReleaseChanges[Change_ID],tblReleaseChanges[Oracle_Severity],""),tblSeverityMap[Severity_Text],tblSeverityMap[Score],0),0)</f>
        <v/>
      </c>
      <c r="S52" t="n">
        <v>4</v>
      </c>
      <c r="T52">
        <f>ROUND((M52*0.25)+(N52*0.20)+(O52*0.15)+(P52*0.15)+(Q52*0.10)+(R52*0.10)+(S52*0.05),2)</f>
        <v/>
      </c>
      <c r="U52">
        <f>IF(T52&gt;=4.25,"Critical",IF(T52&gt;=3.5,"High",IF(T52&gt;=2,"Medium","Low")))</f>
        <v/>
      </c>
      <c r="V52" t="inlineStr">
        <is>
          <t>Pending Review</t>
        </is>
      </c>
      <c r="W52" t="inlineStr"/>
      <c r="X52" t="inlineStr"/>
      <c r="Y52" t="inlineStr">
        <is>
          <t>Action type: Steps to Enable. Use the Opt In UI to enable this feature. For instructions, refer to the Optional Uptake of New Features section of this document. Offering: *Fin</t>
        </is>
      </c>
      <c r="Z52" t="inlineStr">
        <is>
          <t>Y</t>
        </is>
      </c>
      <c r="AA52" t="inlineStr">
        <is>
          <t>Y</t>
        </is>
      </c>
    </row>
    <row r="53">
      <c r="A53" t="inlineStr">
        <is>
          <t>ASMT_IMP_0028</t>
        </is>
      </c>
      <c r="B53" t="inlineStr">
        <is>
          <t>CLT_DFL001</t>
        </is>
      </c>
      <c r="C53" t="inlineStr">
        <is>
          <t>REL_26C</t>
        </is>
      </c>
      <c r="D53" t="inlineStr">
        <is>
          <t>CHG_IMP_0028</t>
        </is>
      </c>
      <c r="E53" t="inlineStr">
        <is>
          <t>Functional</t>
        </is>
      </c>
      <c r="F53" t="inlineStr">
        <is>
          <t>Configuration</t>
        </is>
      </c>
      <c r="G53" t="inlineStr"/>
      <c r="H53" t="inlineStr">
        <is>
          <t>DFL Financials impacted by Oracle 26C change</t>
        </is>
      </c>
      <c r="I53" t="inlineStr">
        <is>
          <t>Y</t>
        </is>
      </c>
      <c r="J53" t="inlineStr">
        <is>
          <t>N</t>
        </is>
      </c>
      <c r="K53" t="inlineStr">
        <is>
          <t>N</t>
        </is>
      </c>
      <c r="L53" t="inlineStr">
        <is>
          <t>N</t>
        </is>
      </c>
      <c r="M53" t="n">
        <v>5</v>
      </c>
      <c r="N53" t="n">
        <v>2</v>
      </c>
      <c r="O53" t="n">
        <v>5</v>
      </c>
      <c r="P53" t="n">
        <v>1</v>
      </c>
      <c r="Q53" t="n">
        <v>3</v>
      </c>
      <c r="R53">
        <f>IFERROR(XLOOKUP(XLOOKUP(D53,tblReleaseChanges[Change_ID],tblReleaseChanges[Oracle_Severity],""),tblSeverityMap[Severity_Text],tblSeverityMap[Score],0),0)</f>
        <v/>
      </c>
      <c r="S53" t="n">
        <v>1</v>
      </c>
      <c r="T53">
        <f>ROUND((M53*0.25)+(N53*0.20)+(O53*0.15)+(P53*0.15)+(Q53*0.10)+(R53*0.10)+(S53*0.05),2)</f>
        <v/>
      </c>
      <c r="U53">
        <f>IF(T53&gt;=4.25,"Critical",IF(T53&gt;=3.5,"High",IF(T53&gt;=2,"Medium","Low")))</f>
        <v/>
      </c>
      <c r="V53" t="inlineStr">
        <is>
          <t>Pending Review</t>
        </is>
      </c>
      <c r="W53" t="inlineStr"/>
      <c r="X53" t="inlineStr"/>
      <c r="Y53" t="inlineStr">
        <is>
          <t>Auto-enabled — no action required</t>
        </is>
      </c>
      <c r="Z53" t="inlineStr">
        <is>
          <t>N</t>
        </is>
      </c>
      <c r="AA53" t="inlineStr">
        <is>
          <t>N</t>
        </is>
      </c>
    </row>
    <row r="54">
      <c r="A54" t="inlineStr">
        <is>
          <t>ASMT_IMP_0029</t>
        </is>
      </c>
      <c r="B54" t="inlineStr">
        <is>
          <t>CLT_DFL001</t>
        </is>
      </c>
      <c r="C54" t="inlineStr">
        <is>
          <t>REL_26C</t>
        </is>
      </c>
      <c r="D54" t="inlineStr">
        <is>
          <t>CHG_IMP_0029</t>
        </is>
      </c>
      <c r="E54" t="inlineStr">
        <is>
          <t>Functional</t>
        </is>
      </c>
      <c r="F54" t="inlineStr">
        <is>
          <t>Configuration</t>
        </is>
      </c>
      <c r="G54" t="inlineStr"/>
      <c r="H54" t="inlineStr">
        <is>
          <t>DFL Financials impacted by Oracle 26C change</t>
        </is>
      </c>
      <c r="I54" t="inlineStr">
        <is>
          <t>Y</t>
        </is>
      </c>
      <c r="J54" t="inlineStr">
        <is>
          <t>N</t>
        </is>
      </c>
      <c r="K54" t="inlineStr">
        <is>
          <t>N</t>
        </is>
      </c>
      <c r="L54" t="inlineStr">
        <is>
          <t>N</t>
        </is>
      </c>
      <c r="M54" t="n">
        <v>5</v>
      </c>
      <c r="N54" t="n">
        <v>2</v>
      </c>
      <c r="O54" t="n">
        <v>5</v>
      </c>
      <c r="P54" t="n">
        <v>1</v>
      </c>
      <c r="Q54" t="n">
        <v>3</v>
      </c>
      <c r="R54">
        <f>IFERROR(XLOOKUP(XLOOKUP(D54,tblReleaseChanges[Change_ID],tblReleaseChanges[Oracle_Severity],""),tblSeverityMap[Severity_Text],tblSeverityMap[Score],0),0)</f>
        <v/>
      </c>
      <c r="S54" t="n">
        <v>4</v>
      </c>
      <c r="T54">
        <f>ROUND((M54*0.25)+(N54*0.20)+(O54*0.15)+(P54*0.15)+(Q54*0.10)+(R54*0.10)+(S54*0.05),2)</f>
        <v/>
      </c>
      <c r="U54">
        <f>IF(T54&gt;=4.25,"Critical",IF(T54&gt;=3.5,"High",IF(T54&gt;=2,"Medium","Low")))</f>
        <v/>
      </c>
      <c r="V54" t="inlineStr">
        <is>
          <t>Pending Review</t>
        </is>
      </c>
      <c r="W54" t="inlineStr"/>
      <c r="X54" t="inlineStr"/>
      <c r="Y54" t="inlineStr">
        <is>
          <t>Action type: Steps to Enable. Before enabling e-invoicing with Avalara in Oracle Fusion Cloud ERP, ensure that the following prerequisites are completed: 1. Finalize agreement with Avalara for using e</t>
        </is>
      </c>
      <c r="Z54" t="inlineStr">
        <is>
          <t>Y</t>
        </is>
      </c>
      <c r="AA54" t="inlineStr">
        <is>
          <t>Y</t>
        </is>
      </c>
    </row>
    <row r="55">
      <c r="A55" t="inlineStr">
        <is>
          <t>ASMT_IMP_0030</t>
        </is>
      </c>
      <c r="B55" t="inlineStr">
        <is>
          <t>CLT_DFL001</t>
        </is>
      </c>
      <c r="C55" t="inlineStr">
        <is>
          <t>REL_26C</t>
        </is>
      </c>
      <c r="D55" t="inlineStr">
        <is>
          <t>CHG_IMP_0030</t>
        </is>
      </c>
      <c r="E55" t="inlineStr">
        <is>
          <t>Functional</t>
        </is>
      </c>
      <c r="F55" t="inlineStr">
        <is>
          <t>Configuration</t>
        </is>
      </c>
      <c r="G55" t="inlineStr"/>
      <c r="H55" t="inlineStr">
        <is>
          <t>DFL Financials impacted by Oracle 26C change</t>
        </is>
      </c>
      <c r="I55" t="inlineStr">
        <is>
          <t>Y</t>
        </is>
      </c>
      <c r="J55" t="inlineStr">
        <is>
          <t>N</t>
        </is>
      </c>
      <c r="K55" t="inlineStr">
        <is>
          <t>N</t>
        </is>
      </c>
      <c r="L55" t="inlineStr">
        <is>
          <t>N</t>
        </is>
      </c>
      <c r="M55" t="n">
        <v>5</v>
      </c>
      <c r="N55" t="n">
        <v>2</v>
      </c>
      <c r="O55" t="n">
        <v>5</v>
      </c>
      <c r="P55" t="n">
        <v>1</v>
      </c>
      <c r="Q55" t="n">
        <v>3</v>
      </c>
      <c r="R55">
        <f>IFERROR(XLOOKUP(XLOOKUP(D55,tblReleaseChanges[Change_ID],tblReleaseChanges[Oracle_Severity],""),tblSeverityMap[Severity_Text],tblSeverityMap[Score],0),0)</f>
        <v/>
      </c>
      <c r="S55" t="n">
        <v>4</v>
      </c>
      <c r="T55">
        <f>ROUND((M55*0.25)+(N55*0.20)+(O55*0.15)+(P55*0.15)+(Q55*0.10)+(R55*0.10)+(S55*0.05),2)</f>
        <v/>
      </c>
      <c r="U55">
        <f>IF(T55&gt;=4.25,"Critical",IF(T55&gt;=3.5,"High",IF(T55&gt;=2,"Medium","Low")))</f>
        <v/>
      </c>
      <c r="V55" t="inlineStr">
        <is>
          <t>Pending Review</t>
        </is>
      </c>
      <c r="W55" t="inlineStr"/>
      <c r="X55" t="inlineStr"/>
      <c r="Y55" t="inlineStr">
        <is>
          <t>Action type: Steps to Enable. • Enable partner e-invoice integration service using the setup task “Manage Thomson Reuters Services”. For details on this task, refer to the Partner E-invoice Inte</t>
        </is>
      </c>
      <c r="Z55" t="inlineStr">
        <is>
          <t>Y</t>
        </is>
      </c>
      <c r="AA55" t="inlineStr">
        <is>
          <t>Y</t>
        </is>
      </c>
    </row>
    <row r="56">
      <c r="A56" t="inlineStr">
        <is>
          <t>ASMT_IMP_0031</t>
        </is>
      </c>
      <c r="B56" t="inlineStr">
        <is>
          <t>CLT_DFL001</t>
        </is>
      </c>
      <c r="C56" t="inlineStr">
        <is>
          <t>REL_26C</t>
        </is>
      </c>
      <c r="D56" t="inlineStr">
        <is>
          <t>CHG_IMP_0031</t>
        </is>
      </c>
      <c r="E56" t="inlineStr">
        <is>
          <t>Functional</t>
        </is>
      </c>
      <c r="F56" t="inlineStr">
        <is>
          <t>Configuration</t>
        </is>
      </c>
      <c r="G56" t="inlineStr"/>
      <c r="H56" t="inlineStr">
        <is>
          <t>DFL Financials impacted by Oracle 26C change</t>
        </is>
      </c>
      <c r="I56" t="inlineStr">
        <is>
          <t>Y</t>
        </is>
      </c>
      <c r="J56" t="inlineStr">
        <is>
          <t>N</t>
        </is>
      </c>
      <c r="K56" t="inlineStr">
        <is>
          <t>N</t>
        </is>
      </c>
      <c r="L56" t="inlineStr">
        <is>
          <t>N</t>
        </is>
      </c>
      <c r="M56" t="n">
        <v>5</v>
      </c>
      <c r="N56" t="n">
        <v>2</v>
      </c>
      <c r="O56" t="n">
        <v>5</v>
      </c>
      <c r="P56" t="n">
        <v>1</v>
      </c>
      <c r="Q56" t="n">
        <v>3</v>
      </c>
      <c r="R56">
        <f>IFERROR(XLOOKUP(XLOOKUP(D56,tblReleaseChanges[Change_ID],tblReleaseChanges[Oracle_Severity],""),tblSeverityMap[Severity_Text],tblSeverityMap[Score],0),0)</f>
        <v/>
      </c>
      <c r="S56" t="n">
        <v>4</v>
      </c>
      <c r="T56">
        <f>ROUND((M56*0.25)+(N56*0.20)+(O56*0.15)+(P56*0.15)+(Q56*0.10)+(R56*0.10)+(S56*0.05),2)</f>
        <v/>
      </c>
      <c r="U56">
        <f>IF(T56&gt;=4.25,"Critical",IF(T56&gt;=3.5,"High",IF(T56&gt;=2,"Medium","Low")))</f>
        <v/>
      </c>
      <c r="V56" t="inlineStr">
        <is>
          <t>Pending Review</t>
        </is>
      </c>
      <c r="W56" t="inlineStr"/>
      <c r="X56" t="inlineStr"/>
      <c r="Y56" t="inlineStr">
        <is>
          <t>Action type: Steps to Enable. **Feature Enablement** This feature is enabled by default. After the required security roles and privileges described in Access Requirement section are configured, u</t>
        </is>
      </c>
      <c r="Z56" t="inlineStr">
        <is>
          <t>Y</t>
        </is>
      </c>
      <c r="AA56" t="inlineStr">
        <is>
          <t>Y</t>
        </is>
      </c>
    </row>
    <row r="57">
      <c r="A57" t="inlineStr">
        <is>
          <t>ASMT_IMP_0032</t>
        </is>
      </c>
      <c r="B57" t="inlineStr">
        <is>
          <t>CLT_DFL001</t>
        </is>
      </c>
      <c r="C57" t="inlineStr">
        <is>
          <t>REL_26C</t>
        </is>
      </c>
      <c r="D57" t="inlineStr">
        <is>
          <t>CHG_IMP_0032</t>
        </is>
      </c>
      <c r="E57" t="inlineStr">
        <is>
          <t>Functional</t>
        </is>
      </c>
      <c r="F57" t="inlineStr">
        <is>
          <t>Configuration</t>
        </is>
      </c>
      <c r="G57" t="inlineStr"/>
      <c r="H57" t="inlineStr">
        <is>
          <t>DFL Financials impacted by Oracle 26C change</t>
        </is>
      </c>
      <c r="I57" t="inlineStr">
        <is>
          <t>Y</t>
        </is>
      </c>
      <c r="J57" t="inlineStr">
        <is>
          <t>N</t>
        </is>
      </c>
      <c r="K57" t="inlineStr">
        <is>
          <t>N</t>
        </is>
      </c>
      <c r="L57" t="inlineStr">
        <is>
          <t>N</t>
        </is>
      </c>
      <c r="M57" t="n">
        <v>5</v>
      </c>
      <c r="N57" t="n">
        <v>2</v>
      </c>
      <c r="O57" t="n">
        <v>5</v>
      </c>
      <c r="P57" t="n">
        <v>1</v>
      </c>
      <c r="Q57" t="n">
        <v>3</v>
      </c>
      <c r="R57">
        <f>IFERROR(XLOOKUP(XLOOKUP(D57,tblReleaseChanges[Change_ID],tblReleaseChanges[Oracle_Severity],""),tblSeverityMap[Severity_Text],tblSeverityMap[Score],0),0)</f>
        <v/>
      </c>
      <c r="S57" t="n">
        <v>4</v>
      </c>
      <c r="T57">
        <f>ROUND((M57*0.25)+(N57*0.20)+(O57*0.15)+(P57*0.15)+(Q57*0.10)+(R57*0.10)+(S57*0.05),2)</f>
        <v/>
      </c>
      <c r="U57">
        <f>IF(T57&gt;=4.25,"Critical",IF(T57&gt;=3.5,"High",IF(T57&gt;=2,"Medium","Low")))</f>
        <v/>
      </c>
      <c r="V57" t="inlineStr">
        <is>
          <t>Pending Review</t>
        </is>
      </c>
      <c r="W57" t="inlineStr"/>
      <c r="X57" t="inlineStr"/>
      <c r="Y57" t="inlineStr">
        <is>
          <t xml:space="preserve">Action type: Steps to Enable. • No additional setup is required for these enhancements if Payments Agent is already enabled. • Users can still access the current Insights and Payments through their </t>
        </is>
      </c>
      <c r="Z57" t="inlineStr">
        <is>
          <t>Y</t>
        </is>
      </c>
      <c r="AA57" t="inlineStr">
        <is>
          <t>Y</t>
        </is>
      </c>
    </row>
    <row r="58">
      <c r="A58" t="inlineStr">
        <is>
          <t>ASMT_IMP_0033</t>
        </is>
      </c>
      <c r="B58" t="inlineStr">
        <is>
          <t>CLT_DFL001</t>
        </is>
      </c>
      <c r="C58" t="inlineStr">
        <is>
          <t>REL_26C</t>
        </is>
      </c>
      <c r="D58" t="inlineStr">
        <is>
          <t>CHG_IMP_0033</t>
        </is>
      </c>
      <c r="E58" t="inlineStr">
        <is>
          <t>Functional</t>
        </is>
      </c>
      <c r="F58" t="inlineStr">
        <is>
          <t>Configuration</t>
        </is>
      </c>
      <c r="G58" t="inlineStr"/>
      <c r="H58" t="inlineStr">
        <is>
          <t>DFL Financials impacted by Oracle 26C change</t>
        </is>
      </c>
      <c r="I58" t="inlineStr">
        <is>
          <t>Y</t>
        </is>
      </c>
      <c r="J58" t="inlineStr">
        <is>
          <t>N</t>
        </is>
      </c>
      <c r="K58" t="inlineStr">
        <is>
          <t>N</t>
        </is>
      </c>
      <c r="L58" t="inlineStr">
        <is>
          <t>N</t>
        </is>
      </c>
      <c r="M58" t="n">
        <v>5</v>
      </c>
      <c r="N58" t="n">
        <v>2</v>
      </c>
      <c r="O58" t="n">
        <v>5</v>
      </c>
      <c r="P58" t="n">
        <v>1</v>
      </c>
      <c r="Q58" t="n">
        <v>3</v>
      </c>
      <c r="R58">
        <f>IFERROR(XLOOKUP(XLOOKUP(D58,tblReleaseChanges[Change_ID],tblReleaseChanges[Oracle_Severity],""),tblSeverityMap[Severity_Text],tblSeverityMap[Score],0),0)</f>
        <v/>
      </c>
      <c r="S58" t="n">
        <v>4</v>
      </c>
      <c r="T58">
        <f>ROUND((M58*0.25)+(N58*0.20)+(O58*0.15)+(P58*0.15)+(Q58*0.10)+(R58*0.10)+(S58*0.05),2)</f>
        <v/>
      </c>
      <c r="U58">
        <f>IF(T58&gt;=4.25,"Critical",IF(T58&gt;=3.5,"High",IF(T58&gt;=2,"Medium","Low")))</f>
        <v/>
      </c>
      <c r="V58" t="inlineStr">
        <is>
          <t>Pending Review</t>
        </is>
      </c>
      <c r="W58" t="inlineStr"/>
      <c r="X58" t="inlineStr"/>
      <c r="Y58" t="inlineStr">
        <is>
          <t>Action type: Steps to Enable. Here's how you can clean up accumulated files: 1. From the **Scheduled Processes** area, schedule the **Run Data Lifecycle Process for Collabo</t>
        </is>
      </c>
      <c r="Z58" t="inlineStr">
        <is>
          <t>Y</t>
        </is>
      </c>
      <c r="AA58" t="inlineStr">
        <is>
          <t>Y</t>
        </is>
      </c>
    </row>
    <row r="59">
      <c r="A59" t="inlineStr">
        <is>
          <t>ASMT_IMP_0034</t>
        </is>
      </c>
      <c r="B59" t="inlineStr">
        <is>
          <t>CLT_DFL001</t>
        </is>
      </c>
      <c r="C59" t="inlineStr">
        <is>
          <t>REL_26C</t>
        </is>
      </c>
      <c r="D59" t="inlineStr">
        <is>
          <t>CHG_IMP_0034</t>
        </is>
      </c>
      <c r="E59" t="inlineStr">
        <is>
          <t>Functional</t>
        </is>
      </c>
      <c r="F59" t="inlineStr">
        <is>
          <t>Configuration</t>
        </is>
      </c>
      <c r="G59" t="inlineStr"/>
      <c r="H59" t="inlineStr">
        <is>
          <t>DFL Financials impacted by Oracle 26C change</t>
        </is>
      </c>
      <c r="I59" t="inlineStr">
        <is>
          <t>Y</t>
        </is>
      </c>
      <c r="J59" t="inlineStr">
        <is>
          <t>N</t>
        </is>
      </c>
      <c r="K59" t="inlineStr">
        <is>
          <t>N</t>
        </is>
      </c>
      <c r="L59" t="inlineStr">
        <is>
          <t>N</t>
        </is>
      </c>
      <c r="M59" t="n">
        <v>5</v>
      </c>
      <c r="N59" t="n">
        <v>2</v>
      </c>
      <c r="O59" t="n">
        <v>5</v>
      </c>
      <c r="P59" t="n">
        <v>1</v>
      </c>
      <c r="Q59" t="n">
        <v>3</v>
      </c>
      <c r="R59">
        <f>IFERROR(XLOOKUP(XLOOKUP(D59,tblReleaseChanges[Change_ID],tblReleaseChanges[Oracle_Severity],""),tblSeverityMap[Severity_Text],tblSeverityMap[Score],0),0)</f>
        <v/>
      </c>
      <c r="S59" t="n">
        <v>4</v>
      </c>
      <c r="T59">
        <f>ROUND((M59*0.25)+(N59*0.20)+(O59*0.15)+(P59*0.15)+(Q59*0.10)+(R59*0.10)+(S59*0.05),2)</f>
        <v/>
      </c>
      <c r="U59">
        <f>IF(T59&gt;=4.25,"Critical",IF(T59&gt;=3.5,"High",IF(T59&gt;=2,"Medium","Low")))</f>
        <v/>
      </c>
      <c r="V59" t="inlineStr">
        <is>
          <t>Pending Review</t>
        </is>
      </c>
      <c r="W59" t="inlineStr"/>
      <c r="X59" t="inlineStr"/>
      <c r="Y59" t="inlineStr">
        <is>
          <t>Action type: Steps to Enable. You can access this functionality by enabling the feature **Simplify Configuration and Processing for B2B Messaging**orthe profile option **ORA_CMK_MESSAGING_CERTIFICATES</t>
        </is>
      </c>
      <c r="Z59" t="inlineStr">
        <is>
          <t>Y</t>
        </is>
      </c>
      <c r="AA59" t="inlineStr">
        <is>
          <t>Y</t>
        </is>
      </c>
    </row>
    <row r="60">
      <c r="A60" t="inlineStr">
        <is>
          <t>ASMT_IMP_0035</t>
        </is>
      </c>
      <c r="B60" t="inlineStr">
        <is>
          <t>CLT_DFL001</t>
        </is>
      </c>
      <c r="C60" t="inlineStr">
        <is>
          <t>REL_26C</t>
        </is>
      </c>
      <c r="D60" t="inlineStr">
        <is>
          <t>CHG_IMP_0035</t>
        </is>
      </c>
      <c r="E60" t="inlineStr">
        <is>
          <t>Functional</t>
        </is>
      </c>
      <c r="F60" t="inlineStr">
        <is>
          <t>Configuration</t>
        </is>
      </c>
      <c r="G60" t="inlineStr"/>
      <c r="H60" t="inlineStr">
        <is>
          <t>DFL Financials impacted by Oracle 26C change</t>
        </is>
      </c>
      <c r="I60" t="inlineStr">
        <is>
          <t>Y</t>
        </is>
      </c>
      <c r="J60" t="inlineStr">
        <is>
          <t>N</t>
        </is>
      </c>
      <c r="K60" t="inlineStr">
        <is>
          <t>N</t>
        </is>
      </c>
      <c r="L60" t="inlineStr">
        <is>
          <t>N</t>
        </is>
      </c>
      <c r="M60" t="n">
        <v>5</v>
      </c>
      <c r="N60" t="n">
        <v>2</v>
      </c>
      <c r="O60" t="n">
        <v>5</v>
      </c>
      <c r="P60" t="n">
        <v>1</v>
      </c>
      <c r="Q60" t="n">
        <v>3</v>
      </c>
      <c r="R60">
        <f>IFERROR(XLOOKUP(XLOOKUP(D60,tblReleaseChanges[Change_ID],tblReleaseChanges[Oracle_Severity],""),tblSeverityMap[Severity_Text],tblSeverityMap[Score],0),0)</f>
        <v/>
      </c>
      <c r="S60" t="n">
        <v>4</v>
      </c>
      <c r="T60">
        <f>ROUND((M60*0.25)+(N60*0.20)+(O60*0.15)+(P60*0.15)+(Q60*0.10)+(R60*0.10)+(S60*0.05),2)</f>
        <v/>
      </c>
      <c r="U60">
        <f>IF(T60&gt;=4.25,"Critical",IF(T60&gt;=3.5,"High",IF(T60&gt;=2,"Medium","Low")))</f>
        <v/>
      </c>
      <c r="V60" t="inlineStr">
        <is>
          <t>Pending Review</t>
        </is>
      </c>
      <c r="W60" t="inlineStr"/>
      <c r="X60" t="inlineStr"/>
      <c r="Y60" t="inlineStr">
        <is>
          <t>Action type: Steps to Enable. You can access this functionality by enabling the feature **Simplify Configuration and Processing for B2B Messaging**. 1. Perform the following standard steps to s</t>
        </is>
      </c>
      <c r="Z60" t="inlineStr">
        <is>
          <t>Y</t>
        </is>
      </c>
      <c r="AA60" t="inlineStr">
        <is>
          <t>Y</t>
        </is>
      </c>
    </row>
    <row r="61">
      <c r="A61" t="inlineStr">
        <is>
          <t>ASMT_IMP_0036</t>
        </is>
      </c>
      <c r="B61" t="inlineStr">
        <is>
          <t>CLT_DFL001</t>
        </is>
      </c>
      <c r="C61" t="inlineStr">
        <is>
          <t>REL_26C</t>
        </is>
      </c>
      <c r="D61" t="inlineStr">
        <is>
          <t>CHG_IMP_0036</t>
        </is>
      </c>
      <c r="E61" t="inlineStr">
        <is>
          <t>Functional</t>
        </is>
      </c>
      <c r="F61" t="inlineStr">
        <is>
          <t>Configuration</t>
        </is>
      </c>
      <c r="G61" t="inlineStr"/>
      <c r="H61" t="inlineStr">
        <is>
          <t>DFL Financials impacted by Oracle 26C change</t>
        </is>
      </c>
      <c r="I61" t="inlineStr">
        <is>
          <t>Y</t>
        </is>
      </c>
      <c r="J61" t="inlineStr">
        <is>
          <t>N</t>
        </is>
      </c>
      <c r="K61" t="inlineStr">
        <is>
          <t>N</t>
        </is>
      </c>
      <c r="L61" t="inlineStr">
        <is>
          <t>N</t>
        </is>
      </c>
      <c r="M61" t="n">
        <v>5</v>
      </c>
      <c r="N61" t="n">
        <v>2</v>
      </c>
      <c r="O61" t="n">
        <v>5</v>
      </c>
      <c r="P61" t="n">
        <v>1</v>
      </c>
      <c r="Q61" t="n">
        <v>3</v>
      </c>
      <c r="R61">
        <f>IFERROR(XLOOKUP(XLOOKUP(D61,tblReleaseChanges[Change_ID],tblReleaseChanges[Oracle_Severity],""),tblSeverityMap[Severity_Text],tblSeverityMap[Score],0),0)</f>
        <v/>
      </c>
      <c r="S61" t="n">
        <v>4</v>
      </c>
      <c r="T61">
        <f>ROUND((M61*0.25)+(N61*0.20)+(O61*0.15)+(P61*0.15)+(Q61*0.10)+(R61*0.10)+(S61*0.05),2)</f>
        <v/>
      </c>
      <c r="U61">
        <f>IF(T61&gt;=4.25,"Critical",IF(T61&gt;=3.5,"High",IF(T61&gt;=2,"Medium","Low")))</f>
        <v/>
      </c>
      <c r="V61" t="inlineStr">
        <is>
          <t>Pending Review</t>
        </is>
      </c>
      <c r="W61" t="inlineStr"/>
      <c r="X61" t="inlineStr"/>
      <c r="Y61" t="inlineStr">
        <is>
          <t xml:space="preserve">Action type: Steps to Enable. 1. Perform the following high-level tasks to set up your documents: • Define your providers. • Create connections. • Assign properties to your inbound order documents. • </t>
        </is>
      </c>
      <c r="Z61" t="inlineStr">
        <is>
          <t>Y</t>
        </is>
      </c>
      <c r="AA61" t="inlineStr">
        <is>
          <t>Y</t>
        </is>
      </c>
    </row>
    <row r="62">
      <c r="A62" t="inlineStr">
        <is>
          <t>ASMT_IMP_0037</t>
        </is>
      </c>
      <c r="B62" t="inlineStr">
        <is>
          <t>CLT_DFL001</t>
        </is>
      </c>
      <c r="C62" t="inlineStr">
        <is>
          <t>REL_26C</t>
        </is>
      </c>
      <c r="D62" t="inlineStr">
        <is>
          <t>CHG_IMP_0037</t>
        </is>
      </c>
      <c r="E62" t="inlineStr">
        <is>
          <t>Functional</t>
        </is>
      </c>
      <c r="F62" t="inlineStr">
        <is>
          <t>Configuration</t>
        </is>
      </c>
      <c r="G62" t="inlineStr"/>
      <c r="H62" t="inlineStr">
        <is>
          <t>DFL Financials impacted by Oracle 26C change</t>
        </is>
      </c>
      <c r="I62" t="inlineStr">
        <is>
          <t>Y</t>
        </is>
      </c>
      <c r="J62" t="inlineStr">
        <is>
          <t>N</t>
        </is>
      </c>
      <c r="K62" t="inlineStr">
        <is>
          <t>N</t>
        </is>
      </c>
      <c r="L62" t="inlineStr">
        <is>
          <t>N</t>
        </is>
      </c>
      <c r="M62" t="n">
        <v>5</v>
      </c>
      <c r="N62" t="n">
        <v>2</v>
      </c>
      <c r="O62" t="n">
        <v>5</v>
      </c>
      <c r="P62" t="n">
        <v>1</v>
      </c>
      <c r="Q62" t="n">
        <v>3</v>
      </c>
      <c r="R62">
        <f>IFERROR(XLOOKUP(XLOOKUP(D62,tblReleaseChanges[Change_ID],tblReleaseChanges[Oracle_Severity],""),tblSeverityMap[Severity_Text],tblSeverityMap[Score],0),0)</f>
        <v/>
      </c>
      <c r="S62" t="n">
        <v>1</v>
      </c>
      <c r="T62">
        <f>ROUND((M62*0.25)+(N62*0.20)+(O62*0.15)+(P62*0.15)+(Q62*0.10)+(R62*0.10)+(S62*0.05),2)</f>
        <v/>
      </c>
      <c r="U62">
        <f>IF(T62&gt;=4.25,"Critical",IF(T62&gt;=3.5,"High",IF(T62&gt;=2,"Medium","Low")))</f>
        <v/>
      </c>
      <c r="V62" t="inlineStr">
        <is>
          <t>Pending Review</t>
        </is>
      </c>
      <c r="W62" t="inlineStr"/>
      <c r="X62" t="inlineStr"/>
      <c r="Y62" t="inlineStr">
        <is>
          <t>Auto-enabled — no action required</t>
        </is>
      </c>
      <c r="Z62" t="inlineStr">
        <is>
          <t>N</t>
        </is>
      </c>
      <c r="AA62" t="inlineStr">
        <is>
          <t>N</t>
        </is>
      </c>
    </row>
    <row r="63">
      <c r="A63" t="inlineStr">
        <is>
          <t>ASMT_IMP_0038</t>
        </is>
      </c>
      <c r="B63" t="inlineStr">
        <is>
          <t>CLT_DFL001</t>
        </is>
      </c>
      <c r="C63" t="inlineStr">
        <is>
          <t>REL_26C</t>
        </is>
      </c>
      <c r="D63" t="inlineStr">
        <is>
          <t>CHG_IMP_0038</t>
        </is>
      </c>
      <c r="E63" t="inlineStr">
        <is>
          <t>Functional</t>
        </is>
      </c>
      <c r="F63" t="inlineStr">
        <is>
          <t>Configuration</t>
        </is>
      </c>
      <c r="G63" t="inlineStr"/>
      <c r="H63" t="inlineStr">
        <is>
          <t>DFL Financials impacted by Oracle 26C change</t>
        </is>
      </c>
      <c r="I63" t="inlineStr">
        <is>
          <t>Y</t>
        </is>
      </c>
      <c r="J63" t="inlineStr">
        <is>
          <t>N</t>
        </is>
      </c>
      <c r="K63" t="inlineStr">
        <is>
          <t>N</t>
        </is>
      </c>
      <c r="L63" t="inlineStr">
        <is>
          <t>N</t>
        </is>
      </c>
      <c r="M63" t="n">
        <v>5</v>
      </c>
      <c r="N63" t="n">
        <v>2</v>
      </c>
      <c r="O63" t="n">
        <v>5</v>
      </c>
      <c r="P63" t="n">
        <v>1</v>
      </c>
      <c r="Q63" t="n">
        <v>3</v>
      </c>
      <c r="R63">
        <f>IFERROR(XLOOKUP(XLOOKUP(D63,tblReleaseChanges[Change_ID],tblReleaseChanges[Oracle_Severity],""),tblSeverityMap[Severity_Text],tblSeverityMap[Score],0),0)</f>
        <v/>
      </c>
      <c r="S63" t="n">
        <v>1</v>
      </c>
      <c r="T63">
        <f>ROUND((M63*0.25)+(N63*0.20)+(O63*0.15)+(P63*0.15)+(Q63*0.10)+(R63*0.10)+(S63*0.05),2)</f>
        <v/>
      </c>
      <c r="U63">
        <f>IF(T63&gt;=4.25,"Critical",IF(T63&gt;=3.5,"High",IF(T63&gt;=2,"Medium","Low")))</f>
        <v/>
      </c>
      <c r="V63" t="inlineStr">
        <is>
          <t>Pending Review</t>
        </is>
      </c>
      <c r="W63" t="inlineStr"/>
      <c r="X63" t="inlineStr"/>
      <c r="Y63" t="inlineStr">
        <is>
          <t>Auto-enabled — no action required</t>
        </is>
      </c>
      <c r="Z63" t="inlineStr">
        <is>
          <t>N</t>
        </is>
      </c>
      <c r="AA63" t="inlineStr">
        <is>
          <t>N</t>
        </is>
      </c>
    </row>
    <row r="64">
      <c r="A64" t="inlineStr">
        <is>
          <t>ASMT_IMP_0039</t>
        </is>
      </c>
      <c r="B64" t="inlineStr">
        <is>
          <t>CLT_DFL001</t>
        </is>
      </c>
      <c r="C64" t="inlineStr">
        <is>
          <t>REL_26C</t>
        </is>
      </c>
      <c r="D64" t="inlineStr">
        <is>
          <t>CHG_IMP_0039</t>
        </is>
      </c>
      <c r="E64" t="inlineStr">
        <is>
          <t>Functional</t>
        </is>
      </c>
      <c r="F64" t="inlineStr">
        <is>
          <t>Configuration</t>
        </is>
      </c>
      <c r="G64" t="inlineStr"/>
      <c r="H64" t="inlineStr">
        <is>
          <t>DFL Financials impacted by Oracle 26C change</t>
        </is>
      </c>
      <c r="I64" t="inlineStr">
        <is>
          <t>Y</t>
        </is>
      </c>
      <c r="J64" t="inlineStr">
        <is>
          <t>N</t>
        </is>
      </c>
      <c r="K64" t="inlineStr">
        <is>
          <t>N</t>
        </is>
      </c>
      <c r="L64" t="inlineStr">
        <is>
          <t>N</t>
        </is>
      </c>
      <c r="M64" t="n">
        <v>5</v>
      </c>
      <c r="N64" t="n">
        <v>2</v>
      </c>
      <c r="O64" t="n">
        <v>5</v>
      </c>
      <c r="P64" t="n">
        <v>1</v>
      </c>
      <c r="Q64" t="n">
        <v>3</v>
      </c>
      <c r="R64">
        <f>IFERROR(XLOOKUP(XLOOKUP(D64,tblReleaseChanges[Change_ID],tblReleaseChanges[Oracle_Severity],""),tblSeverityMap[Severity_Text],tblSeverityMap[Score],0),0)</f>
        <v/>
      </c>
      <c r="S64" t="n">
        <v>1</v>
      </c>
      <c r="T64">
        <f>ROUND((M64*0.25)+(N64*0.20)+(O64*0.15)+(P64*0.15)+(Q64*0.10)+(R64*0.10)+(S64*0.05),2)</f>
        <v/>
      </c>
      <c r="U64">
        <f>IF(T64&gt;=4.25,"Critical",IF(T64&gt;=3.5,"High",IF(T64&gt;=2,"Medium","Low")))</f>
        <v/>
      </c>
      <c r="V64" t="inlineStr">
        <is>
          <t>Pending Review</t>
        </is>
      </c>
      <c r="W64" t="inlineStr"/>
      <c r="X64" t="inlineStr"/>
      <c r="Y64" t="inlineStr">
        <is>
          <t>Auto-enabled — no action required</t>
        </is>
      </c>
      <c r="Z64" t="inlineStr">
        <is>
          <t>N</t>
        </is>
      </c>
      <c r="AA64" t="inlineStr">
        <is>
          <t>N</t>
        </is>
      </c>
    </row>
    <row r="65">
      <c r="A65" t="inlineStr">
        <is>
          <t>ASMT_IMP_0040</t>
        </is>
      </c>
      <c r="B65" t="inlineStr">
        <is>
          <t>CLT_DFL001</t>
        </is>
      </c>
      <c r="C65" t="inlineStr">
        <is>
          <t>REL_26C</t>
        </is>
      </c>
      <c r="D65" t="inlineStr">
        <is>
          <t>CHG_IMP_0040</t>
        </is>
      </c>
      <c r="E65" t="inlineStr">
        <is>
          <t>Functional</t>
        </is>
      </c>
      <c r="F65" t="inlineStr">
        <is>
          <t>Configuration</t>
        </is>
      </c>
      <c r="G65" t="inlineStr"/>
      <c r="H65" t="inlineStr">
        <is>
          <t>DFL Financials impacted by Oracle 26C change</t>
        </is>
      </c>
      <c r="I65" t="inlineStr">
        <is>
          <t>Y</t>
        </is>
      </c>
      <c r="J65" t="inlineStr">
        <is>
          <t>N</t>
        </is>
      </c>
      <c r="K65" t="inlineStr">
        <is>
          <t>N</t>
        </is>
      </c>
      <c r="L65" t="inlineStr">
        <is>
          <t>N</t>
        </is>
      </c>
      <c r="M65" t="n">
        <v>5</v>
      </c>
      <c r="N65" t="n">
        <v>2</v>
      </c>
      <c r="O65" t="n">
        <v>5</v>
      </c>
      <c r="P65" t="n">
        <v>1</v>
      </c>
      <c r="Q65" t="n">
        <v>3</v>
      </c>
      <c r="R65">
        <f>IFERROR(XLOOKUP(XLOOKUP(D65,tblReleaseChanges[Change_ID],tblReleaseChanges[Oracle_Severity],""),tblSeverityMap[Severity_Text],tblSeverityMap[Score],0),0)</f>
        <v/>
      </c>
      <c r="S65" t="n">
        <v>1</v>
      </c>
      <c r="T65">
        <f>ROUND((M65*0.25)+(N65*0.20)+(O65*0.15)+(P65*0.15)+(Q65*0.10)+(R65*0.10)+(S65*0.05),2)</f>
        <v/>
      </c>
      <c r="U65">
        <f>IF(T65&gt;=4.25,"Critical",IF(T65&gt;=3.5,"High",IF(T65&gt;=2,"Medium","Low")))</f>
        <v/>
      </c>
      <c r="V65" t="inlineStr">
        <is>
          <t>Pending Review</t>
        </is>
      </c>
      <c r="W65" t="inlineStr"/>
      <c r="X65" t="inlineStr"/>
      <c r="Y65" t="inlineStr">
        <is>
          <t>Auto-enabled — no action required</t>
        </is>
      </c>
      <c r="Z65" t="inlineStr">
        <is>
          <t>N</t>
        </is>
      </c>
      <c r="AA65" t="inlineStr">
        <is>
          <t>N</t>
        </is>
      </c>
    </row>
    <row r="66">
      <c r="A66" t="inlineStr">
        <is>
          <t>ASMT_IMP_0041</t>
        </is>
      </c>
      <c r="B66" t="inlineStr">
        <is>
          <t>CLT_DFL001</t>
        </is>
      </c>
      <c r="C66" t="inlineStr">
        <is>
          <t>REL_26C</t>
        </is>
      </c>
      <c r="D66" t="inlineStr">
        <is>
          <t>CHG_IMP_0041</t>
        </is>
      </c>
      <c r="E66" t="inlineStr">
        <is>
          <t>Functional</t>
        </is>
      </c>
      <c r="F66" t="inlineStr">
        <is>
          <t>Configuration</t>
        </is>
      </c>
      <c r="G66" t="inlineStr"/>
      <c r="H66" t="inlineStr">
        <is>
          <t>DFL Financials impacted by Oracle 26C change</t>
        </is>
      </c>
      <c r="I66" t="inlineStr">
        <is>
          <t>Y</t>
        </is>
      </c>
      <c r="J66" t="inlineStr">
        <is>
          <t>N</t>
        </is>
      </c>
      <c r="K66" t="inlineStr">
        <is>
          <t>N</t>
        </is>
      </c>
      <c r="L66" t="inlineStr">
        <is>
          <t>N</t>
        </is>
      </c>
      <c r="M66" t="n">
        <v>5</v>
      </c>
      <c r="N66" t="n">
        <v>2</v>
      </c>
      <c r="O66" t="n">
        <v>5</v>
      </c>
      <c r="P66" t="n">
        <v>1</v>
      </c>
      <c r="Q66" t="n">
        <v>3</v>
      </c>
      <c r="R66">
        <f>IFERROR(XLOOKUP(XLOOKUP(D66,tblReleaseChanges[Change_ID],tblReleaseChanges[Oracle_Severity],""),tblSeverityMap[Severity_Text],tblSeverityMap[Score],0),0)</f>
        <v/>
      </c>
      <c r="S66" t="n">
        <v>4</v>
      </c>
      <c r="T66">
        <f>ROUND((M66*0.25)+(N66*0.20)+(O66*0.15)+(P66*0.15)+(Q66*0.10)+(R66*0.10)+(S66*0.05),2)</f>
        <v/>
      </c>
      <c r="U66">
        <f>IF(T66&gt;=4.25,"Critical",IF(T66&gt;=3.5,"High",IF(T66&gt;=2,"Medium","Low")))</f>
        <v/>
      </c>
      <c r="V66" t="inlineStr">
        <is>
          <t>Pending Review</t>
        </is>
      </c>
      <c r="W66" t="inlineStr"/>
      <c r="X66" t="inlineStr"/>
      <c r="Y66" t="inlineStr">
        <is>
          <t>Action type: Steps to Enable. Use the Opt In UI to enable this feature. For instructions, refer to the Optional Uptake of New Features section of this document. Offering: *Fin</t>
        </is>
      </c>
      <c r="Z66" t="inlineStr">
        <is>
          <t>Y</t>
        </is>
      </c>
      <c r="AA66" t="inlineStr">
        <is>
          <t>Y</t>
        </is>
      </c>
    </row>
    <row r="67">
      <c r="A67" t="inlineStr">
        <is>
          <t>ASMT_IMP_0042</t>
        </is>
      </c>
      <c r="B67" t="inlineStr">
        <is>
          <t>CLT_DFL001</t>
        </is>
      </c>
      <c r="C67" t="inlineStr">
        <is>
          <t>REL_26C</t>
        </is>
      </c>
      <c r="D67" t="inlineStr">
        <is>
          <t>CHG_IMP_0042</t>
        </is>
      </c>
      <c r="E67" t="inlineStr">
        <is>
          <t>Functional</t>
        </is>
      </c>
      <c r="F67" t="inlineStr">
        <is>
          <t>Configuration</t>
        </is>
      </c>
      <c r="G67" t="inlineStr"/>
      <c r="H67" t="inlineStr">
        <is>
          <t>DFL Financials impacted by Oracle 26C change</t>
        </is>
      </c>
      <c r="I67" t="inlineStr">
        <is>
          <t>Y</t>
        </is>
      </c>
      <c r="J67" t="inlineStr">
        <is>
          <t>N</t>
        </is>
      </c>
      <c r="K67" t="inlineStr">
        <is>
          <t>N</t>
        </is>
      </c>
      <c r="L67" t="inlineStr">
        <is>
          <t>N</t>
        </is>
      </c>
      <c r="M67" t="n">
        <v>5</v>
      </c>
      <c r="N67" t="n">
        <v>2</v>
      </c>
      <c r="O67" t="n">
        <v>5</v>
      </c>
      <c r="P67" t="n">
        <v>1</v>
      </c>
      <c r="Q67" t="n">
        <v>3</v>
      </c>
      <c r="R67">
        <f>IFERROR(XLOOKUP(XLOOKUP(D67,tblReleaseChanges[Change_ID],tblReleaseChanges[Oracle_Severity],""),tblSeverityMap[Severity_Text],tblSeverityMap[Score],0),0)</f>
        <v/>
      </c>
      <c r="S67" t="n">
        <v>4</v>
      </c>
      <c r="T67">
        <f>ROUND((M67*0.25)+(N67*0.20)+(O67*0.15)+(P67*0.15)+(Q67*0.10)+(R67*0.10)+(S67*0.05),2)</f>
        <v/>
      </c>
      <c r="U67">
        <f>IF(T67&gt;=4.25,"Critical",IF(T67&gt;=3.5,"High",IF(T67&gt;=2,"Medium","Low")))</f>
        <v/>
      </c>
      <c r="V67" t="inlineStr">
        <is>
          <t>Pending Review</t>
        </is>
      </c>
      <c r="W67" t="inlineStr"/>
      <c r="X67" t="inlineStr"/>
      <c r="Y67" t="inlineStr">
        <is>
          <t>Action type: Steps to Enable. After you enable the **Simplify Configuration and Processing for B2B Messaging** feature, perform the following high-level tasks: 1. Create an implementation project. 2.</t>
        </is>
      </c>
      <c r="Z67" t="inlineStr">
        <is>
          <t>Y</t>
        </is>
      </c>
      <c r="AA67" t="inlineStr">
        <is>
          <t>Y</t>
        </is>
      </c>
    </row>
    <row r="68">
      <c r="A68" t="inlineStr">
        <is>
          <t>ASMT_IMP_0043</t>
        </is>
      </c>
      <c r="B68" t="inlineStr">
        <is>
          <t>CLT_DFL001</t>
        </is>
      </c>
      <c r="C68" t="inlineStr">
        <is>
          <t>REL_26C</t>
        </is>
      </c>
      <c r="D68" t="inlineStr">
        <is>
          <t>CHG_IMP_0043</t>
        </is>
      </c>
      <c r="E68" t="inlineStr">
        <is>
          <t>Functional</t>
        </is>
      </c>
      <c r="F68" t="inlineStr">
        <is>
          <t>Configuration</t>
        </is>
      </c>
      <c r="G68" t="inlineStr"/>
      <c r="H68" t="inlineStr">
        <is>
          <t>DFL Financials impacted by Oracle 26C change</t>
        </is>
      </c>
      <c r="I68" t="inlineStr">
        <is>
          <t>Y</t>
        </is>
      </c>
      <c r="J68" t="inlineStr">
        <is>
          <t>N</t>
        </is>
      </c>
      <c r="K68" t="inlineStr">
        <is>
          <t>N</t>
        </is>
      </c>
      <c r="L68" t="inlineStr">
        <is>
          <t>N</t>
        </is>
      </c>
      <c r="M68" t="n">
        <v>5</v>
      </c>
      <c r="N68" t="n">
        <v>2</v>
      </c>
      <c r="O68" t="n">
        <v>5</v>
      </c>
      <c r="P68" t="n">
        <v>1</v>
      </c>
      <c r="Q68" t="n">
        <v>3</v>
      </c>
      <c r="R68">
        <f>IFERROR(XLOOKUP(XLOOKUP(D68,tblReleaseChanges[Change_ID],tblReleaseChanges[Oracle_Severity],""),tblSeverityMap[Severity_Text],tblSeverityMap[Score],0),0)</f>
        <v/>
      </c>
      <c r="S68" t="n">
        <v>4</v>
      </c>
      <c r="T68">
        <f>ROUND((M68*0.25)+(N68*0.20)+(O68*0.15)+(P68*0.15)+(Q68*0.10)+(R68*0.10)+(S68*0.05),2)</f>
        <v/>
      </c>
      <c r="U68">
        <f>IF(T68&gt;=4.25,"Critical",IF(T68&gt;=3.5,"High",IF(T68&gt;=2,"Medium","Low")))</f>
        <v/>
      </c>
      <c r="V68" t="inlineStr">
        <is>
          <t>Pending Review</t>
        </is>
      </c>
      <c r="W68" t="inlineStr"/>
      <c r="X68" t="inlineStr"/>
      <c r="Y68" t="inlineStr">
        <is>
          <t>Action type: Steps to Enable. Use the Opt In UI to enable this feature. For instructions, refer to the Optional Uptake of New Features section of this document. Offering: *Financ</t>
        </is>
      </c>
      <c r="Z68" t="inlineStr">
        <is>
          <t>Y</t>
        </is>
      </c>
      <c r="AA68" t="inlineStr">
        <is>
          <t>Y</t>
        </is>
      </c>
    </row>
    <row r="69">
      <c r="A69" t="inlineStr">
        <is>
          <t>ASMT_IMP_0044</t>
        </is>
      </c>
      <c r="B69" t="inlineStr">
        <is>
          <t>CLT_DFL001</t>
        </is>
      </c>
      <c r="C69" t="inlineStr">
        <is>
          <t>REL_26C</t>
        </is>
      </c>
      <c r="D69" t="inlineStr">
        <is>
          <t>CHG_IMP_0044</t>
        </is>
      </c>
      <c r="E69" t="inlineStr">
        <is>
          <t>Functional</t>
        </is>
      </c>
      <c r="F69" t="inlineStr">
        <is>
          <t>Configuration</t>
        </is>
      </c>
      <c r="G69" t="inlineStr"/>
      <c r="H69" t="inlineStr">
        <is>
          <t>DFL Financials impacted by Oracle 26C change</t>
        </is>
      </c>
      <c r="I69" t="inlineStr">
        <is>
          <t>Y</t>
        </is>
      </c>
      <c r="J69" t="inlineStr">
        <is>
          <t>N</t>
        </is>
      </c>
      <c r="K69" t="inlineStr">
        <is>
          <t>N</t>
        </is>
      </c>
      <c r="L69" t="inlineStr">
        <is>
          <t>N</t>
        </is>
      </c>
      <c r="M69" t="n">
        <v>5</v>
      </c>
      <c r="N69" t="n">
        <v>2</v>
      </c>
      <c r="O69" t="n">
        <v>5</v>
      </c>
      <c r="P69" t="n">
        <v>1</v>
      </c>
      <c r="Q69" t="n">
        <v>3</v>
      </c>
      <c r="R69">
        <f>IFERROR(XLOOKUP(XLOOKUP(D69,tblReleaseChanges[Change_ID],tblReleaseChanges[Oracle_Severity],""),tblSeverityMap[Severity_Text],tblSeverityMap[Score],0),0)</f>
        <v/>
      </c>
      <c r="S69" t="n">
        <v>4</v>
      </c>
      <c r="T69">
        <f>ROUND((M69*0.25)+(N69*0.20)+(O69*0.15)+(P69*0.15)+(Q69*0.10)+(R69*0.10)+(S69*0.05),2)</f>
        <v/>
      </c>
      <c r="U69">
        <f>IF(T69&gt;=4.25,"Critical",IF(T69&gt;=3.5,"High",IF(T69&gt;=2,"Medium","Low")))</f>
        <v/>
      </c>
      <c r="V69" t="inlineStr">
        <is>
          <t>Pending Review</t>
        </is>
      </c>
      <c r="W69" t="inlineStr"/>
      <c r="X69" t="inlineStr"/>
      <c r="Y69" t="inlineStr">
        <is>
          <t>Action type: Steps to Enable. You can access this functionality by enabling the feature **Simplify Configuration and Processing for B2B Messaging**. Perform the following high-level tasks to set up yo</t>
        </is>
      </c>
      <c r="Z69" t="inlineStr">
        <is>
          <t>Y</t>
        </is>
      </c>
      <c r="AA69" t="inlineStr">
        <is>
          <t>Y</t>
        </is>
      </c>
    </row>
    <row r="70">
      <c r="A70" t="inlineStr">
        <is>
          <t>ASMT_IMP_0045</t>
        </is>
      </c>
      <c r="B70" t="inlineStr">
        <is>
          <t>CLT_DFL001</t>
        </is>
      </c>
      <c r="C70" t="inlineStr">
        <is>
          <t>REL_26C</t>
        </is>
      </c>
      <c r="D70" t="inlineStr">
        <is>
          <t>CHG_IMP_0045</t>
        </is>
      </c>
      <c r="E70" t="inlineStr">
        <is>
          <t>Functional</t>
        </is>
      </c>
      <c r="F70" t="inlineStr">
        <is>
          <t>Configuration</t>
        </is>
      </c>
      <c r="G70" t="inlineStr"/>
      <c r="H70" t="inlineStr">
        <is>
          <t>DFL Project Management impacted by Oracle 26C change</t>
        </is>
      </c>
      <c r="I70" t="inlineStr">
        <is>
          <t>Y</t>
        </is>
      </c>
      <c r="J70" t="inlineStr">
        <is>
          <t>N</t>
        </is>
      </c>
      <c r="K70" t="inlineStr">
        <is>
          <t>N</t>
        </is>
      </c>
      <c r="L70" t="inlineStr">
        <is>
          <t>N</t>
        </is>
      </c>
      <c r="M70" t="n">
        <v>3</v>
      </c>
      <c r="N70" t="n">
        <v>2</v>
      </c>
      <c r="O70" t="n">
        <v>2</v>
      </c>
      <c r="P70" t="n">
        <v>1</v>
      </c>
      <c r="Q70" t="n">
        <v>3</v>
      </c>
      <c r="R70">
        <f>IFERROR(XLOOKUP(XLOOKUP(D70,tblReleaseChanges[Change_ID],tblReleaseChanges[Oracle_Severity],""),tblSeverityMap[Severity_Text],tblSeverityMap[Score],0),0)</f>
        <v/>
      </c>
      <c r="S70" t="n">
        <v>1</v>
      </c>
      <c r="T70">
        <f>ROUND((M70*0.25)+(N70*0.20)+(O70*0.15)+(P70*0.15)+(Q70*0.10)+(R70*0.10)+(S70*0.05),2)</f>
        <v/>
      </c>
      <c r="U70">
        <f>IF(T70&gt;=4.25,"Critical",IF(T70&gt;=3.5,"High",IF(T70&gt;=2,"Medium","Low")))</f>
        <v/>
      </c>
      <c r="V70" t="inlineStr">
        <is>
          <t>Pending Review</t>
        </is>
      </c>
      <c r="W70" t="inlineStr"/>
      <c r="X70" t="inlineStr"/>
      <c r="Y70" t="inlineStr">
        <is>
          <t>Auto-enabled — no action required</t>
        </is>
      </c>
      <c r="Z70" t="inlineStr">
        <is>
          <t>N</t>
        </is>
      </c>
      <c r="AA70" t="inlineStr">
        <is>
          <t>N</t>
        </is>
      </c>
    </row>
    <row r="71">
      <c r="A71" t="inlineStr">
        <is>
          <t>ASMT_IMP_0046</t>
        </is>
      </c>
      <c r="B71" t="inlineStr">
        <is>
          <t>CLT_DFL001</t>
        </is>
      </c>
      <c r="C71" t="inlineStr">
        <is>
          <t>REL_26C</t>
        </is>
      </c>
      <c r="D71" t="inlineStr">
        <is>
          <t>CHG_IMP_0046</t>
        </is>
      </c>
      <c r="E71" t="inlineStr">
        <is>
          <t>Functional</t>
        </is>
      </c>
      <c r="F71" t="inlineStr">
        <is>
          <t>Configuration</t>
        </is>
      </c>
      <c r="G71" t="inlineStr"/>
      <c r="H71" t="inlineStr">
        <is>
          <t>DFL Project Management impacted by Oracle 26C change</t>
        </is>
      </c>
      <c r="I71" t="inlineStr">
        <is>
          <t>Y</t>
        </is>
      </c>
      <c r="J71" t="inlineStr">
        <is>
          <t>N</t>
        </is>
      </c>
      <c r="K71" t="inlineStr">
        <is>
          <t>N</t>
        </is>
      </c>
      <c r="L71" t="inlineStr">
        <is>
          <t>N</t>
        </is>
      </c>
      <c r="M71" t="n">
        <v>3</v>
      </c>
      <c r="N71" t="n">
        <v>2</v>
      </c>
      <c r="O71" t="n">
        <v>2</v>
      </c>
      <c r="P71" t="n">
        <v>1</v>
      </c>
      <c r="Q71" t="n">
        <v>3</v>
      </c>
      <c r="R71">
        <f>IFERROR(XLOOKUP(XLOOKUP(D71,tblReleaseChanges[Change_ID],tblReleaseChanges[Oracle_Severity],""),tblSeverityMap[Severity_Text],tblSeverityMap[Score],0),0)</f>
        <v/>
      </c>
      <c r="S71" t="n">
        <v>2</v>
      </c>
      <c r="T71">
        <f>ROUND((M71*0.25)+(N71*0.20)+(O71*0.15)+(P71*0.15)+(Q71*0.10)+(R71*0.10)+(S71*0.05),2)</f>
        <v/>
      </c>
      <c r="U71">
        <f>IF(T71&gt;=4.25,"Critical",IF(T71&gt;=3.5,"High",IF(T71&gt;=2,"Medium","Low")))</f>
        <v/>
      </c>
      <c r="V71" t="inlineStr">
        <is>
          <t>Pending Review</t>
        </is>
      </c>
      <c r="W71" t="inlineStr"/>
      <c r="X71" t="inlineStr"/>
      <c r="Y71" t="inlineStr">
        <is>
          <t xml:space="preserve">Action type: Steps to Enable. 1. Use the Opt In UI to enable the Redwood: Extract Application Data from a Read-Only Data Store Using a Redwood Page feature under Financials Offering. • Make sure that </t>
        </is>
      </c>
      <c r="Z71" t="inlineStr">
        <is>
          <t>Y</t>
        </is>
      </c>
      <c r="AA71" t="inlineStr">
        <is>
          <t>N</t>
        </is>
      </c>
    </row>
    <row r="72">
      <c r="A72" t="inlineStr">
        <is>
          <t>ASMT_IMP_0047</t>
        </is>
      </c>
      <c r="B72" t="inlineStr">
        <is>
          <t>CLT_DFL001</t>
        </is>
      </c>
      <c r="C72" t="inlineStr">
        <is>
          <t>REL_26C</t>
        </is>
      </c>
      <c r="D72" t="inlineStr">
        <is>
          <t>CHG_IMP_0047</t>
        </is>
      </c>
      <c r="E72" t="inlineStr">
        <is>
          <t>Functional</t>
        </is>
      </c>
      <c r="F72" t="inlineStr">
        <is>
          <t>Configuration</t>
        </is>
      </c>
      <c r="G72" t="inlineStr"/>
      <c r="H72" t="inlineStr">
        <is>
          <t>DFL Project Management impacted by Oracle 26C change</t>
        </is>
      </c>
      <c r="I72" t="inlineStr">
        <is>
          <t>Y</t>
        </is>
      </c>
      <c r="J72" t="inlineStr">
        <is>
          <t>N</t>
        </is>
      </c>
      <c r="K72" t="inlineStr">
        <is>
          <t>N</t>
        </is>
      </c>
      <c r="L72" t="inlineStr">
        <is>
          <t>N</t>
        </is>
      </c>
      <c r="M72" t="n">
        <v>3</v>
      </c>
      <c r="N72" t="n">
        <v>2</v>
      </c>
      <c r="O72" t="n">
        <v>2</v>
      </c>
      <c r="P72" t="n">
        <v>1</v>
      </c>
      <c r="Q72" t="n">
        <v>3</v>
      </c>
      <c r="R72">
        <f>IFERROR(XLOOKUP(XLOOKUP(D72,tblReleaseChanges[Change_ID],tblReleaseChanges[Oracle_Severity],""),tblSeverityMap[Severity_Text],tblSeverityMap[Score],0),0)</f>
        <v/>
      </c>
      <c r="S72" t="n">
        <v>1</v>
      </c>
      <c r="T72">
        <f>ROUND((M72*0.25)+(N72*0.20)+(O72*0.15)+(P72*0.15)+(Q72*0.10)+(R72*0.10)+(S72*0.05),2)</f>
        <v/>
      </c>
      <c r="U72">
        <f>IF(T72&gt;=4.25,"Critical",IF(T72&gt;=3.5,"High",IF(T72&gt;=2,"Medium","Low")))</f>
        <v/>
      </c>
      <c r="V72" t="inlineStr">
        <is>
          <t>Pending Review</t>
        </is>
      </c>
      <c r="W72" t="inlineStr"/>
      <c r="X72" t="inlineStr"/>
      <c r="Y72" t="inlineStr">
        <is>
          <t>Auto-enabled — no action required</t>
        </is>
      </c>
      <c r="Z72" t="inlineStr">
        <is>
          <t>N</t>
        </is>
      </c>
      <c r="AA72" t="inlineStr">
        <is>
          <t>N</t>
        </is>
      </c>
    </row>
    <row r="73">
      <c r="A73" t="inlineStr">
        <is>
          <t>ASMT_IMP_0048</t>
        </is>
      </c>
      <c r="B73" t="inlineStr">
        <is>
          <t>CLT_DFL001</t>
        </is>
      </c>
      <c r="C73" t="inlineStr">
        <is>
          <t>REL_26C</t>
        </is>
      </c>
      <c r="D73" t="inlineStr">
        <is>
          <t>CHG_IMP_0048</t>
        </is>
      </c>
      <c r="E73" t="inlineStr">
        <is>
          <t>Functional</t>
        </is>
      </c>
      <c r="F73" t="inlineStr">
        <is>
          <t>Configuration</t>
        </is>
      </c>
      <c r="G73" t="inlineStr"/>
      <c r="H73" t="inlineStr">
        <is>
          <t>DFL Project Management impacted by Oracle 26C change</t>
        </is>
      </c>
      <c r="I73" t="inlineStr">
        <is>
          <t>Y</t>
        </is>
      </c>
      <c r="J73" t="inlineStr">
        <is>
          <t>N</t>
        </is>
      </c>
      <c r="K73" t="inlineStr">
        <is>
          <t>N</t>
        </is>
      </c>
      <c r="L73" t="inlineStr">
        <is>
          <t>N</t>
        </is>
      </c>
      <c r="M73" t="n">
        <v>3</v>
      </c>
      <c r="N73" t="n">
        <v>2</v>
      </c>
      <c r="O73" t="n">
        <v>2</v>
      </c>
      <c r="P73" t="n">
        <v>1</v>
      </c>
      <c r="Q73" t="n">
        <v>3</v>
      </c>
      <c r="R73">
        <f>IFERROR(XLOOKUP(XLOOKUP(D73,tblReleaseChanges[Change_ID],tblReleaseChanges[Oracle_Severity],""),tblSeverityMap[Severity_Text],tblSeverityMap[Score],0),0)</f>
        <v/>
      </c>
      <c r="S73" t="n">
        <v>1</v>
      </c>
      <c r="T73">
        <f>ROUND((M73*0.25)+(N73*0.20)+(O73*0.15)+(P73*0.15)+(Q73*0.10)+(R73*0.10)+(S73*0.05),2)</f>
        <v/>
      </c>
      <c r="U73">
        <f>IF(T73&gt;=4.25,"Critical",IF(T73&gt;=3.5,"High",IF(T73&gt;=2,"Medium","Low")))</f>
        <v/>
      </c>
      <c r="V73" t="inlineStr">
        <is>
          <t>Pending Review</t>
        </is>
      </c>
      <c r="W73" t="inlineStr"/>
      <c r="X73" t="inlineStr"/>
      <c r="Y73" t="inlineStr">
        <is>
          <t>Auto-enabled — no action required</t>
        </is>
      </c>
      <c r="Z73" t="inlineStr">
        <is>
          <t>N</t>
        </is>
      </c>
      <c r="AA73" t="inlineStr">
        <is>
          <t>N</t>
        </is>
      </c>
    </row>
    <row r="74">
      <c r="A74" t="inlineStr">
        <is>
          <t>ASMT_IMP_0049</t>
        </is>
      </c>
      <c r="B74" t="inlineStr">
        <is>
          <t>CLT_DFL001</t>
        </is>
      </c>
      <c r="C74" t="inlineStr">
        <is>
          <t>REL_26C</t>
        </is>
      </c>
      <c r="D74" t="inlineStr">
        <is>
          <t>CHG_IMP_0049</t>
        </is>
      </c>
      <c r="E74" t="inlineStr">
        <is>
          <t>Functional</t>
        </is>
      </c>
      <c r="F74" t="inlineStr">
        <is>
          <t>Configuration</t>
        </is>
      </c>
      <c r="G74" t="inlineStr"/>
      <c r="H74" t="inlineStr">
        <is>
          <t>DFL Project Management impacted by Oracle 26C change</t>
        </is>
      </c>
      <c r="I74" t="inlineStr">
        <is>
          <t>Y</t>
        </is>
      </c>
      <c r="J74" t="inlineStr">
        <is>
          <t>N</t>
        </is>
      </c>
      <c r="K74" t="inlineStr">
        <is>
          <t>N</t>
        </is>
      </c>
      <c r="L74" t="inlineStr">
        <is>
          <t>N</t>
        </is>
      </c>
      <c r="M74" t="n">
        <v>3</v>
      </c>
      <c r="N74" t="n">
        <v>2</v>
      </c>
      <c r="O74" t="n">
        <v>2</v>
      </c>
      <c r="P74" t="n">
        <v>1</v>
      </c>
      <c r="Q74" t="n">
        <v>3</v>
      </c>
      <c r="R74">
        <f>IFERROR(XLOOKUP(XLOOKUP(D74,tblReleaseChanges[Change_ID],tblReleaseChanges[Oracle_Severity],""),tblSeverityMap[Severity_Text],tblSeverityMap[Score],0),0)</f>
        <v/>
      </c>
      <c r="S74" t="n">
        <v>2</v>
      </c>
      <c r="T74">
        <f>ROUND((M74*0.25)+(N74*0.20)+(O74*0.15)+(P74*0.15)+(Q74*0.10)+(R74*0.10)+(S74*0.05),2)</f>
        <v/>
      </c>
      <c r="U74">
        <f>IF(T74&gt;=4.25,"Critical",IF(T74&gt;=3.5,"High",IF(T74&gt;=2,"Medium","Low")))</f>
        <v/>
      </c>
      <c r="V74" t="inlineStr">
        <is>
          <t>Pending Review</t>
        </is>
      </c>
      <c r="W74" t="inlineStr"/>
      <c r="X74" t="inlineStr"/>
      <c r="Y74" t="inlineStr">
        <is>
          <t>Action type: Steps to Enable. Two new contract line validations have been added to the **Manage Contract Validations** setup page; one to validate entry of ship-to acc</t>
        </is>
      </c>
      <c r="Z74" t="inlineStr">
        <is>
          <t>Y</t>
        </is>
      </c>
      <c r="AA74" t="inlineStr">
        <is>
          <t>N</t>
        </is>
      </c>
    </row>
    <row r="75">
      <c r="A75" t="inlineStr">
        <is>
          <t>ASMT_IMP_0050</t>
        </is>
      </c>
      <c r="B75" t="inlineStr">
        <is>
          <t>CLT_DFL001</t>
        </is>
      </c>
      <c r="C75" t="inlineStr">
        <is>
          <t>REL_26C</t>
        </is>
      </c>
      <c r="D75" t="inlineStr">
        <is>
          <t>CHG_IMP_0050</t>
        </is>
      </c>
      <c r="E75" t="inlineStr">
        <is>
          <t>AI Feature</t>
        </is>
      </c>
      <c r="F75" t="inlineStr">
        <is>
          <t>Configuration</t>
        </is>
      </c>
      <c r="G75" t="inlineStr"/>
      <c r="H75" t="inlineStr">
        <is>
          <t>DFL Project Management impacted by Oracle 26C change</t>
        </is>
      </c>
      <c r="I75" t="inlineStr">
        <is>
          <t>Y</t>
        </is>
      </c>
      <c r="J75" t="inlineStr">
        <is>
          <t>N</t>
        </is>
      </c>
      <c r="K75" t="inlineStr">
        <is>
          <t>N</t>
        </is>
      </c>
      <c r="L75" t="inlineStr">
        <is>
          <t>N</t>
        </is>
      </c>
      <c r="M75" t="n">
        <v>3</v>
      </c>
      <c r="N75" t="n">
        <v>2</v>
      </c>
      <c r="O75" t="n">
        <v>2</v>
      </c>
      <c r="P75" t="n">
        <v>3</v>
      </c>
      <c r="Q75" t="n">
        <v>3</v>
      </c>
      <c r="R75">
        <f>IFERROR(XLOOKUP(XLOOKUP(D75,tblReleaseChanges[Change_ID],tblReleaseChanges[Oracle_Severity],""),tblSeverityMap[Severity_Text],tblSeverityMap[Score],0),0)</f>
        <v/>
      </c>
      <c r="S75" t="n">
        <v>2</v>
      </c>
      <c r="T75">
        <f>ROUND((M75*0.25)+(N75*0.20)+(O75*0.15)+(P75*0.15)+(Q75*0.10)+(R75*0.10)+(S75*0.05),2)</f>
        <v/>
      </c>
      <c r="U75">
        <f>IF(T75&gt;=4.25,"Critical",IF(T75&gt;=3.5,"High",IF(T75&gt;=2,"Medium","Low")))</f>
        <v/>
      </c>
      <c r="V75" t="inlineStr">
        <is>
          <t>Pending Review</t>
        </is>
      </c>
      <c r="W75" t="inlineStr"/>
      <c r="X75" t="inlineStr"/>
      <c r="Y75" t="inlineStr">
        <is>
          <t>Action type: Steps to Enable. Use the Opt In UI to enable this feature. For instructions, refer to the Optional Uptake of New Features section of this document. Offering: *Project Financial Management</t>
        </is>
      </c>
      <c r="Z75" t="inlineStr">
        <is>
          <t>Y</t>
        </is>
      </c>
      <c r="AA75" t="inlineStr">
        <is>
          <t>N</t>
        </is>
      </c>
    </row>
    <row r="76">
      <c r="A76" t="inlineStr">
        <is>
          <t>ASMT_IMP_0051</t>
        </is>
      </c>
      <c r="B76" t="inlineStr">
        <is>
          <t>CLT_DFL001</t>
        </is>
      </c>
      <c r="C76" t="inlineStr">
        <is>
          <t>REL_26C</t>
        </is>
      </c>
      <c r="D76" t="inlineStr">
        <is>
          <t>CHG_IMP_0051</t>
        </is>
      </c>
      <c r="E76" t="inlineStr">
        <is>
          <t>AI Feature</t>
        </is>
      </c>
      <c r="F76" t="inlineStr">
        <is>
          <t>Configuration</t>
        </is>
      </c>
      <c r="G76" t="inlineStr"/>
      <c r="H76" t="inlineStr">
        <is>
          <t>DFL Project Management impacted by Oracle 26C change</t>
        </is>
      </c>
      <c r="I76" t="inlineStr">
        <is>
          <t>Y</t>
        </is>
      </c>
      <c r="J76" t="inlineStr">
        <is>
          <t>N</t>
        </is>
      </c>
      <c r="K76" t="inlineStr">
        <is>
          <t>N</t>
        </is>
      </c>
      <c r="L76" t="inlineStr">
        <is>
          <t>N</t>
        </is>
      </c>
      <c r="M76" t="n">
        <v>3</v>
      </c>
      <c r="N76" t="n">
        <v>2</v>
      </c>
      <c r="O76" t="n">
        <v>2</v>
      </c>
      <c r="P76" t="n">
        <v>3</v>
      </c>
      <c r="Q76" t="n">
        <v>3</v>
      </c>
      <c r="R76">
        <f>IFERROR(XLOOKUP(XLOOKUP(D76,tblReleaseChanges[Change_ID],tblReleaseChanges[Oracle_Severity],""),tblSeverityMap[Severity_Text],tblSeverityMap[Score],0),0)</f>
        <v/>
      </c>
      <c r="S76" t="n">
        <v>2</v>
      </c>
      <c r="T76">
        <f>ROUND((M76*0.25)+(N76*0.20)+(O76*0.15)+(P76*0.15)+(Q76*0.10)+(R76*0.10)+(S76*0.05),2)</f>
        <v/>
      </c>
      <c r="U76">
        <f>IF(T76&gt;=4.25,"Critical",IF(T76&gt;=3.5,"High",IF(T76&gt;=2,"Medium","Low")))</f>
        <v/>
      </c>
      <c r="V76" t="inlineStr">
        <is>
          <t>Pending Review</t>
        </is>
      </c>
      <c r="W76" t="inlineStr"/>
      <c r="X76" t="inlineStr"/>
      <c r="Y76" t="inlineStr">
        <is>
          <t>Action type: Steps to Enable. Use the Opt In UI to enable this feature. For instructions, refer to the Optional Uptake of New Features section of this document. Offering: *Project Financial Management</t>
        </is>
      </c>
      <c r="Z76" t="inlineStr">
        <is>
          <t>Y</t>
        </is>
      </c>
      <c r="AA76" t="inlineStr">
        <is>
          <t>N</t>
        </is>
      </c>
    </row>
    <row r="77">
      <c r="A77" t="inlineStr">
        <is>
          <t>ASMT_IMP_0052</t>
        </is>
      </c>
      <c r="B77" t="inlineStr">
        <is>
          <t>CLT_DFL001</t>
        </is>
      </c>
      <c r="C77" t="inlineStr">
        <is>
          <t>REL_26C</t>
        </is>
      </c>
      <c r="D77" t="inlineStr">
        <is>
          <t>CHG_IMP_0052</t>
        </is>
      </c>
      <c r="E77" t="inlineStr">
        <is>
          <t>Functional</t>
        </is>
      </c>
      <c r="F77" t="inlineStr">
        <is>
          <t>Configuration</t>
        </is>
      </c>
      <c r="G77" t="inlineStr"/>
      <c r="H77" t="inlineStr">
        <is>
          <t>DFL Project Management impacted by Oracle 26C change</t>
        </is>
      </c>
      <c r="I77" t="inlineStr">
        <is>
          <t>Y</t>
        </is>
      </c>
      <c r="J77" t="inlineStr">
        <is>
          <t>N</t>
        </is>
      </c>
      <c r="K77" t="inlineStr">
        <is>
          <t>N</t>
        </is>
      </c>
      <c r="L77" t="inlineStr">
        <is>
          <t>N</t>
        </is>
      </c>
      <c r="M77" t="n">
        <v>3</v>
      </c>
      <c r="N77" t="n">
        <v>2</v>
      </c>
      <c r="O77" t="n">
        <v>2</v>
      </c>
      <c r="P77" t="n">
        <v>1</v>
      </c>
      <c r="Q77" t="n">
        <v>3</v>
      </c>
      <c r="R77">
        <f>IFERROR(XLOOKUP(XLOOKUP(D77,tblReleaseChanges[Change_ID],tblReleaseChanges[Oracle_Severity],""),tblSeverityMap[Severity_Text],tblSeverityMap[Score],0),0)</f>
        <v/>
      </c>
      <c r="S77" t="n">
        <v>2</v>
      </c>
      <c r="T77">
        <f>ROUND((M77*0.25)+(N77*0.20)+(O77*0.15)+(P77*0.15)+(Q77*0.10)+(R77*0.10)+(S77*0.05),2)</f>
        <v/>
      </c>
      <c r="U77">
        <f>IF(T77&gt;=4.25,"Critical",IF(T77&gt;=3.5,"High",IF(T77&gt;=2,"Medium","Low")))</f>
        <v/>
      </c>
      <c r="V77" t="inlineStr">
        <is>
          <t>Pending Review</t>
        </is>
      </c>
      <c r="W77" t="inlineStr"/>
      <c r="X77" t="inlineStr"/>
      <c r="Y77" t="inlineStr">
        <is>
          <t xml:space="preserve">Action type: Steps to Enable. **Project Billing and Revenue Event Creation Assistant**role is needed to use the assistant within the AI Agent Studio. Refer to the Access Requirements section for </t>
        </is>
      </c>
      <c r="Z77" t="inlineStr">
        <is>
          <t>Y</t>
        </is>
      </c>
      <c r="AA77" t="inlineStr">
        <is>
          <t>N</t>
        </is>
      </c>
    </row>
    <row r="78">
      <c r="A78" t="inlineStr">
        <is>
          <t>ASMT_IMP_0053</t>
        </is>
      </c>
      <c r="B78" t="inlineStr">
        <is>
          <t>CLT_DFL001</t>
        </is>
      </c>
      <c r="C78" t="inlineStr">
        <is>
          <t>REL_26C</t>
        </is>
      </c>
      <c r="D78" t="inlineStr">
        <is>
          <t>CHG_IMP_0053</t>
        </is>
      </c>
      <c r="E78" t="inlineStr">
        <is>
          <t>Functional</t>
        </is>
      </c>
      <c r="F78" t="inlineStr">
        <is>
          <t>Configuration</t>
        </is>
      </c>
      <c r="G78" t="inlineStr"/>
      <c r="H78" t="inlineStr">
        <is>
          <t>DFL Project Management impacted by Oracle 26C change</t>
        </is>
      </c>
      <c r="I78" t="inlineStr">
        <is>
          <t>Y</t>
        </is>
      </c>
      <c r="J78" t="inlineStr">
        <is>
          <t>N</t>
        </is>
      </c>
      <c r="K78" t="inlineStr">
        <is>
          <t>N</t>
        </is>
      </c>
      <c r="L78" t="inlineStr">
        <is>
          <t>N</t>
        </is>
      </c>
      <c r="M78" t="n">
        <v>3</v>
      </c>
      <c r="N78" t="n">
        <v>2</v>
      </c>
      <c r="O78" t="n">
        <v>2</v>
      </c>
      <c r="P78" t="n">
        <v>1</v>
      </c>
      <c r="Q78" t="n">
        <v>3</v>
      </c>
      <c r="R78">
        <f>IFERROR(XLOOKUP(XLOOKUP(D78,tblReleaseChanges[Change_ID],tblReleaseChanges[Oracle_Severity],""),tblSeverityMap[Severity_Text],tblSeverityMap[Score],0),0)</f>
        <v/>
      </c>
      <c r="S78" t="n">
        <v>2</v>
      </c>
      <c r="T78">
        <f>ROUND((M78*0.25)+(N78*0.20)+(O78*0.15)+(P78*0.15)+(Q78*0.10)+(R78*0.10)+(S78*0.05),2)</f>
        <v/>
      </c>
      <c r="U78">
        <f>IF(T78&gt;=4.25,"Critical",IF(T78&gt;=3.5,"High",IF(T78&gt;=2,"Medium","Low")))</f>
        <v/>
      </c>
      <c r="V78" t="inlineStr">
        <is>
          <t>Pending Review</t>
        </is>
      </c>
      <c r="W78" t="inlineStr"/>
      <c r="X78" t="inlineStr"/>
      <c r="Y78" t="inlineStr">
        <is>
          <t>Action type: Steps to Enable. **Project Capitalization Analyst**role is needed to use the assistant within the AI Agent Studio. Refer to the Access Requirements section for details.</t>
        </is>
      </c>
      <c r="Z78" t="inlineStr">
        <is>
          <t>Y</t>
        </is>
      </c>
      <c r="AA78" t="inlineStr">
        <is>
          <t>N</t>
        </is>
      </c>
    </row>
    <row r="79">
      <c r="A79" t="inlineStr">
        <is>
          <t>ASMT_IMP_0054</t>
        </is>
      </c>
      <c r="B79" t="inlineStr">
        <is>
          <t>CLT_DFL001</t>
        </is>
      </c>
      <c r="C79" t="inlineStr">
        <is>
          <t>REL_26C</t>
        </is>
      </c>
      <c r="D79" t="inlineStr">
        <is>
          <t>CHG_IMP_0054</t>
        </is>
      </c>
      <c r="E79" t="inlineStr">
        <is>
          <t>AI Feature</t>
        </is>
      </c>
      <c r="F79" t="inlineStr">
        <is>
          <t>Configuration</t>
        </is>
      </c>
      <c r="G79" t="inlineStr"/>
      <c r="H79" t="inlineStr">
        <is>
          <t>DFL Project Management impacted by Oracle 26C change</t>
        </is>
      </c>
      <c r="I79" t="inlineStr">
        <is>
          <t>Y</t>
        </is>
      </c>
      <c r="J79" t="inlineStr">
        <is>
          <t>N</t>
        </is>
      </c>
      <c r="K79" t="inlineStr">
        <is>
          <t>N</t>
        </is>
      </c>
      <c r="L79" t="inlineStr">
        <is>
          <t>N</t>
        </is>
      </c>
      <c r="M79" t="n">
        <v>3</v>
      </c>
      <c r="N79" t="n">
        <v>2</v>
      </c>
      <c r="O79" t="n">
        <v>2</v>
      </c>
      <c r="P79" t="n">
        <v>3</v>
      </c>
      <c r="Q79" t="n">
        <v>3</v>
      </c>
      <c r="R79">
        <f>IFERROR(XLOOKUP(XLOOKUP(D79,tblReleaseChanges[Change_ID],tblReleaseChanges[Oracle_Severity],""),tblSeverityMap[Severity_Text],tblSeverityMap[Score],0),0)</f>
        <v/>
      </c>
      <c r="S79" t="n">
        <v>2</v>
      </c>
      <c r="T79">
        <f>ROUND((M79*0.25)+(N79*0.20)+(O79*0.15)+(P79*0.15)+(Q79*0.10)+(R79*0.10)+(S79*0.05),2)</f>
        <v/>
      </c>
      <c r="U79">
        <f>IF(T79&gt;=4.25,"Critical",IF(T79&gt;=3.5,"High",IF(T79&gt;=2,"Medium","Low")))</f>
        <v/>
      </c>
      <c r="V79" t="inlineStr">
        <is>
          <t>Pending Review</t>
        </is>
      </c>
      <c r="W79" t="inlineStr"/>
      <c r="X79" t="inlineStr"/>
      <c r="Y79" t="inlineStr">
        <is>
          <t>Action type: Steps to Enable. Use the Opt In UI to enable this feature. For instructions, refer to the Optional Uptake of New Features section of this document. Offering: *Project Execution Management</t>
        </is>
      </c>
      <c r="Z79" t="inlineStr">
        <is>
          <t>Y</t>
        </is>
      </c>
      <c r="AA79" t="inlineStr">
        <is>
          <t>N</t>
        </is>
      </c>
    </row>
    <row r="80">
      <c r="A80" t="inlineStr">
        <is>
          <t>ASMT_IMP_0055</t>
        </is>
      </c>
      <c r="B80" t="inlineStr">
        <is>
          <t>CLT_DFL001</t>
        </is>
      </c>
      <c r="C80" t="inlineStr">
        <is>
          <t>REL_26C</t>
        </is>
      </c>
      <c r="D80" t="inlineStr">
        <is>
          <t>CHG_IMP_0055</t>
        </is>
      </c>
      <c r="E80" t="inlineStr">
        <is>
          <t>Functional</t>
        </is>
      </c>
      <c r="F80" t="inlineStr">
        <is>
          <t>Configuration</t>
        </is>
      </c>
      <c r="G80" t="inlineStr"/>
      <c r="H80" t="inlineStr">
        <is>
          <t>DFL Project Management impacted by Oracle 26C change</t>
        </is>
      </c>
      <c r="I80" t="inlineStr">
        <is>
          <t>Y</t>
        </is>
      </c>
      <c r="J80" t="inlineStr">
        <is>
          <t>N</t>
        </is>
      </c>
      <c r="K80" t="inlineStr">
        <is>
          <t>N</t>
        </is>
      </c>
      <c r="L80" t="inlineStr">
        <is>
          <t>N</t>
        </is>
      </c>
      <c r="M80" t="n">
        <v>3</v>
      </c>
      <c r="N80" t="n">
        <v>2</v>
      </c>
      <c r="O80" t="n">
        <v>2</v>
      </c>
      <c r="P80" t="n">
        <v>1</v>
      </c>
      <c r="Q80" t="n">
        <v>3</v>
      </c>
      <c r="R80">
        <f>IFERROR(XLOOKUP(XLOOKUP(D80,tblReleaseChanges[Change_ID],tblReleaseChanges[Oracle_Severity],""),tblSeverityMap[Severity_Text],tblSeverityMap[Score],0),0)</f>
        <v/>
      </c>
      <c r="S80" t="n">
        <v>2</v>
      </c>
      <c r="T80">
        <f>ROUND((M80*0.25)+(N80*0.20)+(O80*0.15)+(P80*0.15)+(Q80*0.10)+(R80*0.10)+(S80*0.05),2)</f>
        <v/>
      </c>
      <c r="U80">
        <f>IF(T80&gt;=4.25,"Critical",IF(T80&gt;=3.5,"High",IF(T80&gt;=2,"Medium","Low")))</f>
        <v/>
      </c>
      <c r="V80" t="inlineStr">
        <is>
          <t>Pending Review</t>
        </is>
      </c>
      <c r="W80" t="inlineStr"/>
      <c r="X80" t="inlineStr"/>
      <c r="Y80" t="inlineStr">
        <is>
          <t>Action type: Steps to Enable. Use the Opt In UI to enable this feature. For instructions, refer to the Optional Uptake of New Features section of this document. Offering: *Project Execution Management</t>
        </is>
      </c>
      <c r="Z80" t="inlineStr">
        <is>
          <t>Y</t>
        </is>
      </c>
      <c r="AA80" t="inlineStr">
        <is>
          <t>N</t>
        </is>
      </c>
    </row>
    <row r="81">
      <c r="A81" t="inlineStr">
        <is>
          <t>ASMT_IMP_0056</t>
        </is>
      </c>
      <c r="B81" t="inlineStr">
        <is>
          <t>CLT_DFL001</t>
        </is>
      </c>
      <c r="C81" t="inlineStr">
        <is>
          <t>REL_26C</t>
        </is>
      </c>
      <c r="D81" t="inlineStr">
        <is>
          <t>CHG_IMP_0056</t>
        </is>
      </c>
      <c r="E81" t="inlineStr">
        <is>
          <t>Functional</t>
        </is>
      </c>
      <c r="F81" t="inlineStr">
        <is>
          <t>Configuration</t>
        </is>
      </c>
      <c r="G81" t="inlineStr"/>
      <c r="H81" t="inlineStr">
        <is>
          <t>DFL Project Management impacted by Oracle 26C change</t>
        </is>
      </c>
      <c r="I81" t="inlineStr">
        <is>
          <t>Y</t>
        </is>
      </c>
      <c r="J81" t="inlineStr">
        <is>
          <t>N</t>
        </is>
      </c>
      <c r="K81" t="inlineStr">
        <is>
          <t>N</t>
        </is>
      </c>
      <c r="L81" t="inlineStr">
        <is>
          <t>N</t>
        </is>
      </c>
      <c r="M81" t="n">
        <v>3</v>
      </c>
      <c r="N81" t="n">
        <v>2</v>
      </c>
      <c r="O81" t="n">
        <v>2</v>
      </c>
      <c r="P81" t="n">
        <v>1</v>
      </c>
      <c r="Q81" t="n">
        <v>3</v>
      </c>
      <c r="R81">
        <f>IFERROR(XLOOKUP(XLOOKUP(D81,tblReleaseChanges[Change_ID],tblReleaseChanges[Oracle_Severity],""),tblSeverityMap[Severity_Text],tblSeverityMap[Score],0),0)</f>
        <v/>
      </c>
      <c r="S81" t="n">
        <v>2</v>
      </c>
      <c r="T81">
        <f>ROUND((M81*0.25)+(N81*0.20)+(O81*0.15)+(P81*0.15)+(Q81*0.10)+(R81*0.10)+(S81*0.05),2)</f>
        <v/>
      </c>
      <c r="U81">
        <f>IF(T81&gt;=4.25,"Critical",IF(T81&gt;=3.5,"High",IF(T81&gt;=2,"Medium","Low")))</f>
        <v/>
      </c>
      <c r="V81" t="inlineStr">
        <is>
          <t>Pending Review</t>
        </is>
      </c>
      <c r="W81" t="inlineStr"/>
      <c r="X81" t="inlineStr"/>
      <c r="Y81" t="inlineStr">
        <is>
          <t>Action type: Steps to Enable. **Project Contract Bill Transactions Assistant**role is needed to use the assistant within the AI Agent Studio. Refer to the Access Requirements section for details.</t>
        </is>
      </c>
      <c r="Z81" t="inlineStr">
        <is>
          <t>Y</t>
        </is>
      </c>
      <c r="AA81" t="inlineStr">
        <is>
          <t>N</t>
        </is>
      </c>
    </row>
    <row r="82">
      <c r="A82" t="inlineStr">
        <is>
          <t>ASMT_IMP_0057</t>
        </is>
      </c>
      <c r="B82" t="inlineStr">
        <is>
          <t>CLT_DFL001</t>
        </is>
      </c>
      <c r="C82" t="inlineStr">
        <is>
          <t>REL_26C</t>
        </is>
      </c>
      <c r="D82" t="inlineStr">
        <is>
          <t>CHG_IMP_0057</t>
        </is>
      </c>
      <c r="E82" t="inlineStr">
        <is>
          <t>Functional</t>
        </is>
      </c>
      <c r="F82" t="inlineStr">
        <is>
          <t>Configuration</t>
        </is>
      </c>
      <c r="G82" t="inlineStr"/>
      <c r="H82" t="inlineStr">
        <is>
          <t>DFL Project Management impacted by Oracle 26C change</t>
        </is>
      </c>
      <c r="I82" t="inlineStr">
        <is>
          <t>Y</t>
        </is>
      </c>
      <c r="J82" t="inlineStr">
        <is>
          <t>N</t>
        </is>
      </c>
      <c r="K82" t="inlineStr">
        <is>
          <t>N</t>
        </is>
      </c>
      <c r="L82" t="inlineStr">
        <is>
          <t>N</t>
        </is>
      </c>
      <c r="M82" t="n">
        <v>3</v>
      </c>
      <c r="N82" t="n">
        <v>2</v>
      </c>
      <c r="O82" t="n">
        <v>2</v>
      </c>
      <c r="P82" t="n">
        <v>1</v>
      </c>
      <c r="Q82" t="n">
        <v>3</v>
      </c>
      <c r="R82">
        <f>IFERROR(XLOOKUP(XLOOKUP(D82,tblReleaseChanges[Change_ID],tblReleaseChanges[Oracle_Severity],""),tblSeverityMap[Severity_Text],tblSeverityMap[Score],0),0)</f>
        <v/>
      </c>
      <c r="S82" t="n">
        <v>2</v>
      </c>
      <c r="T82">
        <f>ROUND((M82*0.25)+(N82*0.20)+(O82*0.15)+(P82*0.15)+(Q82*0.10)+(R82*0.10)+(S82*0.05),2)</f>
        <v/>
      </c>
      <c r="U82">
        <f>IF(T82&gt;=4.25,"Critical",IF(T82&gt;=3.5,"High",IF(T82&gt;=2,"Medium","Low")))</f>
        <v/>
      </c>
      <c r="V82" t="inlineStr">
        <is>
          <t>Pending Review</t>
        </is>
      </c>
      <c r="W82" t="inlineStr"/>
      <c r="X82" t="inlineStr"/>
      <c r="Y82" t="inlineStr">
        <is>
          <t>Action type: Steps to Enable. Please refer to the **Access Requirements** section below.</t>
        </is>
      </c>
      <c r="Z82" t="inlineStr">
        <is>
          <t>Y</t>
        </is>
      </c>
      <c r="AA82" t="inlineStr">
        <is>
          <t>N</t>
        </is>
      </c>
    </row>
    <row r="83">
      <c r="A83" t="inlineStr">
        <is>
          <t>ASMT_IMP_0058</t>
        </is>
      </c>
      <c r="B83" t="inlineStr">
        <is>
          <t>CLT_DFL001</t>
        </is>
      </c>
      <c r="C83" t="inlineStr">
        <is>
          <t>REL_26C</t>
        </is>
      </c>
      <c r="D83" t="inlineStr">
        <is>
          <t>CHG_IMP_0058</t>
        </is>
      </c>
      <c r="E83" t="inlineStr">
        <is>
          <t>Functional</t>
        </is>
      </c>
      <c r="F83" t="inlineStr">
        <is>
          <t>Configuration</t>
        </is>
      </c>
      <c r="G83" t="inlineStr"/>
      <c r="H83" t="inlineStr">
        <is>
          <t>DFL Project Management impacted by Oracle 26C change</t>
        </is>
      </c>
      <c r="I83" t="inlineStr">
        <is>
          <t>Y</t>
        </is>
      </c>
      <c r="J83" t="inlineStr">
        <is>
          <t>N</t>
        </is>
      </c>
      <c r="K83" t="inlineStr">
        <is>
          <t>N</t>
        </is>
      </c>
      <c r="L83" t="inlineStr">
        <is>
          <t>N</t>
        </is>
      </c>
      <c r="M83" t="n">
        <v>3</v>
      </c>
      <c r="N83" t="n">
        <v>2</v>
      </c>
      <c r="O83" t="n">
        <v>2</v>
      </c>
      <c r="P83" t="n">
        <v>1</v>
      </c>
      <c r="Q83" t="n">
        <v>3</v>
      </c>
      <c r="R83">
        <f>IFERROR(XLOOKUP(XLOOKUP(D83,tblReleaseChanges[Change_ID],tblReleaseChanges[Oracle_Severity],""),tblSeverityMap[Severity_Text],tblSeverityMap[Score],0),0)</f>
        <v/>
      </c>
      <c r="S83" t="n">
        <v>2</v>
      </c>
      <c r="T83">
        <f>ROUND((M83*0.25)+(N83*0.20)+(O83*0.15)+(P83*0.15)+(Q83*0.10)+(R83*0.10)+(S83*0.05),2)</f>
        <v/>
      </c>
      <c r="U83">
        <f>IF(T83&gt;=4.25,"Critical",IF(T83&gt;=3.5,"High",IF(T83&gt;=2,"Medium","Low")))</f>
        <v/>
      </c>
      <c r="V83" t="inlineStr">
        <is>
          <t>Pending Review</t>
        </is>
      </c>
      <c r="W83" t="inlineStr"/>
      <c r="X83" t="inlineStr"/>
      <c r="Y83" t="inlineStr">
        <is>
          <t>Action type: Steps to Enable. • The Project Contract Validation Assistant is a preconfigured template. You need to create your own agent using the preconfigured template. To learn how to set up AI age</t>
        </is>
      </c>
      <c r="Z83" t="inlineStr">
        <is>
          <t>Y</t>
        </is>
      </c>
      <c r="AA83" t="inlineStr">
        <is>
          <t>N</t>
        </is>
      </c>
    </row>
    <row r="84">
      <c r="A84" t="inlineStr">
        <is>
          <t>ASMT_IMP_0059</t>
        </is>
      </c>
      <c r="B84" t="inlineStr">
        <is>
          <t>CLT_DFL001</t>
        </is>
      </c>
      <c r="C84" t="inlineStr">
        <is>
          <t>REL_26C</t>
        </is>
      </c>
      <c r="D84" t="inlineStr">
        <is>
          <t>CHG_IMP_0059</t>
        </is>
      </c>
      <c r="E84" t="inlineStr">
        <is>
          <t>Functional</t>
        </is>
      </c>
      <c r="F84" t="inlineStr">
        <is>
          <t>Configuration</t>
        </is>
      </c>
      <c r="G84" t="inlineStr"/>
      <c r="H84" t="inlineStr">
        <is>
          <t>DFL Project Management impacted by Oracle 26C change</t>
        </is>
      </c>
      <c r="I84" t="inlineStr">
        <is>
          <t>Y</t>
        </is>
      </c>
      <c r="J84" t="inlineStr">
        <is>
          <t>N</t>
        </is>
      </c>
      <c r="K84" t="inlineStr">
        <is>
          <t>N</t>
        </is>
      </c>
      <c r="L84" t="inlineStr">
        <is>
          <t>N</t>
        </is>
      </c>
      <c r="M84" t="n">
        <v>3</v>
      </c>
      <c r="N84" t="n">
        <v>2</v>
      </c>
      <c r="O84" t="n">
        <v>2</v>
      </c>
      <c r="P84" t="n">
        <v>1</v>
      </c>
      <c r="Q84" t="n">
        <v>3</v>
      </c>
      <c r="R84">
        <f>IFERROR(XLOOKUP(XLOOKUP(D84,tblReleaseChanges[Change_ID],tblReleaseChanges[Oracle_Severity],""),tblSeverityMap[Severity_Text],tblSeverityMap[Score],0),0)</f>
        <v/>
      </c>
      <c r="S84" t="n">
        <v>2</v>
      </c>
      <c r="T84">
        <f>ROUND((M84*0.25)+(N84*0.20)+(O84*0.15)+(P84*0.15)+(Q84*0.10)+(R84*0.10)+(S84*0.05),2)</f>
        <v/>
      </c>
      <c r="U84">
        <f>IF(T84&gt;=4.25,"Critical",IF(T84&gt;=3.5,"High",IF(T84&gt;=2,"Medium","Low")))</f>
        <v/>
      </c>
      <c r="V84" t="inlineStr">
        <is>
          <t>Pending Review</t>
        </is>
      </c>
      <c r="W84" t="inlineStr"/>
      <c r="X84" t="inlineStr"/>
      <c r="Y84" t="inlineStr">
        <is>
          <t>Action type: Steps to Enable. • The Project Contract and Customer Purchase Order Reconciliation Assistant is a preconfigured template. You need to create your own agent using the</t>
        </is>
      </c>
      <c r="Z84" t="inlineStr">
        <is>
          <t>Y</t>
        </is>
      </c>
      <c r="AA84" t="inlineStr">
        <is>
          <t>N</t>
        </is>
      </c>
    </row>
    <row r="85">
      <c r="A85" t="inlineStr">
        <is>
          <t>ASMT_IMP_0060</t>
        </is>
      </c>
      <c r="B85" t="inlineStr">
        <is>
          <t>CLT_DFL001</t>
        </is>
      </c>
      <c r="C85" t="inlineStr">
        <is>
          <t>REL_26C</t>
        </is>
      </c>
      <c r="D85" t="inlineStr">
        <is>
          <t>CHG_IMP_0060</t>
        </is>
      </c>
      <c r="E85" t="inlineStr">
        <is>
          <t>Functional</t>
        </is>
      </c>
      <c r="F85" t="inlineStr">
        <is>
          <t>Configuration</t>
        </is>
      </c>
      <c r="G85" t="inlineStr"/>
      <c r="H85" t="inlineStr">
        <is>
          <t>DFL Project Management impacted by Oracle 26C change</t>
        </is>
      </c>
      <c r="I85" t="inlineStr">
        <is>
          <t>Y</t>
        </is>
      </c>
      <c r="J85" t="inlineStr">
        <is>
          <t>N</t>
        </is>
      </c>
      <c r="K85" t="inlineStr">
        <is>
          <t>N</t>
        </is>
      </c>
      <c r="L85" t="inlineStr">
        <is>
          <t>N</t>
        </is>
      </c>
      <c r="M85" t="n">
        <v>3</v>
      </c>
      <c r="N85" t="n">
        <v>2</v>
      </c>
      <c r="O85" t="n">
        <v>2</v>
      </c>
      <c r="P85" t="n">
        <v>1</v>
      </c>
      <c r="Q85" t="n">
        <v>3</v>
      </c>
      <c r="R85">
        <f>IFERROR(XLOOKUP(XLOOKUP(D85,tblReleaseChanges[Change_ID],tblReleaseChanges[Oracle_Severity],""),tblSeverityMap[Severity_Text],tblSeverityMap[Score],0),0)</f>
        <v/>
      </c>
      <c r="S85" t="n">
        <v>2</v>
      </c>
      <c r="T85">
        <f>ROUND((M85*0.25)+(N85*0.20)+(O85*0.15)+(P85*0.15)+(Q85*0.10)+(R85*0.10)+(S85*0.05),2)</f>
        <v/>
      </c>
      <c r="U85">
        <f>IF(T85&gt;=4.25,"Critical",IF(T85&gt;=3.5,"High",IF(T85&gt;=2,"Medium","Low")))</f>
        <v/>
      </c>
      <c r="V85" t="inlineStr">
        <is>
          <t>Pending Review</t>
        </is>
      </c>
      <c r="W85" t="inlineStr"/>
      <c r="X85" t="inlineStr"/>
      <c r="Y85" t="inlineStr">
        <is>
          <t>Action type: Steps to Enable. • The Project Contract and Sales Order Reconciliation Assistant is a preconfigured template. You need to create your own agent using the preconfigured template.</t>
        </is>
      </c>
      <c r="Z85" t="inlineStr">
        <is>
          <t>Y</t>
        </is>
      </c>
      <c r="AA85" t="inlineStr">
        <is>
          <t>N</t>
        </is>
      </c>
    </row>
    <row r="86">
      <c r="A86" t="inlineStr">
        <is>
          <t>ASMT_IMP_0061</t>
        </is>
      </c>
      <c r="B86" t="inlineStr">
        <is>
          <t>CLT_DFL001</t>
        </is>
      </c>
      <c r="C86" t="inlineStr">
        <is>
          <t>REL_26C</t>
        </is>
      </c>
      <c r="D86" t="inlineStr">
        <is>
          <t>CHG_IMP_0061</t>
        </is>
      </c>
      <c r="E86" t="inlineStr">
        <is>
          <t>Functional</t>
        </is>
      </c>
      <c r="F86" t="inlineStr">
        <is>
          <t>Configuration</t>
        </is>
      </c>
      <c r="G86" t="inlineStr"/>
      <c r="H86" t="inlineStr">
        <is>
          <t>DFL Project Management impacted by Oracle 26C change</t>
        </is>
      </c>
      <c r="I86" t="inlineStr">
        <is>
          <t>Y</t>
        </is>
      </c>
      <c r="J86" t="inlineStr">
        <is>
          <t>N</t>
        </is>
      </c>
      <c r="K86" t="inlineStr">
        <is>
          <t>N</t>
        </is>
      </c>
      <c r="L86" t="inlineStr">
        <is>
          <t>N</t>
        </is>
      </c>
      <c r="M86" t="n">
        <v>3</v>
      </c>
      <c r="N86" t="n">
        <v>2</v>
      </c>
      <c r="O86" t="n">
        <v>2</v>
      </c>
      <c r="P86" t="n">
        <v>1</v>
      </c>
      <c r="Q86" t="n">
        <v>3</v>
      </c>
      <c r="R86">
        <f>IFERROR(XLOOKUP(XLOOKUP(D86,tblReleaseChanges[Change_ID],tblReleaseChanges[Oracle_Severity],""),tblSeverityMap[Severity_Text],tblSeverityMap[Score],0),0)</f>
        <v/>
      </c>
      <c r="S86" t="n">
        <v>2</v>
      </c>
      <c r="T86">
        <f>ROUND((M86*0.25)+(N86*0.20)+(O86*0.15)+(P86*0.15)+(Q86*0.10)+(R86*0.10)+(S86*0.05),2)</f>
        <v/>
      </c>
      <c r="U86">
        <f>IF(T86&gt;=4.25,"Critical",IF(T86&gt;=3.5,"High",IF(T86&gt;=2,"Medium","Low")))</f>
        <v/>
      </c>
      <c r="V86" t="inlineStr">
        <is>
          <t>Pending Review</t>
        </is>
      </c>
      <c r="W86" t="inlineStr"/>
      <c r="X86" t="inlineStr"/>
      <c r="Y86" t="inlineStr">
        <is>
          <t>Action type: Steps to Enable. **Project Cost Adjustment Assistant**role is needed to use the assistant within the AI Agent Studio. Refer to the Access Requirements section for details.</t>
        </is>
      </c>
      <c r="Z86" t="inlineStr">
        <is>
          <t>Y</t>
        </is>
      </c>
      <c r="AA86" t="inlineStr">
        <is>
          <t>N</t>
        </is>
      </c>
    </row>
    <row r="87">
      <c r="A87" t="inlineStr">
        <is>
          <t>ASMT_IMP_0062</t>
        </is>
      </c>
      <c r="B87" t="inlineStr">
        <is>
          <t>CLT_DFL001</t>
        </is>
      </c>
      <c r="C87" t="inlineStr">
        <is>
          <t>REL_26C</t>
        </is>
      </c>
      <c r="D87" t="inlineStr">
        <is>
          <t>CHG_IMP_0062</t>
        </is>
      </c>
      <c r="E87" t="inlineStr">
        <is>
          <t>Functional</t>
        </is>
      </c>
      <c r="F87" t="inlineStr">
        <is>
          <t>Configuration</t>
        </is>
      </c>
      <c r="G87" t="inlineStr"/>
      <c r="H87" t="inlineStr">
        <is>
          <t>DFL Project Management impacted by Oracle 26C change</t>
        </is>
      </c>
      <c r="I87" t="inlineStr">
        <is>
          <t>Y</t>
        </is>
      </c>
      <c r="J87" t="inlineStr">
        <is>
          <t>N</t>
        </is>
      </c>
      <c r="K87" t="inlineStr">
        <is>
          <t>N</t>
        </is>
      </c>
      <c r="L87" t="inlineStr">
        <is>
          <t>N</t>
        </is>
      </c>
      <c r="M87" t="n">
        <v>3</v>
      </c>
      <c r="N87" t="n">
        <v>2</v>
      </c>
      <c r="O87" t="n">
        <v>2</v>
      </c>
      <c r="P87" t="n">
        <v>1</v>
      </c>
      <c r="Q87" t="n">
        <v>3</v>
      </c>
      <c r="R87">
        <f>IFERROR(XLOOKUP(XLOOKUP(D87,tblReleaseChanges[Change_ID],tblReleaseChanges[Oracle_Severity],""),tblSeverityMap[Severity_Text],tblSeverityMap[Score],0),0)</f>
        <v/>
      </c>
      <c r="S87" t="n">
        <v>2</v>
      </c>
      <c r="T87">
        <f>ROUND((M87*0.25)+(N87*0.20)+(O87*0.15)+(P87*0.15)+(Q87*0.10)+(R87*0.10)+(S87*0.05),2)</f>
        <v/>
      </c>
      <c r="U87">
        <f>IF(T87&gt;=4.25,"Critical",IF(T87&gt;=3.5,"High",IF(T87&gt;=2,"Medium","Low")))</f>
        <v/>
      </c>
      <c r="V87" t="inlineStr">
        <is>
          <t>Pending Review</t>
        </is>
      </c>
      <c r="W87" t="inlineStr"/>
      <c r="X87" t="inlineStr"/>
      <c r="Y87" t="inlineStr">
        <is>
          <t>Action type: Steps to Enable. **Project Cost Exceptions Assistant** role is needed use the assistant within the AI Agent Studio. Refer to the Access Requirements section for details.</t>
        </is>
      </c>
      <c r="Z87" t="inlineStr">
        <is>
          <t>Y</t>
        </is>
      </c>
      <c r="AA87" t="inlineStr">
        <is>
          <t>N</t>
        </is>
      </c>
    </row>
    <row r="88">
      <c r="A88" t="inlineStr">
        <is>
          <t>ASMT_IMP_0063</t>
        </is>
      </c>
      <c r="B88" t="inlineStr">
        <is>
          <t>CLT_DFL001</t>
        </is>
      </c>
      <c r="C88" t="inlineStr">
        <is>
          <t>REL_26C</t>
        </is>
      </c>
      <c r="D88" t="inlineStr">
        <is>
          <t>CHG_IMP_0063</t>
        </is>
      </c>
      <c r="E88" t="inlineStr">
        <is>
          <t>AI Feature</t>
        </is>
      </c>
      <c r="F88" t="inlineStr">
        <is>
          <t>Configuration</t>
        </is>
      </c>
      <c r="G88" t="inlineStr"/>
      <c r="H88" t="inlineStr">
        <is>
          <t>DFL Project Management impacted by Oracle 26C change</t>
        </is>
      </c>
      <c r="I88" t="inlineStr">
        <is>
          <t>Y</t>
        </is>
      </c>
      <c r="J88" t="inlineStr">
        <is>
          <t>N</t>
        </is>
      </c>
      <c r="K88" t="inlineStr">
        <is>
          <t>N</t>
        </is>
      </c>
      <c r="L88" t="inlineStr">
        <is>
          <t>N</t>
        </is>
      </c>
      <c r="M88" t="n">
        <v>3</v>
      </c>
      <c r="N88" t="n">
        <v>2</v>
      </c>
      <c r="O88" t="n">
        <v>2</v>
      </c>
      <c r="P88" t="n">
        <v>3</v>
      </c>
      <c r="Q88" t="n">
        <v>3</v>
      </c>
      <c r="R88">
        <f>IFERROR(XLOOKUP(XLOOKUP(D88,tblReleaseChanges[Change_ID],tblReleaseChanges[Oracle_Severity],""),tblSeverityMap[Severity_Text],tblSeverityMap[Score],0),0)</f>
        <v/>
      </c>
      <c r="S88" t="n">
        <v>2</v>
      </c>
      <c r="T88">
        <f>ROUND((M88*0.25)+(N88*0.20)+(O88*0.15)+(P88*0.15)+(Q88*0.10)+(R88*0.10)+(S88*0.05),2)</f>
        <v/>
      </c>
      <c r="U88">
        <f>IF(T88&gt;=4.25,"Critical",IF(T88&gt;=3.5,"High",IF(T88&gt;=2,"Medium","Low")))</f>
        <v/>
      </c>
      <c r="V88" t="inlineStr">
        <is>
          <t>Pending Review</t>
        </is>
      </c>
      <c r="W88" t="inlineStr"/>
      <c r="X88" t="inlineStr"/>
      <c r="Y88" t="inlineStr">
        <is>
          <t>Action type: Steps to Enable. Use the Opt In UI to enable this feature. For instructions, refer to the Optional Uptake of New Features section of this document. Offering: *Project Financial Management</t>
        </is>
      </c>
      <c r="Z88" t="inlineStr">
        <is>
          <t>Y</t>
        </is>
      </c>
      <c r="AA88" t="inlineStr">
        <is>
          <t>N</t>
        </is>
      </c>
    </row>
    <row r="89">
      <c r="A89" t="inlineStr">
        <is>
          <t>ASMT_IMP_0064</t>
        </is>
      </c>
      <c r="B89" t="inlineStr">
        <is>
          <t>CLT_DFL001</t>
        </is>
      </c>
      <c r="C89" t="inlineStr">
        <is>
          <t>REL_26C</t>
        </is>
      </c>
      <c r="D89" t="inlineStr">
        <is>
          <t>CHG_IMP_0064</t>
        </is>
      </c>
      <c r="E89" t="inlineStr">
        <is>
          <t>Functional</t>
        </is>
      </c>
      <c r="F89" t="inlineStr">
        <is>
          <t>Configuration</t>
        </is>
      </c>
      <c r="G89" t="inlineStr"/>
      <c r="H89" t="inlineStr">
        <is>
          <t>DFL Risk Management impacted by Oracle 26C change</t>
        </is>
      </c>
      <c r="I89" t="inlineStr">
        <is>
          <t>Y</t>
        </is>
      </c>
      <c r="J89" t="inlineStr">
        <is>
          <t>N</t>
        </is>
      </c>
      <c r="K89" t="inlineStr">
        <is>
          <t>N</t>
        </is>
      </c>
      <c r="L89" t="inlineStr">
        <is>
          <t>N</t>
        </is>
      </c>
      <c r="M89" t="n">
        <v>1</v>
      </c>
      <c r="N89" t="n">
        <v>2</v>
      </c>
      <c r="O89" t="n">
        <v>1</v>
      </c>
      <c r="P89" t="n">
        <v>1</v>
      </c>
      <c r="Q89" t="n">
        <v>3</v>
      </c>
      <c r="R89">
        <f>IFERROR(XLOOKUP(XLOOKUP(D89,tblReleaseChanges[Change_ID],tblReleaseChanges[Oracle_Severity],""),tblSeverityMap[Severity_Text],tblSeverityMap[Score],0),0)</f>
        <v/>
      </c>
      <c r="S89" t="n">
        <v>1</v>
      </c>
      <c r="T89">
        <f>ROUND((M89*0.25)+(N89*0.20)+(O89*0.15)+(P89*0.15)+(Q89*0.10)+(R89*0.10)+(S89*0.05),2)</f>
        <v/>
      </c>
      <c r="U89">
        <f>IF(T89&gt;=4.25,"Critical",IF(T89&gt;=3.5,"High",IF(T89&gt;=2,"Medium","Low")))</f>
        <v/>
      </c>
      <c r="V89" t="inlineStr">
        <is>
          <t>Pending Review</t>
        </is>
      </c>
      <c r="W89" t="inlineStr"/>
      <c r="X89" t="inlineStr"/>
      <c r="Y89" t="inlineStr">
        <is>
          <t>Action type: Steps to Enable. • As an AI Studio administrator with access to Advanced Controls REST service, navigate to AI Agent Studio (see Access Requirements section). • Next, navigate to the Agen</t>
        </is>
      </c>
      <c r="Z89" t="inlineStr">
        <is>
          <t>N</t>
        </is>
      </c>
      <c r="AA89" t="inlineStr">
        <is>
          <t>N</t>
        </is>
      </c>
    </row>
    <row r="90">
      <c r="A90" t="inlineStr">
        <is>
          <t>ASMT_IMP_0065</t>
        </is>
      </c>
      <c r="B90" t="inlineStr">
        <is>
          <t>CLT_DFL001</t>
        </is>
      </c>
      <c r="C90" t="inlineStr">
        <is>
          <t>REL_26C</t>
        </is>
      </c>
      <c r="D90" t="inlineStr">
        <is>
          <t>CHG_IMP_0065</t>
        </is>
      </c>
      <c r="E90" t="inlineStr">
        <is>
          <t>Functional</t>
        </is>
      </c>
      <c r="F90" t="inlineStr">
        <is>
          <t>Configuration</t>
        </is>
      </c>
      <c r="G90" t="inlineStr"/>
      <c r="H90" t="inlineStr">
        <is>
          <t>DFL Risk Management impacted by Oracle 26C change</t>
        </is>
      </c>
      <c r="I90" t="inlineStr">
        <is>
          <t>Y</t>
        </is>
      </c>
      <c r="J90" t="inlineStr">
        <is>
          <t>N</t>
        </is>
      </c>
      <c r="K90" t="inlineStr">
        <is>
          <t>N</t>
        </is>
      </c>
      <c r="L90" t="inlineStr">
        <is>
          <t>N</t>
        </is>
      </c>
      <c r="M90" t="n">
        <v>1</v>
      </c>
      <c r="N90" t="n">
        <v>2</v>
      </c>
      <c r="O90" t="n">
        <v>1</v>
      </c>
      <c r="P90" t="n">
        <v>1</v>
      </c>
      <c r="Q90" t="n">
        <v>3</v>
      </c>
      <c r="R90">
        <f>IFERROR(XLOOKUP(XLOOKUP(D90,tblReleaseChanges[Change_ID],tblReleaseChanges[Oracle_Severity],""),tblSeverityMap[Severity_Text],tblSeverityMap[Score],0),0)</f>
        <v/>
      </c>
      <c r="S90" t="n">
        <v>1</v>
      </c>
      <c r="T90">
        <f>ROUND((M90*0.25)+(N90*0.20)+(O90*0.15)+(P90*0.15)+(Q90*0.10)+(R90*0.10)+(S90*0.05),2)</f>
        <v/>
      </c>
      <c r="U90">
        <f>IF(T90&gt;=4.25,"Critical",IF(T90&gt;=3.5,"High",IF(T90&gt;=2,"Medium","Low")))</f>
        <v/>
      </c>
      <c r="V90" t="inlineStr">
        <is>
          <t>Pending Review</t>
        </is>
      </c>
      <c r="W90" t="inlineStr"/>
      <c r="X90" t="inlineStr"/>
      <c r="Y90" t="inlineStr">
        <is>
          <t>Action type: Steps to Enable. When you use business objects that introduce changes to attributes, you must run the Transaction Data Source Synchronization job. Business objects with changes require th</t>
        </is>
      </c>
      <c r="Z90" t="inlineStr">
        <is>
          <t>N</t>
        </is>
      </c>
      <c r="AA90" t="inlineStr">
        <is>
          <t>N</t>
        </is>
      </c>
    </row>
    <row r="91">
      <c r="A91" t="inlineStr">
        <is>
          <t>ASMT_IMP_0066</t>
        </is>
      </c>
      <c r="B91" t="inlineStr">
        <is>
          <t>CLT_DFL001</t>
        </is>
      </c>
      <c r="C91" t="inlineStr">
        <is>
          <t>REL_26C</t>
        </is>
      </c>
      <c r="D91" t="inlineStr">
        <is>
          <t>CHG_IMP_0066</t>
        </is>
      </c>
      <c r="E91" t="inlineStr">
        <is>
          <t>Functional</t>
        </is>
      </c>
      <c r="F91" t="inlineStr">
        <is>
          <t>Configuration</t>
        </is>
      </c>
      <c r="G91" t="inlineStr"/>
      <c r="H91" t="inlineStr">
        <is>
          <t>DFL Risk Management impacted by Oracle 26C change</t>
        </is>
      </c>
      <c r="I91" t="inlineStr">
        <is>
          <t>Y</t>
        </is>
      </c>
      <c r="J91" t="inlineStr">
        <is>
          <t>N</t>
        </is>
      </c>
      <c r="K91" t="inlineStr">
        <is>
          <t>N</t>
        </is>
      </c>
      <c r="L91" t="inlineStr">
        <is>
          <t>N</t>
        </is>
      </c>
      <c r="M91" t="n">
        <v>1</v>
      </c>
      <c r="N91" t="n">
        <v>2</v>
      </c>
      <c r="O91" t="n">
        <v>1</v>
      </c>
      <c r="P91" t="n">
        <v>1</v>
      </c>
      <c r="Q91" t="n">
        <v>3</v>
      </c>
      <c r="R91">
        <f>IFERROR(XLOOKUP(XLOOKUP(D91,tblReleaseChanges[Change_ID],tblReleaseChanges[Oracle_Severity],""),tblSeverityMap[Severity_Text],tblSeverityMap[Score],0),0)</f>
        <v/>
      </c>
      <c r="S91" t="n">
        <v>1</v>
      </c>
      <c r="T91">
        <f>ROUND((M91*0.25)+(N91*0.20)+(O91*0.15)+(P91*0.15)+(Q91*0.10)+(R91*0.10)+(S91*0.05),2)</f>
        <v/>
      </c>
      <c r="U91">
        <f>IF(T91&gt;=4.25,"Critical",IF(T91&gt;=3.5,"High",IF(T91&gt;=2,"Medium","Low")))</f>
        <v/>
      </c>
      <c r="V91" t="inlineStr">
        <is>
          <t>Pending Review</t>
        </is>
      </c>
      <c r="W91" t="inlineStr"/>
      <c r="X91" t="inlineStr"/>
      <c r="Y91" t="inlineStr">
        <is>
          <t>Auto-enabled — no action required</t>
        </is>
      </c>
      <c r="Z91" t="inlineStr">
        <is>
          <t>N</t>
        </is>
      </c>
      <c r="AA91" t="inlineStr">
        <is>
          <t>N</t>
        </is>
      </c>
    </row>
    <row r="92">
      <c r="A92" t="inlineStr">
        <is>
          <t>ASMT_IMP_0067</t>
        </is>
      </c>
      <c r="B92" t="inlineStr">
        <is>
          <t>CLT_DFL001</t>
        </is>
      </c>
      <c r="C92" t="inlineStr">
        <is>
          <t>REL_26C</t>
        </is>
      </c>
      <c r="D92" t="inlineStr">
        <is>
          <t>CHG_IMP_0067</t>
        </is>
      </c>
      <c r="E92" t="inlineStr">
        <is>
          <t>Functional</t>
        </is>
      </c>
      <c r="F92" t="inlineStr">
        <is>
          <t>Configuration</t>
        </is>
      </c>
      <c r="G92" t="inlineStr"/>
      <c r="H92" t="inlineStr">
        <is>
          <t>DFL Risk Management impacted by Oracle 26C change</t>
        </is>
      </c>
      <c r="I92" t="inlineStr">
        <is>
          <t>Y</t>
        </is>
      </c>
      <c r="J92" t="inlineStr">
        <is>
          <t>N</t>
        </is>
      </c>
      <c r="K92" t="inlineStr">
        <is>
          <t>N</t>
        </is>
      </c>
      <c r="L92" t="inlineStr">
        <is>
          <t>N</t>
        </is>
      </c>
      <c r="M92" t="n">
        <v>1</v>
      </c>
      <c r="N92" t="n">
        <v>2</v>
      </c>
      <c r="O92" t="n">
        <v>1</v>
      </c>
      <c r="P92" t="n">
        <v>1</v>
      </c>
      <c r="Q92" t="n">
        <v>3</v>
      </c>
      <c r="R92">
        <f>IFERROR(XLOOKUP(XLOOKUP(D92,tblReleaseChanges[Change_ID],tblReleaseChanges[Oracle_Severity],""),tblSeverityMap[Severity_Text],tblSeverityMap[Score],0),0)</f>
        <v/>
      </c>
      <c r="S92" t="n">
        <v>1</v>
      </c>
      <c r="T92">
        <f>ROUND((M92*0.25)+(N92*0.20)+(O92*0.15)+(P92*0.15)+(Q92*0.10)+(R92*0.10)+(S92*0.05),2)</f>
        <v/>
      </c>
      <c r="U92">
        <f>IF(T92&gt;=4.25,"Critical",IF(T92&gt;=3.5,"High",IF(T92&gt;=2,"Medium","Low")))</f>
        <v/>
      </c>
      <c r="V92" t="inlineStr">
        <is>
          <t>Pending Review</t>
        </is>
      </c>
      <c r="W92" t="inlineStr"/>
      <c r="X92" t="inlineStr"/>
      <c r="Y92" t="inlineStr">
        <is>
          <t>Auto-enabled — no action required</t>
        </is>
      </c>
      <c r="Z92" t="inlineStr">
        <is>
          <t>N</t>
        </is>
      </c>
      <c r="AA92" t="inlineStr">
        <is>
          <t>N</t>
        </is>
      </c>
    </row>
    <row r="93">
      <c r="A93" t="inlineStr">
        <is>
          <t>ASMT_IMP_0068</t>
        </is>
      </c>
      <c r="B93" t="inlineStr">
        <is>
          <t>CLT_DFL001</t>
        </is>
      </c>
      <c r="C93" t="inlineStr">
        <is>
          <t>REL_26C</t>
        </is>
      </c>
      <c r="D93" t="inlineStr">
        <is>
          <t>CHG_IMP_0068</t>
        </is>
      </c>
      <c r="E93" t="inlineStr">
        <is>
          <t>Functional</t>
        </is>
      </c>
      <c r="F93" t="inlineStr">
        <is>
          <t>Configuration</t>
        </is>
      </c>
      <c r="G93" t="inlineStr"/>
      <c r="H93" t="inlineStr">
        <is>
          <t>DFL Self Service Financials impacted by Oracle 26C change</t>
        </is>
      </c>
      <c r="I93" t="inlineStr">
        <is>
          <t>Y</t>
        </is>
      </c>
      <c r="J93" t="inlineStr">
        <is>
          <t>N</t>
        </is>
      </c>
      <c r="K93" t="inlineStr">
        <is>
          <t>N</t>
        </is>
      </c>
      <c r="L93" t="inlineStr">
        <is>
          <t>N</t>
        </is>
      </c>
      <c r="M93" t="n">
        <v>3</v>
      </c>
      <c r="N93" t="n">
        <v>2</v>
      </c>
      <c r="O93" t="n">
        <v>2</v>
      </c>
      <c r="P93" t="n">
        <v>1</v>
      </c>
      <c r="Q93" t="n">
        <v>3</v>
      </c>
      <c r="R93">
        <f>IFERROR(XLOOKUP(XLOOKUP(D93,tblReleaseChanges[Change_ID],tblReleaseChanges[Oracle_Severity],""),tblSeverityMap[Severity_Text],tblSeverityMap[Score],0),0)</f>
        <v/>
      </c>
      <c r="S93" t="n">
        <v>2</v>
      </c>
      <c r="T93">
        <f>ROUND((M93*0.25)+(N93*0.20)+(O93*0.15)+(P93*0.15)+(Q93*0.10)+(R93*0.10)+(S93*0.05),2)</f>
        <v/>
      </c>
      <c r="U93">
        <f>IF(T93&gt;=4.25,"Critical",IF(T93&gt;=3.5,"High",IF(T93&gt;=2,"Medium","Low")))</f>
        <v/>
      </c>
      <c r="V93" t="inlineStr">
        <is>
          <t>Pending Review</t>
        </is>
      </c>
      <c r="W93" t="inlineStr"/>
      <c r="X93" t="inlineStr"/>
      <c r="Y93" t="inlineStr">
        <is>
          <t>Action type: Steps to Enable. To enable email-based expense completion: • Configure electronic receipt forwarding so employees can email receipts to the Expenses Agent. • In Setup and Maintenance, nav</t>
        </is>
      </c>
      <c r="Z93" t="inlineStr">
        <is>
          <t>Y</t>
        </is>
      </c>
      <c r="AA93" t="inlineStr">
        <is>
          <t>N</t>
        </is>
      </c>
    </row>
    <row r="94">
      <c r="A94" t="inlineStr">
        <is>
          <t>ASMT_IMP_0069</t>
        </is>
      </c>
      <c r="B94" t="inlineStr">
        <is>
          <t>CLT_DFL001</t>
        </is>
      </c>
      <c r="C94" t="inlineStr">
        <is>
          <t>REL_26C</t>
        </is>
      </c>
      <c r="D94" t="inlineStr">
        <is>
          <t>CHG_IMP_0069</t>
        </is>
      </c>
      <c r="E94" t="inlineStr">
        <is>
          <t>Functional</t>
        </is>
      </c>
      <c r="F94" t="inlineStr">
        <is>
          <t>Configuration</t>
        </is>
      </c>
      <c r="G94" t="inlineStr"/>
      <c r="H94" t="inlineStr">
        <is>
          <t>DFL Self Service Financials impacted by Oracle 26C change</t>
        </is>
      </c>
      <c r="I94" t="inlineStr">
        <is>
          <t>Y</t>
        </is>
      </c>
      <c r="J94" t="inlineStr">
        <is>
          <t>N</t>
        </is>
      </c>
      <c r="K94" t="inlineStr">
        <is>
          <t>N</t>
        </is>
      </c>
      <c r="L94" t="inlineStr">
        <is>
          <t>N</t>
        </is>
      </c>
      <c r="M94" t="n">
        <v>3</v>
      </c>
      <c r="N94" t="n">
        <v>2</v>
      </c>
      <c r="O94" t="n">
        <v>2</v>
      </c>
      <c r="P94" t="n">
        <v>1</v>
      </c>
      <c r="Q94" t="n">
        <v>3</v>
      </c>
      <c r="R94">
        <f>IFERROR(XLOOKUP(XLOOKUP(D94,tblReleaseChanges[Change_ID],tblReleaseChanges[Oracle_Severity],""),tblSeverityMap[Severity_Text],tblSeverityMap[Score],0),0)</f>
        <v/>
      </c>
      <c r="S94" t="n">
        <v>2</v>
      </c>
      <c r="T94">
        <f>ROUND((M94*0.25)+(N94*0.20)+(O94*0.15)+(P94*0.15)+(Q94*0.10)+(R94*0.10)+(S94*0.05),2)</f>
        <v/>
      </c>
      <c r="U94">
        <f>IF(T94&gt;=4.25,"Critical",IF(T94&gt;=3.5,"High",IF(T94&gt;=2,"Medium","Low")))</f>
        <v/>
      </c>
      <c r="V94" t="inlineStr">
        <is>
          <t>Pending Review</t>
        </is>
      </c>
      <c r="W94" t="inlineStr"/>
      <c r="X94" t="inlineStr"/>
      <c r="Y94" t="inlineStr">
        <is>
          <t>Action type: Steps to Enable. 1. To use these capabilities, first enable Touchless Expenses as outlined in the Touchless Mobile Expenses (25D) feature. 2. Configure cash advance application settings f</t>
        </is>
      </c>
      <c r="Z94" t="inlineStr">
        <is>
          <t>Y</t>
        </is>
      </c>
      <c r="AA94" t="inlineStr">
        <is>
          <t>N</t>
        </is>
      </c>
    </row>
    <row r="95">
      <c r="A95" t="inlineStr">
        <is>
          <t>ASMT_IMP_0070</t>
        </is>
      </c>
      <c r="B95" t="inlineStr">
        <is>
          <t>CLT_DFL001</t>
        </is>
      </c>
      <c r="C95" t="inlineStr">
        <is>
          <t>REL_26C</t>
        </is>
      </c>
      <c r="D95" t="inlineStr">
        <is>
          <t>CHG_IMP_0070</t>
        </is>
      </c>
      <c r="E95" t="inlineStr">
        <is>
          <t>Functional</t>
        </is>
      </c>
      <c r="F95" t="inlineStr">
        <is>
          <t>Configuration</t>
        </is>
      </c>
      <c r="G95" t="inlineStr"/>
      <c r="H95" t="inlineStr">
        <is>
          <t>DFL Self Service Financials impacted by Oracle 26C change</t>
        </is>
      </c>
      <c r="I95" t="inlineStr">
        <is>
          <t>Y</t>
        </is>
      </c>
      <c r="J95" t="inlineStr">
        <is>
          <t>N</t>
        </is>
      </c>
      <c r="K95" t="inlineStr">
        <is>
          <t>N</t>
        </is>
      </c>
      <c r="L95" t="inlineStr">
        <is>
          <t>N</t>
        </is>
      </c>
      <c r="M95" t="n">
        <v>3</v>
      </c>
      <c r="N95" t="n">
        <v>2</v>
      </c>
      <c r="O95" t="n">
        <v>2</v>
      </c>
      <c r="P95" t="n">
        <v>1</v>
      </c>
      <c r="Q95" t="n">
        <v>3</v>
      </c>
      <c r="R95">
        <f>IFERROR(XLOOKUP(XLOOKUP(D95,tblReleaseChanges[Change_ID],tblReleaseChanges[Oracle_Severity],""),tblSeverityMap[Severity_Text],tblSeverityMap[Score],0),0)</f>
        <v/>
      </c>
      <c r="S95" t="n">
        <v>2</v>
      </c>
      <c r="T95">
        <f>ROUND((M95*0.25)+(N95*0.20)+(O95*0.15)+(P95*0.15)+(Q95*0.10)+(R95*0.10)+(S95*0.05),2)</f>
        <v/>
      </c>
      <c r="U95">
        <f>IF(T95&gt;=4.25,"Critical",IF(T95&gt;=3.5,"High",IF(T95&gt;=2,"Medium","Low")))</f>
        <v/>
      </c>
      <c r="V95" t="inlineStr">
        <is>
          <t>Pending Review</t>
        </is>
      </c>
      <c r="W95" t="inlineStr"/>
      <c r="X95" t="inlineStr"/>
      <c r="Y95" t="inlineStr">
        <is>
          <t>Action type: Steps to Enable. To use these capabilities, first enable Touchless Expenses as outlined in the Touchless Mobile Expenses (25D) feature.</t>
        </is>
      </c>
      <c r="Z95" t="inlineStr">
        <is>
          <t>Y</t>
        </is>
      </c>
      <c r="AA95" t="inlineStr">
        <is>
          <t>N</t>
        </is>
      </c>
    </row>
    <row r="96">
      <c r="A96" t="inlineStr">
        <is>
          <t>ASMT_IMP_0071</t>
        </is>
      </c>
      <c r="B96" t="inlineStr">
        <is>
          <t>CLT_DFL001</t>
        </is>
      </c>
      <c r="C96" t="inlineStr">
        <is>
          <t>REL_26C</t>
        </is>
      </c>
      <c r="D96" t="inlineStr">
        <is>
          <t>CHG_IMP_0071</t>
        </is>
      </c>
      <c r="E96" t="inlineStr">
        <is>
          <t>Functional</t>
        </is>
      </c>
      <c r="F96" t="inlineStr">
        <is>
          <t>Configuration</t>
        </is>
      </c>
      <c r="G96" t="inlineStr"/>
      <c r="H96" t="inlineStr">
        <is>
          <t>DFL Absence Management impacted by Oracle 26C change</t>
        </is>
      </c>
      <c r="I96" t="inlineStr">
        <is>
          <t>Y</t>
        </is>
      </c>
      <c r="J96" t="inlineStr">
        <is>
          <t>N</t>
        </is>
      </c>
      <c r="K96" t="inlineStr">
        <is>
          <t>N</t>
        </is>
      </c>
      <c r="L96" t="inlineStr">
        <is>
          <t>N</t>
        </is>
      </c>
      <c r="M96" t="n">
        <v>4</v>
      </c>
      <c r="N96" t="n">
        <v>2</v>
      </c>
      <c r="O96" t="n">
        <v>2</v>
      </c>
      <c r="P96" t="n">
        <v>1</v>
      </c>
      <c r="Q96" t="n">
        <v>3</v>
      </c>
      <c r="R96">
        <f>IFERROR(XLOOKUP(XLOOKUP(D96,tblReleaseChanges[Change_ID],tblReleaseChanges[Oracle_Severity],""),tblSeverityMap[Severity_Text],tblSeverityMap[Score],0),0)</f>
        <v/>
      </c>
      <c r="S96" t="n">
        <v>3</v>
      </c>
      <c r="T96">
        <f>ROUND((M96*0.25)+(N96*0.20)+(O96*0.15)+(P96*0.15)+(Q96*0.10)+(R96*0.10)+(S96*0.05),2)</f>
        <v/>
      </c>
      <c r="U96">
        <f>IF(T96&gt;=4.25,"Critical",IF(T96&gt;=3.5,"High",IF(T96&gt;=2,"Medium","Low")))</f>
        <v/>
      </c>
      <c r="V96" t="inlineStr">
        <is>
          <t>Pending Review</t>
        </is>
      </c>
      <c r="W96" t="inlineStr"/>
      <c r="X96" t="inlineStr"/>
      <c r="Y96" t="inlineStr">
        <is>
          <t>Action type: Steps to Enable. This page is disabled by default. You need to enable the ORA_ANC_TYPES_VBCS_UI_ENABLED profile option to use this page.</t>
        </is>
      </c>
      <c r="Z96" t="inlineStr">
        <is>
          <t>Y</t>
        </is>
      </c>
      <c r="AA96" t="inlineStr">
        <is>
          <t>Y</t>
        </is>
      </c>
    </row>
    <row r="97">
      <c r="A97" t="inlineStr">
        <is>
          <t>ASMT_IMP_0072</t>
        </is>
      </c>
      <c r="B97" t="inlineStr">
        <is>
          <t>CLT_DFL001</t>
        </is>
      </c>
      <c r="C97" t="inlineStr">
        <is>
          <t>REL_26C</t>
        </is>
      </c>
      <c r="D97" t="inlineStr">
        <is>
          <t>CHG_IMP_0072</t>
        </is>
      </c>
      <c r="E97" t="inlineStr">
        <is>
          <t>Functional</t>
        </is>
      </c>
      <c r="F97" t="inlineStr">
        <is>
          <t>Configuration</t>
        </is>
      </c>
      <c r="G97" t="inlineStr"/>
      <c r="H97" t="inlineStr">
        <is>
          <t>DFL Absence Management impacted by Oracle 26C change</t>
        </is>
      </c>
      <c r="I97" t="inlineStr">
        <is>
          <t>Y</t>
        </is>
      </c>
      <c r="J97" t="inlineStr">
        <is>
          <t>N</t>
        </is>
      </c>
      <c r="K97" t="inlineStr">
        <is>
          <t>N</t>
        </is>
      </c>
      <c r="L97" t="inlineStr">
        <is>
          <t>N</t>
        </is>
      </c>
      <c r="M97" t="n">
        <v>4</v>
      </c>
      <c r="N97" t="n">
        <v>2</v>
      </c>
      <c r="O97" t="n">
        <v>2</v>
      </c>
      <c r="P97" t="n">
        <v>1</v>
      </c>
      <c r="Q97" t="n">
        <v>3</v>
      </c>
      <c r="R97">
        <f>IFERROR(XLOOKUP(XLOOKUP(D97,tblReleaseChanges[Change_ID],tblReleaseChanges[Oracle_Severity],""),tblSeverityMap[Severity_Text],tblSeverityMap[Score],0),0)</f>
        <v/>
      </c>
      <c r="S97" t="n">
        <v>1</v>
      </c>
      <c r="T97">
        <f>ROUND((M97*0.25)+(N97*0.20)+(O97*0.15)+(P97*0.15)+(Q97*0.10)+(R97*0.10)+(S97*0.05),2)</f>
        <v/>
      </c>
      <c r="U97">
        <f>IF(T97&gt;=4.25,"Critical",IF(T97&gt;=3.5,"High",IF(T97&gt;=2,"Medium","Low")))</f>
        <v/>
      </c>
      <c r="V97" t="inlineStr">
        <is>
          <t>Pending Review</t>
        </is>
      </c>
      <c r="W97" t="inlineStr"/>
      <c r="X97" t="inlineStr"/>
      <c r="Y97" t="inlineStr">
        <is>
          <t>Auto-enabled — no action required</t>
        </is>
      </c>
      <c r="Z97" t="inlineStr">
        <is>
          <t>N</t>
        </is>
      </c>
      <c r="AA97" t="inlineStr">
        <is>
          <t>N</t>
        </is>
      </c>
    </row>
    <row r="98">
      <c r="A98" t="inlineStr">
        <is>
          <t>ASMT_IMP_0073</t>
        </is>
      </c>
      <c r="B98" t="inlineStr">
        <is>
          <t>CLT_DFL001</t>
        </is>
      </c>
      <c r="C98" t="inlineStr">
        <is>
          <t>REL_26C</t>
        </is>
      </c>
      <c r="D98" t="inlineStr">
        <is>
          <t>CHG_IMP_0073</t>
        </is>
      </c>
      <c r="E98" t="inlineStr">
        <is>
          <t>Functional</t>
        </is>
      </c>
      <c r="F98" t="inlineStr">
        <is>
          <t>Configuration</t>
        </is>
      </c>
      <c r="G98" t="inlineStr"/>
      <c r="H98" t="inlineStr">
        <is>
          <t>DFL Absence Management impacted by Oracle 26C change</t>
        </is>
      </c>
      <c r="I98" t="inlineStr">
        <is>
          <t>Y</t>
        </is>
      </c>
      <c r="J98" t="inlineStr">
        <is>
          <t>N</t>
        </is>
      </c>
      <c r="K98" t="inlineStr">
        <is>
          <t>N</t>
        </is>
      </c>
      <c r="L98" t="inlineStr">
        <is>
          <t>N</t>
        </is>
      </c>
      <c r="M98" t="n">
        <v>4</v>
      </c>
      <c r="N98" t="n">
        <v>2</v>
      </c>
      <c r="O98" t="n">
        <v>2</v>
      </c>
      <c r="P98" t="n">
        <v>1</v>
      </c>
      <c r="Q98" t="n">
        <v>3</v>
      </c>
      <c r="R98">
        <f>IFERROR(XLOOKUP(XLOOKUP(D98,tblReleaseChanges[Change_ID],tblReleaseChanges[Oracle_Severity],""),tblSeverityMap[Severity_Text],tblSeverityMap[Score],0),0)</f>
        <v/>
      </c>
      <c r="S98" t="n">
        <v>3</v>
      </c>
      <c r="T98">
        <f>ROUND((M98*0.25)+(N98*0.20)+(O98*0.15)+(P98*0.15)+(Q98*0.10)+(R98*0.10)+(S98*0.05),2)</f>
        <v/>
      </c>
      <c r="U98">
        <f>IF(T98&gt;=4.25,"Critical",IF(T98&gt;=3.5,"High",IF(T98&gt;=2,"Medium","Low")))</f>
        <v/>
      </c>
      <c r="V98" t="inlineStr">
        <is>
          <t>Pending Review</t>
        </is>
      </c>
      <c r="W98" t="inlineStr"/>
      <c r="X98" t="inlineStr"/>
      <c r="Y98" t="inlineStr">
        <is>
          <t>Action type: Steps to Enable. The calendar improvements work with the delivered defaults, so no setup is required to start using them. To tailor the calendar to your workforce, administrators can conf</t>
        </is>
      </c>
      <c r="Z98" t="inlineStr">
        <is>
          <t>Y</t>
        </is>
      </c>
      <c r="AA98" t="inlineStr">
        <is>
          <t>Y</t>
        </is>
      </c>
    </row>
    <row r="99">
      <c r="A99" t="inlineStr">
        <is>
          <t>ASMT_IMP_0074</t>
        </is>
      </c>
      <c r="B99" t="inlineStr">
        <is>
          <t>CLT_DFL001</t>
        </is>
      </c>
      <c r="C99" t="inlineStr">
        <is>
          <t>REL_26C</t>
        </is>
      </c>
      <c r="D99" t="inlineStr">
        <is>
          <t>CHG_IMP_0074</t>
        </is>
      </c>
      <c r="E99" t="inlineStr">
        <is>
          <t>Functional</t>
        </is>
      </c>
      <c r="F99" t="inlineStr">
        <is>
          <t>Configuration</t>
        </is>
      </c>
      <c r="G99" t="inlineStr"/>
      <c r="H99" t="inlineStr">
        <is>
          <t>DFL Absence Management impacted by Oracle 26C change</t>
        </is>
      </c>
      <c r="I99" t="inlineStr">
        <is>
          <t>Y</t>
        </is>
      </c>
      <c r="J99" t="inlineStr">
        <is>
          <t>N</t>
        </is>
      </c>
      <c r="K99" t="inlineStr">
        <is>
          <t>N</t>
        </is>
      </c>
      <c r="L99" t="inlineStr">
        <is>
          <t>N</t>
        </is>
      </c>
      <c r="M99" t="n">
        <v>4</v>
      </c>
      <c r="N99" t="n">
        <v>2</v>
      </c>
      <c r="O99" t="n">
        <v>2</v>
      </c>
      <c r="P99" t="n">
        <v>1</v>
      </c>
      <c r="Q99" t="n">
        <v>3</v>
      </c>
      <c r="R99">
        <f>IFERROR(XLOOKUP(XLOOKUP(D99,tblReleaseChanges[Change_ID],tblReleaseChanges[Oracle_Severity],""),tblSeverityMap[Severity_Text],tblSeverityMap[Score],0),0)</f>
        <v/>
      </c>
      <c r="S99" t="n">
        <v>1</v>
      </c>
      <c r="T99">
        <f>ROUND((M99*0.25)+(N99*0.20)+(O99*0.15)+(P99*0.15)+(Q99*0.10)+(R99*0.10)+(S99*0.05),2)</f>
        <v/>
      </c>
      <c r="U99">
        <f>IF(T99&gt;=4.25,"Critical",IF(T99&gt;=3.5,"High",IF(T99&gt;=2,"Medium","Low")))</f>
        <v/>
      </c>
      <c r="V99" t="inlineStr">
        <is>
          <t>Pending Review</t>
        </is>
      </c>
      <c r="W99" t="inlineStr"/>
      <c r="X99" t="inlineStr"/>
      <c r="Y99" t="inlineStr">
        <is>
          <t>Auto-enabled — no action required</t>
        </is>
      </c>
      <c r="Z99" t="inlineStr">
        <is>
          <t>N</t>
        </is>
      </c>
      <c r="AA99" t="inlineStr">
        <is>
          <t>N</t>
        </is>
      </c>
    </row>
    <row r="100">
      <c r="A100" t="inlineStr">
        <is>
          <t>ASMT_IMP_0075</t>
        </is>
      </c>
      <c r="B100" t="inlineStr">
        <is>
          <t>CLT_DFL001</t>
        </is>
      </c>
      <c r="C100" t="inlineStr">
        <is>
          <t>REL_26C</t>
        </is>
      </c>
      <c r="D100" t="inlineStr">
        <is>
          <t>CHG_IMP_0075</t>
        </is>
      </c>
      <c r="E100" t="inlineStr">
        <is>
          <t>Functional</t>
        </is>
      </c>
      <c r="F100" t="inlineStr">
        <is>
          <t>Configuration</t>
        </is>
      </c>
      <c r="G100" t="inlineStr"/>
      <c r="H100" t="inlineStr">
        <is>
          <t>DFL Absence Management impacted by Oracle 26C change</t>
        </is>
      </c>
      <c r="I100" t="inlineStr">
        <is>
          <t>Y</t>
        </is>
      </c>
      <c r="J100" t="inlineStr">
        <is>
          <t>N</t>
        </is>
      </c>
      <c r="K100" t="inlineStr">
        <is>
          <t>N</t>
        </is>
      </c>
      <c r="L100" t="inlineStr">
        <is>
          <t>N</t>
        </is>
      </c>
      <c r="M100" t="n">
        <v>4</v>
      </c>
      <c r="N100" t="n">
        <v>2</v>
      </c>
      <c r="O100" t="n">
        <v>2</v>
      </c>
      <c r="P100" t="n">
        <v>1</v>
      </c>
      <c r="Q100" t="n">
        <v>3</v>
      </c>
      <c r="R100">
        <f>IFERROR(XLOOKUP(XLOOKUP(D100,tblReleaseChanges[Change_ID],tblReleaseChanges[Oracle_Severity],""),tblSeverityMap[Severity_Text],tblSeverityMap[Score],0),0)</f>
        <v/>
      </c>
      <c r="S100" t="n">
        <v>1</v>
      </c>
      <c r="T100">
        <f>ROUND((M100*0.25)+(N100*0.20)+(O100*0.15)+(P100*0.15)+(Q100*0.10)+(R100*0.10)+(S100*0.05),2)</f>
        <v/>
      </c>
      <c r="U100">
        <f>IF(T100&gt;=4.25,"Critical",IF(T100&gt;=3.5,"High",IF(T100&gt;=2,"Medium","Low")))</f>
        <v/>
      </c>
      <c r="V100" t="inlineStr">
        <is>
          <t>Pending Review</t>
        </is>
      </c>
      <c r="W100" t="inlineStr"/>
      <c r="X100" t="inlineStr"/>
      <c r="Y100" t="inlineStr">
        <is>
          <t>Auto-enabled — no action required</t>
        </is>
      </c>
      <c r="Z100" t="inlineStr">
        <is>
          <t>N</t>
        </is>
      </c>
      <c r="AA100" t="inlineStr">
        <is>
          <t>N</t>
        </is>
      </c>
    </row>
    <row r="101">
      <c r="A101" t="inlineStr">
        <is>
          <t>ASMT_IMP_0076</t>
        </is>
      </c>
      <c r="B101" t="inlineStr">
        <is>
          <t>CLT_DFL001</t>
        </is>
      </c>
      <c r="C101" t="inlineStr">
        <is>
          <t>REL_26C</t>
        </is>
      </c>
      <c r="D101" t="inlineStr">
        <is>
          <t>CHG_IMP_0076</t>
        </is>
      </c>
      <c r="E101" t="inlineStr">
        <is>
          <t>Functional</t>
        </is>
      </c>
      <c r="F101" t="inlineStr">
        <is>
          <t>Configuration</t>
        </is>
      </c>
      <c r="G101" t="inlineStr"/>
      <c r="H101" t="inlineStr">
        <is>
          <t>DFL Absence Management impacted by Oracle 26C change</t>
        </is>
      </c>
      <c r="I101" t="inlineStr">
        <is>
          <t>Y</t>
        </is>
      </c>
      <c r="J101" t="inlineStr">
        <is>
          <t>N</t>
        </is>
      </c>
      <c r="K101" t="inlineStr">
        <is>
          <t>N</t>
        </is>
      </c>
      <c r="L101" t="inlineStr">
        <is>
          <t>N</t>
        </is>
      </c>
      <c r="M101" t="n">
        <v>4</v>
      </c>
      <c r="N101" t="n">
        <v>2</v>
      </c>
      <c r="O101" t="n">
        <v>2</v>
      </c>
      <c r="P101" t="n">
        <v>1</v>
      </c>
      <c r="Q101" t="n">
        <v>3</v>
      </c>
      <c r="R101">
        <f>IFERROR(XLOOKUP(XLOOKUP(D101,tblReleaseChanges[Change_ID],tblReleaseChanges[Oracle_Severity],""),tblSeverityMap[Severity_Text],tblSeverityMap[Score],0),0)</f>
        <v/>
      </c>
      <c r="S101" t="n">
        <v>1</v>
      </c>
      <c r="T101">
        <f>ROUND((M101*0.25)+(N101*0.20)+(O101*0.15)+(P101*0.15)+(Q101*0.10)+(R101*0.10)+(S101*0.05),2)</f>
        <v/>
      </c>
      <c r="U101">
        <f>IF(T101&gt;=4.25,"Critical",IF(T101&gt;=3.5,"High",IF(T101&gt;=2,"Medium","Low")))</f>
        <v/>
      </c>
      <c r="V101" t="inlineStr">
        <is>
          <t>Pending Review</t>
        </is>
      </c>
      <c r="W101" t="inlineStr"/>
      <c r="X101" t="inlineStr"/>
      <c r="Y101" t="inlineStr">
        <is>
          <t>Auto-enabled — no action required</t>
        </is>
      </c>
      <c r="Z101" t="inlineStr">
        <is>
          <t>N</t>
        </is>
      </c>
      <c r="AA101" t="inlineStr">
        <is>
          <t>N</t>
        </is>
      </c>
    </row>
    <row r="102">
      <c r="A102" t="inlineStr">
        <is>
          <t>ASMT_IMP_0077</t>
        </is>
      </c>
      <c r="B102" t="inlineStr">
        <is>
          <t>CLT_DFL001</t>
        </is>
      </c>
      <c r="C102" t="inlineStr">
        <is>
          <t>REL_26C</t>
        </is>
      </c>
      <c r="D102" t="inlineStr">
        <is>
          <t>CHG_IMP_0077</t>
        </is>
      </c>
      <c r="E102" t="inlineStr">
        <is>
          <t>Functional</t>
        </is>
      </c>
      <c r="F102" t="inlineStr">
        <is>
          <t>Configuration</t>
        </is>
      </c>
      <c r="G102" t="inlineStr"/>
      <c r="H102" t="inlineStr">
        <is>
          <t>DFL Absence Management impacted by Oracle 26C change</t>
        </is>
      </c>
      <c r="I102" t="inlineStr">
        <is>
          <t>Y</t>
        </is>
      </c>
      <c r="J102" t="inlineStr">
        <is>
          <t>N</t>
        </is>
      </c>
      <c r="K102" t="inlineStr">
        <is>
          <t>N</t>
        </is>
      </c>
      <c r="L102" t="inlineStr">
        <is>
          <t>N</t>
        </is>
      </c>
      <c r="M102" t="n">
        <v>4</v>
      </c>
      <c r="N102" t="n">
        <v>2</v>
      </c>
      <c r="O102" t="n">
        <v>2</v>
      </c>
      <c r="P102" t="n">
        <v>1</v>
      </c>
      <c r="Q102" t="n">
        <v>3</v>
      </c>
      <c r="R102">
        <f>IFERROR(XLOOKUP(XLOOKUP(D102,tblReleaseChanges[Change_ID],tblReleaseChanges[Oracle_Severity],""),tblSeverityMap[Severity_Text],tblSeverityMap[Score],0),0)</f>
        <v/>
      </c>
      <c r="S102" t="n">
        <v>1</v>
      </c>
      <c r="T102">
        <f>ROUND((M102*0.25)+(N102*0.20)+(O102*0.15)+(P102*0.15)+(Q102*0.10)+(R102*0.10)+(S102*0.05),2)</f>
        <v/>
      </c>
      <c r="U102">
        <f>IF(T102&gt;=4.25,"Critical",IF(T102&gt;=3.5,"High",IF(T102&gt;=2,"Medium","Low")))</f>
        <v/>
      </c>
      <c r="V102" t="inlineStr">
        <is>
          <t>Pending Review</t>
        </is>
      </c>
      <c r="W102" t="inlineStr"/>
      <c r="X102" t="inlineStr"/>
      <c r="Y102" t="inlineStr">
        <is>
          <t>Auto-enabled — no action required</t>
        </is>
      </c>
      <c r="Z102" t="inlineStr">
        <is>
          <t>N</t>
        </is>
      </c>
      <c r="AA102" t="inlineStr">
        <is>
          <t>N</t>
        </is>
      </c>
    </row>
    <row r="103">
      <c r="A103" t="inlineStr">
        <is>
          <t>ASMT_IMP_0078</t>
        </is>
      </c>
      <c r="B103" t="inlineStr">
        <is>
          <t>CLT_DFL001</t>
        </is>
      </c>
      <c r="C103" t="inlineStr">
        <is>
          <t>REL_26C</t>
        </is>
      </c>
      <c r="D103" t="inlineStr">
        <is>
          <t>CHG_IMP_0078</t>
        </is>
      </c>
      <c r="E103" t="inlineStr">
        <is>
          <t>Functional</t>
        </is>
      </c>
      <c r="F103" t="inlineStr">
        <is>
          <t>Configuration</t>
        </is>
      </c>
      <c r="G103" t="inlineStr"/>
      <c r="H103" t="inlineStr">
        <is>
          <t>DFL Absence Management impacted by Oracle 26C change</t>
        </is>
      </c>
      <c r="I103" t="inlineStr">
        <is>
          <t>Y</t>
        </is>
      </c>
      <c r="J103" t="inlineStr">
        <is>
          <t>N</t>
        </is>
      </c>
      <c r="K103" t="inlineStr">
        <is>
          <t>N</t>
        </is>
      </c>
      <c r="L103" t="inlineStr">
        <is>
          <t>N</t>
        </is>
      </c>
      <c r="M103" t="n">
        <v>4</v>
      </c>
      <c r="N103" t="n">
        <v>2</v>
      </c>
      <c r="O103" t="n">
        <v>2</v>
      </c>
      <c r="P103" t="n">
        <v>1</v>
      </c>
      <c r="Q103" t="n">
        <v>3</v>
      </c>
      <c r="R103">
        <f>IFERROR(XLOOKUP(XLOOKUP(D103,tblReleaseChanges[Change_ID],tblReleaseChanges[Oracle_Severity],""),tblSeverityMap[Severity_Text],tblSeverityMap[Score],0),0)</f>
        <v/>
      </c>
      <c r="S103" t="n">
        <v>1</v>
      </c>
      <c r="T103">
        <f>ROUND((M103*0.25)+(N103*0.20)+(O103*0.15)+(P103*0.15)+(Q103*0.10)+(R103*0.10)+(S103*0.05),2)</f>
        <v/>
      </c>
      <c r="U103">
        <f>IF(T103&gt;=4.25,"Critical",IF(T103&gt;=3.5,"High",IF(T103&gt;=2,"Medium","Low")))</f>
        <v/>
      </c>
      <c r="V103" t="inlineStr">
        <is>
          <t>Pending Review</t>
        </is>
      </c>
      <c r="W103" t="inlineStr"/>
      <c r="X103" t="inlineStr"/>
      <c r="Y103" t="inlineStr">
        <is>
          <t>Auto-enabled — no action required</t>
        </is>
      </c>
      <c r="Z103" t="inlineStr">
        <is>
          <t>N</t>
        </is>
      </c>
      <c r="AA103" t="inlineStr">
        <is>
          <t>N</t>
        </is>
      </c>
    </row>
    <row r="104">
      <c r="A104" t="inlineStr">
        <is>
          <t>ASMT_IMP_0079</t>
        </is>
      </c>
      <c r="B104" t="inlineStr">
        <is>
          <t>CLT_DFL001</t>
        </is>
      </c>
      <c r="C104" t="inlineStr">
        <is>
          <t>REL_26C</t>
        </is>
      </c>
      <c r="D104" t="inlineStr">
        <is>
          <t>CHG_IMP_0079</t>
        </is>
      </c>
      <c r="E104" t="inlineStr">
        <is>
          <t>Functional</t>
        </is>
      </c>
      <c r="F104" t="inlineStr">
        <is>
          <t>Configuration</t>
        </is>
      </c>
      <c r="G104" t="inlineStr"/>
      <c r="H104" t="inlineStr">
        <is>
          <t>DFL Absence Management impacted by Oracle 26C change</t>
        </is>
      </c>
      <c r="I104" t="inlineStr">
        <is>
          <t>Y</t>
        </is>
      </c>
      <c r="J104" t="inlineStr">
        <is>
          <t>N</t>
        </is>
      </c>
      <c r="K104" t="inlineStr">
        <is>
          <t>N</t>
        </is>
      </c>
      <c r="L104" t="inlineStr">
        <is>
          <t>N</t>
        </is>
      </c>
      <c r="M104" t="n">
        <v>4</v>
      </c>
      <c r="N104" t="n">
        <v>2</v>
      </c>
      <c r="O104" t="n">
        <v>2</v>
      </c>
      <c r="P104" t="n">
        <v>1</v>
      </c>
      <c r="Q104" t="n">
        <v>3</v>
      </c>
      <c r="R104">
        <f>IFERROR(XLOOKUP(XLOOKUP(D104,tblReleaseChanges[Change_ID],tblReleaseChanges[Oracle_Severity],""),tblSeverityMap[Severity_Text],tblSeverityMap[Score],0),0)</f>
        <v/>
      </c>
      <c r="S104" t="n">
        <v>1</v>
      </c>
      <c r="T104">
        <f>ROUND((M104*0.25)+(N104*0.20)+(O104*0.15)+(P104*0.15)+(Q104*0.10)+(R104*0.10)+(S104*0.05),2)</f>
        <v/>
      </c>
      <c r="U104">
        <f>IF(T104&gt;=4.25,"Critical",IF(T104&gt;=3.5,"High",IF(T104&gt;=2,"Medium","Low")))</f>
        <v/>
      </c>
      <c r="V104" t="inlineStr">
        <is>
          <t>Pending Review</t>
        </is>
      </c>
      <c r="W104" t="inlineStr"/>
      <c r="X104" t="inlineStr"/>
      <c r="Y104" t="inlineStr">
        <is>
          <t>Auto-enabled — no action required</t>
        </is>
      </c>
      <c r="Z104" t="inlineStr">
        <is>
          <t>N</t>
        </is>
      </c>
      <c r="AA104" t="inlineStr">
        <is>
          <t>N</t>
        </is>
      </c>
    </row>
    <row r="105">
      <c r="A105" t="inlineStr">
        <is>
          <t>ASMT_IMP_0080</t>
        </is>
      </c>
      <c r="B105" t="inlineStr">
        <is>
          <t>CLT_DFL001</t>
        </is>
      </c>
      <c r="C105" t="inlineStr">
        <is>
          <t>REL_26C</t>
        </is>
      </c>
      <c r="D105" t="inlineStr">
        <is>
          <t>CHG_IMP_0080</t>
        </is>
      </c>
      <c r="E105" t="inlineStr">
        <is>
          <t>Functional</t>
        </is>
      </c>
      <c r="F105" t="inlineStr">
        <is>
          <t>Configuration</t>
        </is>
      </c>
      <c r="G105" t="inlineStr"/>
      <c r="H105" t="inlineStr">
        <is>
          <t>DFL Benefits impacted by Oracle 26C change</t>
        </is>
      </c>
      <c r="I105" t="inlineStr">
        <is>
          <t>Y</t>
        </is>
      </c>
      <c r="J105" t="inlineStr">
        <is>
          <t>N</t>
        </is>
      </c>
      <c r="K105" t="inlineStr">
        <is>
          <t>N</t>
        </is>
      </c>
      <c r="L105" t="inlineStr">
        <is>
          <t>N</t>
        </is>
      </c>
      <c r="M105" t="n">
        <v>4</v>
      </c>
      <c r="N105" t="n">
        <v>2</v>
      </c>
      <c r="O105" t="n">
        <v>2</v>
      </c>
      <c r="P105" t="n">
        <v>1</v>
      </c>
      <c r="Q105" t="n">
        <v>3</v>
      </c>
      <c r="R105">
        <f>IFERROR(XLOOKUP(XLOOKUP(D105,tblReleaseChanges[Change_ID],tblReleaseChanges[Oracle_Severity],""),tblSeverityMap[Severity_Text],tblSeverityMap[Score],0),0)</f>
        <v/>
      </c>
      <c r="S105" t="n">
        <v>3</v>
      </c>
      <c r="T105">
        <f>ROUND((M105*0.25)+(N105*0.20)+(O105*0.15)+(P105*0.15)+(Q105*0.10)+(R105*0.10)+(S105*0.05),2)</f>
        <v/>
      </c>
      <c r="U105">
        <f>IF(T105&gt;=4.25,"Critical",IF(T105&gt;=3.5,"High",IF(T105&gt;=2,"Medium","Low")))</f>
        <v/>
      </c>
      <c r="V105" t="inlineStr">
        <is>
          <t>Pending Review</t>
        </is>
      </c>
      <c r="W105" t="inlineStr"/>
      <c r="X105" t="inlineStr"/>
      <c r="Y105" t="inlineStr">
        <is>
          <t>Action type: Steps to Enable. How do I configure attachment options for Redwood Benefits pending actions?</t>
        </is>
      </c>
      <c r="Z105" t="inlineStr">
        <is>
          <t>Y</t>
        </is>
      </c>
      <c r="AA105" t="inlineStr">
        <is>
          <t>Y</t>
        </is>
      </c>
    </row>
    <row r="106">
      <c r="A106" t="inlineStr">
        <is>
          <t>ASMT_IMP_0081</t>
        </is>
      </c>
      <c r="B106" t="inlineStr">
        <is>
          <t>CLT_DFL001</t>
        </is>
      </c>
      <c r="C106" t="inlineStr">
        <is>
          <t>REL_26C</t>
        </is>
      </c>
      <c r="D106" t="inlineStr">
        <is>
          <t>CHG_IMP_0081</t>
        </is>
      </c>
      <c r="E106" t="inlineStr">
        <is>
          <t>Functional</t>
        </is>
      </c>
      <c r="F106" t="inlineStr">
        <is>
          <t>Configuration</t>
        </is>
      </c>
      <c r="G106" t="inlineStr"/>
      <c r="H106" t="inlineStr">
        <is>
          <t>DFL Benefits impacted by Oracle 26C change</t>
        </is>
      </c>
      <c r="I106" t="inlineStr">
        <is>
          <t>Y</t>
        </is>
      </c>
      <c r="J106" t="inlineStr">
        <is>
          <t>N</t>
        </is>
      </c>
      <c r="K106" t="inlineStr">
        <is>
          <t>N</t>
        </is>
      </c>
      <c r="L106" t="inlineStr">
        <is>
          <t>N</t>
        </is>
      </c>
      <c r="M106" t="n">
        <v>4</v>
      </c>
      <c r="N106" t="n">
        <v>2</v>
      </c>
      <c r="O106" t="n">
        <v>2</v>
      </c>
      <c r="P106" t="n">
        <v>1</v>
      </c>
      <c r="Q106" t="n">
        <v>3</v>
      </c>
      <c r="R106">
        <f>IFERROR(XLOOKUP(XLOOKUP(D106,tblReleaseChanges[Change_ID],tblReleaseChanges[Oracle_Severity],""),tblSeverityMap[Severity_Text],tblSeverityMap[Score],0),0)</f>
        <v/>
      </c>
      <c r="S106" t="n">
        <v>3</v>
      </c>
      <c r="T106">
        <f>ROUND((M106*0.25)+(N106*0.20)+(O106*0.15)+(P106*0.15)+(Q106*0.10)+(R106*0.10)+(S106*0.05),2)</f>
        <v/>
      </c>
      <c r="U106">
        <f>IF(T106&gt;=4.25,"Critical",IF(T106&gt;=3.5,"High",IF(T106&gt;=2,"Medium","Low")))</f>
        <v/>
      </c>
      <c r="V106" t="inlineStr">
        <is>
          <t>Pending Review</t>
        </is>
      </c>
      <c r="W106" t="inlineStr"/>
      <c r="X106" t="inlineStr"/>
      <c r="Y106" t="inlineStr">
        <is>
          <t>Action type: Steps to Enable. Enable these profile options. To learn how to enable a profile option, see How do I enable a profile option? • ORA_HCM_VBCS_PWA_ENABLED • ORA_BEN_ADMINISTRATIVE_ENROLLMEN</t>
        </is>
      </c>
      <c r="Z106" t="inlineStr">
        <is>
          <t>Y</t>
        </is>
      </c>
      <c r="AA106" t="inlineStr">
        <is>
          <t>Y</t>
        </is>
      </c>
    </row>
    <row r="107">
      <c r="A107" t="inlineStr">
        <is>
          <t>ASMT_IMP_0082</t>
        </is>
      </c>
      <c r="B107" t="inlineStr">
        <is>
          <t>CLT_DFL001</t>
        </is>
      </c>
      <c r="C107" t="inlineStr">
        <is>
          <t>REL_26C</t>
        </is>
      </c>
      <c r="D107" t="inlineStr">
        <is>
          <t>CHG_IMP_0082</t>
        </is>
      </c>
      <c r="E107" t="inlineStr">
        <is>
          <t>Functional</t>
        </is>
      </c>
      <c r="F107" t="inlineStr">
        <is>
          <t>Configuration</t>
        </is>
      </c>
      <c r="G107" t="inlineStr"/>
      <c r="H107" t="inlineStr">
        <is>
          <t>DFL Benefits impacted by Oracle 26C change</t>
        </is>
      </c>
      <c r="I107" t="inlineStr">
        <is>
          <t>Y</t>
        </is>
      </c>
      <c r="J107" t="inlineStr">
        <is>
          <t>N</t>
        </is>
      </c>
      <c r="K107" t="inlineStr">
        <is>
          <t>N</t>
        </is>
      </c>
      <c r="L107" t="inlineStr">
        <is>
          <t>N</t>
        </is>
      </c>
      <c r="M107" t="n">
        <v>4</v>
      </c>
      <c r="N107" t="n">
        <v>2</v>
      </c>
      <c r="O107" t="n">
        <v>2</v>
      </c>
      <c r="P107" t="n">
        <v>1</v>
      </c>
      <c r="Q107" t="n">
        <v>3</v>
      </c>
      <c r="R107">
        <f>IFERROR(XLOOKUP(XLOOKUP(D107,tblReleaseChanges[Change_ID],tblReleaseChanges[Oracle_Severity],""),tblSeverityMap[Severity_Text],tblSeverityMap[Score],0),0)</f>
        <v/>
      </c>
      <c r="S107" t="n">
        <v>3</v>
      </c>
      <c r="T107">
        <f>ROUND((M107*0.25)+(N107*0.20)+(O107*0.15)+(P107*0.15)+(Q107*0.10)+(R107*0.10)+(S107*0.05),2)</f>
        <v/>
      </c>
      <c r="U107">
        <f>IF(T107&gt;=4.25,"Critical",IF(T107&gt;=3.5,"High",IF(T107&gt;=2,"Medium","Low")))</f>
        <v/>
      </c>
      <c r="V107" t="inlineStr">
        <is>
          <t>Pending Review</t>
        </is>
      </c>
      <c r="W107" t="inlineStr"/>
      <c r="X107" t="inlineStr"/>
      <c r="Y107" t="inlineStr">
        <is>
          <t>Action type: Steps to Enable. Here's how you configure page property rules for supported Benefits Redwood pages: 1. Open the supported Benefits Redwood page in Visual Builder Studio. 2. In Business Ru</t>
        </is>
      </c>
      <c r="Z107" t="inlineStr">
        <is>
          <t>Y</t>
        </is>
      </c>
      <c r="AA107" t="inlineStr">
        <is>
          <t>Y</t>
        </is>
      </c>
    </row>
    <row r="108">
      <c r="A108" t="inlineStr">
        <is>
          <t>ASMT_IMP_0083</t>
        </is>
      </c>
      <c r="B108" t="inlineStr">
        <is>
          <t>CLT_DFL001</t>
        </is>
      </c>
      <c r="C108" t="inlineStr">
        <is>
          <t>REL_26C</t>
        </is>
      </c>
      <c r="D108" t="inlineStr">
        <is>
          <t>CHG_IMP_0083</t>
        </is>
      </c>
      <c r="E108" t="inlineStr">
        <is>
          <t>Functional</t>
        </is>
      </c>
      <c r="F108" t="inlineStr">
        <is>
          <t>Configuration</t>
        </is>
      </c>
      <c r="G108" t="inlineStr"/>
      <c r="H108" t="inlineStr">
        <is>
          <t>DFL Benefits impacted by Oracle 26C change</t>
        </is>
      </c>
      <c r="I108" t="inlineStr">
        <is>
          <t>Y</t>
        </is>
      </c>
      <c r="J108" t="inlineStr">
        <is>
          <t>N</t>
        </is>
      </c>
      <c r="K108" t="inlineStr">
        <is>
          <t>N</t>
        </is>
      </c>
      <c r="L108" t="inlineStr">
        <is>
          <t>N</t>
        </is>
      </c>
      <c r="M108" t="n">
        <v>4</v>
      </c>
      <c r="N108" t="n">
        <v>2</v>
      </c>
      <c r="O108" t="n">
        <v>2</v>
      </c>
      <c r="P108" t="n">
        <v>1</v>
      </c>
      <c r="Q108" t="n">
        <v>3</v>
      </c>
      <c r="R108">
        <f>IFERROR(XLOOKUP(XLOOKUP(D108,tblReleaseChanges[Change_ID],tblReleaseChanges[Oracle_Severity],""),tblSeverityMap[Severity_Text],tblSeverityMap[Score],0),0)</f>
        <v/>
      </c>
      <c r="S108" t="n">
        <v>3</v>
      </c>
      <c r="T108">
        <f>ROUND((M108*0.25)+(N108*0.20)+(O108*0.15)+(P108*0.15)+(Q108*0.10)+(R108*0.10)+(S108*0.05),2)</f>
        <v/>
      </c>
      <c r="U108">
        <f>IF(T108&gt;=4.25,"Critical",IF(T108&gt;=3.5,"High",IF(T108&gt;=2,"Medium","Low")))</f>
        <v/>
      </c>
      <c r="V108" t="inlineStr">
        <is>
          <t>Pending Review</t>
        </is>
      </c>
      <c r="W108" t="inlineStr"/>
      <c r="X108" t="inlineStr"/>
      <c r="Y108" t="inlineStr">
        <is>
          <t>Action type: Steps to Enable. Enable these profile options. To learn how to enable a profile option, see How do I enable a profile option? • ORA_HCM_VBCS_PWA_ENABLED • ORA_BEN_ADMINISTRATIVE</t>
        </is>
      </c>
      <c r="Z108" t="inlineStr">
        <is>
          <t>Y</t>
        </is>
      </c>
      <c r="AA108" t="inlineStr">
        <is>
          <t>Y</t>
        </is>
      </c>
    </row>
    <row r="109">
      <c r="A109" t="inlineStr">
        <is>
          <t>ASMT_IMP_0084</t>
        </is>
      </c>
      <c r="B109" t="inlineStr">
        <is>
          <t>CLT_DFL001</t>
        </is>
      </c>
      <c r="C109" t="inlineStr">
        <is>
          <t>REL_26C</t>
        </is>
      </c>
      <c r="D109" t="inlineStr">
        <is>
          <t>CHG_IMP_0084</t>
        </is>
      </c>
      <c r="E109" t="inlineStr">
        <is>
          <t>Functional</t>
        </is>
      </c>
      <c r="F109" t="inlineStr">
        <is>
          <t>Configuration</t>
        </is>
      </c>
      <c r="G109" t="inlineStr"/>
      <c r="H109" t="inlineStr">
        <is>
          <t>DFL Benefits impacted by Oracle 26C change</t>
        </is>
      </c>
      <c r="I109" t="inlineStr">
        <is>
          <t>Y</t>
        </is>
      </c>
      <c r="J109" t="inlineStr">
        <is>
          <t>N</t>
        </is>
      </c>
      <c r="K109" t="inlineStr">
        <is>
          <t>N</t>
        </is>
      </c>
      <c r="L109" t="inlineStr">
        <is>
          <t>N</t>
        </is>
      </c>
      <c r="M109" t="n">
        <v>4</v>
      </c>
      <c r="N109" t="n">
        <v>2</v>
      </c>
      <c r="O109" t="n">
        <v>2</v>
      </c>
      <c r="P109" t="n">
        <v>1</v>
      </c>
      <c r="Q109" t="n">
        <v>3</v>
      </c>
      <c r="R109">
        <f>IFERROR(XLOOKUP(XLOOKUP(D109,tblReleaseChanges[Change_ID],tblReleaseChanges[Oracle_Severity],""),tblSeverityMap[Severity_Text],tblSeverityMap[Score],0),0)</f>
        <v/>
      </c>
      <c r="S109" t="n">
        <v>3</v>
      </c>
      <c r="T109">
        <f>ROUND((M109*0.25)+(N109*0.20)+(O109*0.15)+(P109*0.15)+(Q109*0.10)+(R109*0.10)+(S109*0.05),2)</f>
        <v/>
      </c>
      <c r="U109">
        <f>IF(T109&gt;=4.25,"Critical",IF(T109&gt;=3.5,"High",IF(T109&gt;=2,"Medium","Low")))</f>
        <v/>
      </c>
      <c r="V109" t="inlineStr">
        <is>
          <t>Pending Review</t>
        </is>
      </c>
      <c r="W109" t="inlineStr"/>
      <c r="X109" t="inlineStr"/>
      <c r="Y109" t="inlineStr">
        <is>
          <t>Action type: Steps to Enable. Enable these profile options. To learn how to enable a profile option, see How do I enable a profile option? • ORA_HCM_VBCS_PWA_ENABLED • ORA_BEN_PLAN_CONFIGURATION</t>
        </is>
      </c>
      <c r="Z109" t="inlineStr">
        <is>
          <t>Y</t>
        </is>
      </c>
      <c r="AA109" t="inlineStr">
        <is>
          <t>Y</t>
        </is>
      </c>
    </row>
    <row r="110">
      <c r="A110" t="inlineStr">
        <is>
          <t>ASMT_IMP_0085</t>
        </is>
      </c>
      <c r="B110" t="inlineStr">
        <is>
          <t>CLT_DFL001</t>
        </is>
      </c>
      <c r="C110" t="inlineStr">
        <is>
          <t>REL_26C</t>
        </is>
      </c>
      <c r="D110" t="inlineStr">
        <is>
          <t>CHG_IMP_0085</t>
        </is>
      </c>
      <c r="E110" t="inlineStr">
        <is>
          <t>Functional</t>
        </is>
      </c>
      <c r="F110" t="inlineStr">
        <is>
          <t>Configuration</t>
        </is>
      </c>
      <c r="G110" t="inlineStr"/>
      <c r="H110" t="inlineStr">
        <is>
          <t>DFL Benefits impacted by Oracle 26C change</t>
        </is>
      </c>
      <c r="I110" t="inlineStr">
        <is>
          <t>Y</t>
        </is>
      </c>
      <c r="J110" t="inlineStr">
        <is>
          <t>N</t>
        </is>
      </c>
      <c r="K110" t="inlineStr">
        <is>
          <t>N</t>
        </is>
      </c>
      <c r="L110" t="inlineStr">
        <is>
          <t>N</t>
        </is>
      </c>
      <c r="M110" t="n">
        <v>4</v>
      </c>
      <c r="N110" t="n">
        <v>2</v>
      </c>
      <c r="O110" t="n">
        <v>2</v>
      </c>
      <c r="P110" t="n">
        <v>1</v>
      </c>
      <c r="Q110" t="n">
        <v>3</v>
      </c>
      <c r="R110">
        <f>IFERROR(XLOOKUP(XLOOKUP(D110,tblReleaseChanges[Change_ID],tblReleaseChanges[Oracle_Severity],""),tblSeverityMap[Severity_Text],tblSeverityMap[Score],0),0)</f>
        <v/>
      </c>
      <c r="S110" t="n">
        <v>3</v>
      </c>
      <c r="T110">
        <f>ROUND((M110*0.25)+(N110*0.20)+(O110*0.15)+(P110*0.15)+(Q110*0.10)+(R110*0.10)+(S110*0.05),2)</f>
        <v/>
      </c>
      <c r="U110">
        <f>IF(T110&gt;=4.25,"Critical",IF(T110&gt;=3.5,"High",IF(T110&gt;=2,"Medium","Low")))</f>
        <v/>
      </c>
      <c r="V110" t="inlineStr">
        <is>
          <t>Pending Review</t>
        </is>
      </c>
      <c r="W110" t="inlineStr"/>
      <c r="X110" t="inlineStr"/>
      <c r="Y110" t="inlineStr">
        <is>
          <t>Action type: Steps to Enable. This feature is available in the Redwood Benefits experience. Enable these profile options. To learn how to enable a profile option, see How do I enab</t>
        </is>
      </c>
      <c r="Z110" t="inlineStr">
        <is>
          <t>Y</t>
        </is>
      </c>
      <c r="AA110" t="inlineStr">
        <is>
          <t>Y</t>
        </is>
      </c>
    </row>
    <row r="111">
      <c r="A111" t="inlineStr">
        <is>
          <t>ASMT_IMP_0086</t>
        </is>
      </c>
      <c r="B111" t="inlineStr">
        <is>
          <t>CLT_DFL001</t>
        </is>
      </c>
      <c r="C111" t="inlineStr">
        <is>
          <t>REL_26C</t>
        </is>
      </c>
      <c r="D111" t="inlineStr">
        <is>
          <t>CHG_IMP_0086</t>
        </is>
      </c>
      <c r="E111" t="inlineStr">
        <is>
          <t>Functional</t>
        </is>
      </c>
      <c r="F111" t="inlineStr">
        <is>
          <t>Configuration</t>
        </is>
      </c>
      <c r="G111" t="inlineStr"/>
      <c r="H111" t="inlineStr">
        <is>
          <t>DFL Benefits impacted by Oracle 26C change</t>
        </is>
      </c>
      <c r="I111" t="inlineStr">
        <is>
          <t>Y</t>
        </is>
      </c>
      <c r="J111" t="inlineStr">
        <is>
          <t>N</t>
        </is>
      </c>
      <c r="K111" t="inlineStr">
        <is>
          <t>N</t>
        </is>
      </c>
      <c r="L111" t="inlineStr">
        <is>
          <t>N</t>
        </is>
      </c>
      <c r="M111" t="n">
        <v>4</v>
      </c>
      <c r="N111" t="n">
        <v>2</v>
      </c>
      <c r="O111" t="n">
        <v>2</v>
      </c>
      <c r="P111" t="n">
        <v>1</v>
      </c>
      <c r="Q111" t="n">
        <v>3</v>
      </c>
      <c r="R111">
        <f>IFERROR(XLOOKUP(XLOOKUP(D111,tblReleaseChanges[Change_ID],tblReleaseChanges[Oracle_Severity],""),tblSeverityMap[Severity_Text],tblSeverityMap[Score],0),0)</f>
        <v/>
      </c>
      <c r="S111" t="n">
        <v>3</v>
      </c>
      <c r="T111">
        <f>ROUND((M111*0.25)+(N111*0.20)+(O111*0.15)+(P111*0.15)+(Q111*0.10)+(R111*0.10)+(S111*0.05),2)</f>
        <v/>
      </c>
      <c r="U111">
        <f>IF(T111&gt;=4.25,"Critical",IF(T111&gt;=3.5,"High",IF(T111&gt;=2,"Medium","Low")))</f>
        <v/>
      </c>
      <c r="V111" t="inlineStr">
        <is>
          <t>Pending Review</t>
        </is>
      </c>
      <c r="W111" t="inlineStr"/>
      <c r="X111" t="inlineStr"/>
      <c r="Y111" t="inlineStr">
        <is>
          <t>Action type: Steps to Enable. Enable these profile options. To learn how to enable a profile option, see How do I enable a profile option? • ORA_HCM_VBCS_PWA_ENABLED • ORA_BEN_ADMINISTRATIVE_E</t>
        </is>
      </c>
      <c r="Z111" t="inlineStr">
        <is>
          <t>Y</t>
        </is>
      </c>
      <c r="AA111" t="inlineStr">
        <is>
          <t>Y</t>
        </is>
      </c>
    </row>
    <row r="112">
      <c r="A112" t="inlineStr">
        <is>
          <t>ASMT_IMP_0087</t>
        </is>
      </c>
      <c r="B112" t="inlineStr">
        <is>
          <t>CLT_DFL001</t>
        </is>
      </c>
      <c r="C112" t="inlineStr">
        <is>
          <t>REL_26C</t>
        </is>
      </c>
      <c r="D112" t="inlineStr">
        <is>
          <t>CHG_IMP_0087</t>
        </is>
      </c>
      <c r="E112" t="inlineStr">
        <is>
          <t>Functional</t>
        </is>
      </c>
      <c r="F112" t="inlineStr">
        <is>
          <t>Configuration</t>
        </is>
      </c>
      <c r="G112" t="inlineStr"/>
      <c r="H112" t="inlineStr">
        <is>
          <t>DFL Benefits impacted by Oracle 26C change</t>
        </is>
      </c>
      <c r="I112" t="inlineStr">
        <is>
          <t>Y</t>
        </is>
      </c>
      <c r="J112" t="inlineStr">
        <is>
          <t>N</t>
        </is>
      </c>
      <c r="K112" t="inlineStr">
        <is>
          <t>N</t>
        </is>
      </c>
      <c r="L112" t="inlineStr">
        <is>
          <t>N</t>
        </is>
      </c>
      <c r="M112" t="n">
        <v>4</v>
      </c>
      <c r="N112" t="n">
        <v>2</v>
      </c>
      <c r="O112" t="n">
        <v>2</v>
      </c>
      <c r="P112" t="n">
        <v>1</v>
      </c>
      <c r="Q112" t="n">
        <v>3</v>
      </c>
      <c r="R112">
        <f>IFERROR(XLOOKUP(XLOOKUP(D112,tblReleaseChanges[Change_ID],tblReleaseChanges[Oracle_Severity],""),tblSeverityMap[Severity_Text],tblSeverityMap[Score],0),0)</f>
        <v/>
      </c>
      <c r="S112" t="n">
        <v>3</v>
      </c>
      <c r="T112">
        <f>ROUND((M112*0.25)+(N112*0.20)+(O112*0.15)+(P112*0.15)+(Q112*0.10)+(R112*0.10)+(S112*0.05),2)</f>
        <v/>
      </c>
      <c r="U112">
        <f>IF(T112&gt;=4.25,"Critical",IF(T112&gt;=3.5,"High",IF(T112&gt;=2,"Medium","Low")))</f>
        <v/>
      </c>
      <c r="V112" t="inlineStr">
        <is>
          <t>Pending Review</t>
        </is>
      </c>
      <c r="W112" t="inlineStr"/>
      <c r="X112" t="inlineStr"/>
      <c r="Y112" t="inlineStr">
        <is>
          <t>Action type: Steps to Enable. This feature is available in the Redwood Benefits Summary. Enable these profile options. To learn how to enable a profile option, see How do I enable a profile option?. •</t>
        </is>
      </c>
      <c r="Z112" t="inlineStr">
        <is>
          <t>Y</t>
        </is>
      </c>
      <c r="AA112" t="inlineStr">
        <is>
          <t>Y</t>
        </is>
      </c>
    </row>
    <row r="113">
      <c r="A113" t="inlineStr">
        <is>
          <t>ASMT_IMP_0088</t>
        </is>
      </c>
      <c r="B113" t="inlineStr">
        <is>
          <t>CLT_DFL001</t>
        </is>
      </c>
      <c r="C113" t="inlineStr">
        <is>
          <t>REL_26C</t>
        </is>
      </c>
      <c r="D113" t="inlineStr">
        <is>
          <t>CHG_IMP_0088</t>
        </is>
      </c>
      <c r="E113" t="inlineStr">
        <is>
          <t>Functional</t>
        </is>
      </c>
      <c r="F113" t="inlineStr">
        <is>
          <t>Configuration</t>
        </is>
      </c>
      <c r="G113" t="inlineStr"/>
      <c r="H113" t="inlineStr">
        <is>
          <t>DFL Benefits impacted by Oracle 26C change</t>
        </is>
      </c>
      <c r="I113" t="inlineStr">
        <is>
          <t>Y</t>
        </is>
      </c>
      <c r="J113" t="inlineStr">
        <is>
          <t>N</t>
        </is>
      </c>
      <c r="K113" t="inlineStr">
        <is>
          <t>N</t>
        </is>
      </c>
      <c r="L113" t="inlineStr">
        <is>
          <t>N</t>
        </is>
      </c>
      <c r="M113" t="n">
        <v>4</v>
      </c>
      <c r="N113" t="n">
        <v>2</v>
      </c>
      <c r="O113" t="n">
        <v>2</v>
      </c>
      <c r="P113" t="n">
        <v>1</v>
      </c>
      <c r="Q113" t="n">
        <v>3</v>
      </c>
      <c r="R113">
        <f>IFERROR(XLOOKUP(XLOOKUP(D113,tblReleaseChanges[Change_ID],tblReleaseChanges[Oracle_Severity],""),tblSeverityMap[Severity_Text],tblSeverityMap[Score],0),0)</f>
        <v/>
      </c>
      <c r="S113" t="n">
        <v>3</v>
      </c>
      <c r="T113">
        <f>ROUND((M113*0.25)+(N113*0.20)+(O113*0.15)+(P113*0.15)+(Q113*0.10)+(R113*0.10)+(S113*0.05),2)</f>
        <v/>
      </c>
      <c r="U113">
        <f>IF(T113&gt;=4.25,"Critical",IF(T113&gt;=3.5,"High",IF(T113&gt;=2,"Medium","Low")))</f>
        <v/>
      </c>
      <c r="V113" t="inlineStr">
        <is>
          <t>Pending Review</t>
        </is>
      </c>
      <c r="W113" t="inlineStr"/>
      <c r="X113" t="inlineStr"/>
      <c r="Y113" t="inlineStr">
        <is>
          <t>Action type: Steps to Enable. Enable these profile options. To learn how to enable a profile option, see How do I enable a profile option? • ORA_HCM_VBCS_PWA_ENABLED • ORA_BEN_PLAN_CONFIGURATION_REDWO</t>
        </is>
      </c>
      <c r="Z113" t="inlineStr">
        <is>
          <t>Y</t>
        </is>
      </c>
      <c r="AA113" t="inlineStr">
        <is>
          <t>Y</t>
        </is>
      </c>
    </row>
    <row r="114">
      <c r="A114" t="inlineStr">
        <is>
          <t>ASMT_IMP_0089</t>
        </is>
      </c>
      <c r="B114" t="inlineStr">
        <is>
          <t>CLT_DFL001</t>
        </is>
      </c>
      <c r="C114" t="inlineStr">
        <is>
          <t>REL_26C</t>
        </is>
      </c>
      <c r="D114" t="inlineStr">
        <is>
          <t>CHG_IMP_0089</t>
        </is>
      </c>
      <c r="E114" t="inlineStr">
        <is>
          <t>Functional</t>
        </is>
      </c>
      <c r="F114" t="inlineStr">
        <is>
          <t>Configuration</t>
        </is>
      </c>
      <c r="G114" t="inlineStr"/>
      <c r="H114" t="inlineStr">
        <is>
          <t>DFL Benefits impacted by Oracle 26C change</t>
        </is>
      </c>
      <c r="I114" t="inlineStr">
        <is>
          <t>Y</t>
        </is>
      </c>
      <c r="J114" t="inlineStr">
        <is>
          <t>N</t>
        </is>
      </c>
      <c r="K114" t="inlineStr">
        <is>
          <t>N</t>
        </is>
      </c>
      <c r="L114" t="inlineStr">
        <is>
          <t>N</t>
        </is>
      </c>
      <c r="M114" t="n">
        <v>4</v>
      </c>
      <c r="N114" t="n">
        <v>2</v>
      </c>
      <c r="O114" t="n">
        <v>2</v>
      </c>
      <c r="P114" t="n">
        <v>1</v>
      </c>
      <c r="Q114" t="n">
        <v>3</v>
      </c>
      <c r="R114">
        <f>IFERROR(XLOOKUP(XLOOKUP(D114,tblReleaseChanges[Change_ID],tblReleaseChanges[Oracle_Severity],""),tblSeverityMap[Severity_Text],tblSeverityMap[Score],0),0)</f>
        <v/>
      </c>
      <c r="S114" t="n">
        <v>3</v>
      </c>
      <c r="T114">
        <f>ROUND((M114*0.25)+(N114*0.20)+(O114*0.15)+(P114*0.15)+(Q114*0.10)+(R114*0.10)+(S114*0.05),2)</f>
        <v/>
      </c>
      <c r="U114">
        <f>IF(T114&gt;=4.25,"Critical",IF(T114&gt;=3.5,"High",IF(T114&gt;=2,"Medium","Low")))</f>
        <v/>
      </c>
      <c r="V114" t="inlineStr">
        <is>
          <t>Pending Review</t>
        </is>
      </c>
      <c r="W114" t="inlineStr"/>
      <c r="X114" t="inlineStr"/>
      <c r="Y114" t="inlineStr">
        <is>
          <t>Action type: Steps to Enable. Enable these profile options. To learn how to enable a profile option, see How do I enable a profile option? • ORA_HCM_VBCS_PWA_ENABLED • ORA_BEN_ADMINISTRATIVE_ENROLL</t>
        </is>
      </c>
      <c r="Z114" t="inlineStr">
        <is>
          <t>Y</t>
        </is>
      </c>
      <c r="AA114" t="inlineStr">
        <is>
          <t>Y</t>
        </is>
      </c>
    </row>
    <row r="115">
      <c r="A115" t="inlineStr">
        <is>
          <t>ASMT_IMP_0090</t>
        </is>
      </c>
      <c r="B115" t="inlineStr">
        <is>
          <t>CLT_DFL001</t>
        </is>
      </c>
      <c r="C115" t="inlineStr">
        <is>
          <t>REL_26C</t>
        </is>
      </c>
      <c r="D115" t="inlineStr">
        <is>
          <t>CHG_IMP_0090</t>
        </is>
      </c>
      <c r="E115" t="inlineStr">
        <is>
          <t>Functional</t>
        </is>
      </c>
      <c r="F115" t="inlineStr">
        <is>
          <t>Configuration</t>
        </is>
      </c>
      <c r="G115" t="inlineStr"/>
      <c r="H115" t="inlineStr">
        <is>
          <t>DFL Compensation impacted by Oracle 26C change</t>
        </is>
      </c>
      <c r="I115" t="inlineStr">
        <is>
          <t>Y</t>
        </is>
      </c>
      <c r="J115" t="inlineStr">
        <is>
          <t>N</t>
        </is>
      </c>
      <c r="K115" t="inlineStr">
        <is>
          <t>N</t>
        </is>
      </c>
      <c r="L115" t="inlineStr">
        <is>
          <t>N</t>
        </is>
      </c>
      <c r="M115" t="n">
        <v>4</v>
      </c>
      <c r="N115" t="n">
        <v>2</v>
      </c>
      <c r="O115" t="n">
        <v>2</v>
      </c>
      <c r="P115" t="n">
        <v>1</v>
      </c>
      <c r="Q115" t="n">
        <v>3</v>
      </c>
      <c r="R115">
        <f>IFERROR(XLOOKUP(XLOOKUP(D115,tblReleaseChanges[Change_ID],tblReleaseChanges[Oracle_Severity],""),tblSeverityMap[Severity_Text],tblSeverityMap[Score],0),0)</f>
        <v/>
      </c>
      <c r="S115" t="n">
        <v>1</v>
      </c>
      <c r="T115">
        <f>ROUND((M115*0.25)+(N115*0.20)+(O115*0.15)+(P115*0.15)+(Q115*0.10)+(R115*0.10)+(S115*0.05),2)</f>
        <v/>
      </c>
      <c r="U115">
        <f>IF(T115&gt;=4.25,"Critical",IF(T115&gt;=3.5,"High",IF(T115&gt;=2,"Medium","Low")))</f>
        <v/>
      </c>
      <c r="V115" t="inlineStr">
        <is>
          <t>Pending Review</t>
        </is>
      </c>
      <c r="W115" t="inlineStr"/>
      <c r="X115" t="inlineStr"/>
      <c r="Y115" t="inlineStr">
        <is>
          <t>Auto-enabled — no action required</t>
        </is>
      </c>
      <c r="Z115" t="inlineStr">
        <is>
          <t>N</t>
        </is>
      </c>
      <c r="AA115" t="inlineStr">
        <is>
          <t>N</t>
        </is>
      </c>
    </row>
    <row r="116">
      <c r="A116" t="inlineStr">
        <is>
          <t>ASMT_IMP_0091</t>
        </is>
      </c>
      <c r="B116" t="inlineStr">
        <is>
          <t>CLT_DFL001</t>
        </is>
      </c>
      <c r="C116" t="inlineStr">
        <is>
          <t>REL_26C</t>
        </is>
      </c>
      <c r="D116" t="inlineStr">
        <is>
          <t>CHG_IMP_0091</t>
        </is>
      </c>
      <c r="E116" t="inlineStr">
        <is>
          <t>Functional</t>
        </is>
      </c>
      <c r="F116" t="inlineStr">
        <is>
          <t>Configuration</t>
        </is>
      </c>
      <c r="G116" t="inlineStr"/>
      <c r="H116" t="inlineStr">
        <is>
          <t>DFL Compensation impacted by Oracle 26C change</t>
        </is>
      </c>
      <c r="I116" t="inlineStr">
        <is>
          <t>Y</t>
        </is>
      </c>
      <c r="J116" t="inlineStr">
        <is>
          <t>N</t>
        </is>
      </c>
      <c r="K116" t="inlineStr">
        <is>
          <t>N</t>
        </is>
      </c>
      <c r="L116" t="inlineStr">
        <is>
          <t>N</t>
        </is>
      </c>
      <c r="M116" t="n">
        <v>4</v>
      </c>
      <c r="N116" t="n">
        <v>2</v>
      </c>
      <c r="O116" t="n">
        <v>2</v>
      </c>
      <c r="P116" t="n">
        <v>1</v>
      </c>
      <c r="Q116" t="n">
        <v>3</v>
      </c>
      <c r="R116">
        <f>IFERROR(XLOOKUP(XLOOKUP(D116,tblReleaseChanges[Change_ID],tblReleaseChanges[Oracle_Severity],""),tblSeverityMap[Severity_Text],tblSeverityMap[Score],0),0)</f>
        <v/>
      </c>
      <c r="S116" t="n">
        <v>1</v>
      </c>
      <c r="T116">
        <f>ROUND((M116*0.25)+(N116*0.20)+(O116*0.15)+(P116*0.15)+(Q116*0.10)+(R116*0.10)+(S116*0.05),2)</f>
        <v/>
      </c>
      <c r="U116">
        <f>IF(T116&gt;=4.25,"Critical",IF(T116&gt;=3.5,"High",IF(T116&gt;=2,"Medium","Low")))</f>
        <v/>
      </c>
      <c r="V116" t="inlineStr">
        <is>
          <t>Pending Review</t>
        </is>
      </c>
      <c r="W116" t="inlineStr"/>
      <c r="X116" t="inlineStr"/>
      <c r="Y116" t="inlineStr">
        <is>
          <t>Auto-enabled — no action required</t>
        </is>
      </c>
      <c r="Z116" t="inlineStr">
        <is>
          <t>N</t>
        </is>
      </c>
      <c r="AA116" t="inlineStr">
        <is>
          <t>N</t>
        </is>
      </c>
    </row>
    <row r="117">
      <c r="A117" t="inlineStr">
        <is>
          <t>ASMT_IMP_0092</t>
        </is>
      </c>
      <c r="B117" t="inlineStr">
        <is>
          <t>CLT_DFL001</t>
        </is>
      </c>
      <c r="C117" t="inlineStr">
        <is>
          <t>REL_26C</t>
        </is>
      </c>
      <c r="D117" t="inlineStr">
        <is>
          <t>CHG_IMP_0092</t>
        </is>
      </c>
      <c r="E117" t="inlineStr">
        <is>
          <t>Functional</t>
        </is>
      </c>
      <c r="F117" t="inlineStr">
        <is>
          <t>Configuration</t>
        </is>
      </c>
      <c r="G117" t="inlineStr"/>
      <c r="H117" t="inlineStr">
        <is>
          <t>DFL Compensation impacted by Oracle 26C change</t>
        </is>
      </c>
      <c r="I117" t="inlineStr">
        <is>
          <t>Y</t>
        </is>
      </c>
      <c r="J117" t="inlineStr">
        <is>
          <t>N</t>
        </is>
      </c>
      <c r="K117" t="inlineStr">
        <is>
          <t>N</t>
        </is>
      </c>
      <c r="L117" t="inlineStr">
        <is>
          <t>N</t>
        </is>
      </c>
      <c r="M117" t="n">
        <v>4</v>
      </c>
      <c r="N117" t="n">
        <v>2</v>
      </c>
      <c r="O117" t="n">
        <v>2</v>
      </c>
      <c r="P117" t="n">
        <v>1</v>
      </c>
      <c r="Q117" t="n">
        <v>3</v>
      </c>
      <c r="R117">
        <f>IFERROR(XLOOKUP(XLOOKUP(D117,tblReleaseChanges[Change_ID],tblReleaseChanges[Oracle_Severity],""),tblSeverityMap[Severity_Text],tblSeverityMap[Score],0),0)</f>
        <v/>
      </c>
      <c r="S117" t="n">
        <v>1</v>
      </c>
      <c r="T117">
        <f>ROUND((M117*0.25)+(N117*0.20)+(O117*0.15)+(P117*0.15)+(Q117*0.10)+(R117*0.10)+(S117*0.05),2)</f>
        <v/>
      </c>
      <c r="U117">
        <f>IF(T117&gt;=4.25,"Critical",IF(T117&gt;=3.5,"High",IF(T117&gt;=2,"Medium","Low")))</f>
        <v/>
      </c>
      <c r="V117" t="inlineStr">
        <is>
          <t>Pending Review</t>
        </is>
      </c>
      <c r="W117" t="inlineStr"/>
      <c r="X117" t="inlineStr"/>
      <c r="Y117" t="inlineStr">
        <is>
          <t>Auto-enabled — no action required</t>
        </is>
      </c>
      <c r="Z117" t="inlineStr">
        <is>
          <t>N</t>
        </is>
      </c>
      <c r="AA117" t="inlineStr">
        <is>
          <t>N</t>
        </is>
      </c>
    </row>
    <row r="118">
      <c r="A118" t="inlineStr">
        <is>
          <t>ASMT_IMP_0093</t>
        </is>
      </c>
      <c r="B118" t="inlineStr">
        <is>
          <t>CLT_DFL001</t>
        </is>
      </c>
      <c r="C118" t="inlineStr">
        <is>
          <t>REL_26C</t>
        </is>
      </c>
      <c r="D118" t="inlineStr">
        <is>
          <t>CHG_IMP_0093</t>
        </is>
      </c>
      <c r="E118" t="inlineStr">
        <is>
          <t>Functional</t>
        </is>
      </c>
      <c r="F118" t="inlineStr">
        <is>
          <t>Configuration</t>
        </is>
      </c>
      <c r="G118" t="inlineStr"/>
      <c r="H118" t="inlineStr">
        <is>
          <t>DFL Compensation impacted by Oracle 26C change</t>
        </is>
      </c>
      <c r="I118" t="inlineStr">
        <is>
          <t>Y</t>
        </is>
      </c>
      <c r="J118" t="inlineStr">
        <is>
          <t>N</t>
        </is>
      </c>
      <c r="K118" t="inlineStr">
        <is>
          <t>N</t>
        </is>
      </c>
      <c r="L118" t="inlineStr">
        <is>
          <t>N</t>
        </is>
      </c>
      <c r="M118" t="n">
        <v>4</v>
      </c>
      <c r="N118" t="n">
        <v>2</v>
      </c>
      <c r="O118" t="n">
        <v>2</v>
      </c>
      <c r="P118" t="n">
        <v>1</v>
      </c>
      <c r="Q118" t="n">
        <v>3</v>
      </c>
      <c r="R118">
        <f>IFERROR(XLOOKUP(XLOOKUP(D118,tblReleaseChanges[Change_ID],tblReleaseChanges[Oracle_Severity],""),tblSeverityMap[Severity_Text],tblSeverityMap[Score],0),0)</f>
        <v/>
      </c>
      <c r="S118" t="n">
        <v>1</v>
      </c>
      <c r="T118">
        <f>ROUND((M118*0.25)+(N118*0.20)+(O118*0.15)+(P118*0.15)+(Q118*0.10)+(R118*0.10)+(S118*0.05),2)</f>
        <v/>
      </c>
      <c r="U118">
        <f>IF(T118&gt;=4.25,"Critical",IF(T118&gt;=3.5,"High",IF(T118&gt;=2,"Medium","Low")))</f>
        <v/>
      </c>
      <c r="V118" t="inlineStr">
        <is>
          <t>Pending Review</t>
        </is>
      </c>
      <c r="W118" t="inlineStr"/>
      <c r="X118" t="inlineStr"/>
      <c r="Y118" t="inlineStr">
        <is>
          <t>Auto-enabled — no action required</t>
        </is>
      </c>
      <c r="Z118" t="inlineStr">
        <is>
          <t>N</t>
        </is>
      </c>
      <c r="AA118" t="inlineStr">
        <is>
          <t>N</t>
        </is>
      </c>
    </row>
    <row r="119">
      <c r="A119" t="inlineStr">
        <is>
          <t>ASMT_IMP_0094</t>
        </is>
      </c>
      <c r="B119" t="inlineStr">
        <is>
          <t>CLT_DFL001</t>
        </is>
      </c>
      <c r="C119" t="inlineStr">
        <is>
          <t>REL_26C</t>
        </is>
      </c>
      <c r="D119" t="inlineStr">
        <is>
          <t>CHG_IMP_0094</t>
        </is>
      </c>
      <c r="E119" t="inlineStr">
        <is>
          <t>Functional</t>
        </is>
      </c>
      <c r="F119" t="inlineStr">
        <is>
          <t>Configuration</t>
        </is>
      </c>
      <c r="G119" t="inlineStr"/>
      <c r="H119" t="inlineStr">
        <is>
          <t>DFL Compensation impacted by Oracle 26C change</t>
        </is>
      </c>
      <c r="I119" t="inlineStr">
        <is>
          <t>Y</t>
        </is>
      </c>
      <c r="J119" t="inlineStr">
        <is>
          <t>N</t>
        </is>
      </c>
      <c r="K119" t="inlineStr">
        <is>
          <t>N</t>
        </is>
      </c>
      <c r="L119" t="inlineStr">
        <is>
          <t>N</t>
        </is>
      </c>
      <c r="M119" t="n">
        <v>4</v>
      </c>
      <c r="N119" t="n">
        <v>2</v>
      </c>
      <c r="O119" t="n">
        <v>2</v>
      </c>
      <c r="P119" t="n">
        <v>1</v>
      </c>
      <c r="Q119" t="n">
        <v>3</v>
      </c>
      <c r="R119">
        <f>IFERROR(XLOOKUP(XLOOKUP(D119,tblReleaseChanges[Change_ID],tblReleaseChanges[Oracle_Severity],""),tblSeverityMap[Severity_Text],tblSeverityMap[Score],0),0)</f>
        <v/>
      </c>
      <c r="S119" t="n">
        <v>1</v>
      </c>
      <c r="T119">
        <f>ROUND((M119*0.25)+(N119*0.20)+(O119*0.15)+(P119*0.15)+(Q119*0.10)+(R119*0.10)+(S119*0.05),2)</f>
        <v/>
      </c>
      <c r="U119">
        <f>IF(T119&gt;=4.25,"Critical",IF(T119&gt;=3.5,"High",IF(T119&gt;=2,"Medium","Low")))</f>
        <v/>
      </c>
      <c r="V119" t="inlineStr">
        <is>
          <t>Pending Review</t>
        </is>
      </c>
      <c r="W119" t="inlineStr"/>
      <c r="X119" t="inlineStr"/>
      <c r="Y119" t="inlineStr">
        <is>
          <t>Auto-enabled — no action required</t>
        </is>
      </c>
      <c r="Z119" t="inlineStr">
        <is>
          <t>N</t>
        </is>
      </c>
      <c r="AA119" t="inlineStr">
        <is>
          <t>N</t>
        </is>
      </c>
    </row>
    <row r="120">
      <c r="A120" t="inlineStr">
        <is>
          <t>ASMT_IMP_0095</t>
        </is>
      </c>
      <c r="B120" t="inlineStr">
        <is>
          <t>CLT_DFL001</t>
        </is>
      </c>
      <c r="C120" t="inlineStr">
        <is>
          <t>REL_26C</t>
        </is>
      </c>
      <c r="D120" t="inlineStr">
        <is>
          <t>CHG_IMP_0095</t>
        </is>
      </c>
      <c r="E120" t="inlineStr">
        <is>
          <t>Functional</t>
        </is>
      </c>
      <c r="F120" t="inlineStr">
        <is>
          <t>Configuration</t>
        </is>
      </c>
      <c r="G120" t="inlineStr"/>
      <c r="H120" t="inlineStr">
        <is>
          <t>DFL Compensation impacted by Oracle 26C change</t>
        </is>
      </c>
      <c r="I120" t="inlineStr">
        <is>
          <t>Y</t>
        </is>
      </c>
      <c r="J120" t="inlineStr">
        <is>
          <t>N</t>
        </is>
      </c>
      <c r="K120" t="inlineStr">
        <is>
          <t>N</t>
        </is>
      </c>
      <c r="L120" t="inlineStr">
        <is>
          <t>N</t>
        </is>
      </c>
      <c r="M120" t="n">
        <v>4</v>
      </c>
      <c r="N120" t="n">
        <v>2</v>
      </c>
      <c r="O120" t="n">
        <v>2</v>
      </c>
      <c r="P120" t="n">
        <v>1</v>
      </c>
      <c r="Q120" t="n">
        <v>3</v>
      </c>
      <c r="R120">
        <f>IFERROR(XLOOKUP(XLOOKUP(D120,tblReleaseChanges[Change_ID],tblReleaseChanges[Oracle_Severity],""),tblSeverityMap[Severity_Text],tblSeverityMap[Score],0),0)</f>
        <v/>
      </c>
      <c r="S120" t="n">
        <v>3</v>
      </c>
      <c r="T120">
        <f>ROUND((M120*0.25)+(N120*0.20)+(O120*0.15)+(P120*0.15)+(Q120*0.10)+(R120*0.10)+(S120*0.05),2)</f>
        <v/>
      </c>
      <c r="U120">
        <f>IF(T120&gt;=4.25,"Critical",IF(T120&gt;=3.5,"High",IF(T120&gt;=2,"Medium","Low")))</f>
        <v/>
      </c>
      <c r="V120" t="inlineStr">
        <is>
          <t>Pending Review</t>
        </is>
      </c>
      <c r="W120" t="inlineStr"/>
      <c r="X120" t="inlineStr"/>
      <c r="Y120" t="inlineStr">
        <is>
          <t>Action type: Steps to Enable. Use the Opt In UI to enable this feature. For instructions, refer to the Optional Uptake of New Features section of this document. Offering: *Compensation Management* W</t>
        </is>
      </c>
      <c r="Z120" t="inlineStr">
        <is>
          <t>Y</t>
        </is>
      </c>
      <c r="AA120" t="inlineStr">
        <is>
          <t>Y</t>
        </is>
      </c>
    </row>
    <row r="121">
      <c r="A121" t="inlineStr">
        <is>
          <t>ASMT_IMP_0096</t>
        </is>
      </c>
      <c r="B121" t="inlineStr">
        <is>
          <t>CLT_DFL001</t>
        </is>
      </c>
      <c r="C121" t="inlineStr">
        <is>
          <t>REL_26C</t>
        </is>
      </c>
      <c r="D121" t="inlineStr">
        <is>
          <t>CHG_IMP_0096</t>
        </is>
      </c>
      <c r="E121" t="inlineStr">
        <is>
          <t>Functional</t>
        </is>
      </c>
      <c r="F121" t="inlineStr">
        <is>
          <t>Configuration</t>
        </is>
      </c>
      <c r="G121" t="inlineStr"/>
      <c r="H121" t="inlineStr">
        <is>
          <t>DFL Compensation impacted by Oracle 26C change</t>
        </is>
      </c>
      <c r="I121" t="inlineStr">
        <is>
          <t>Y</t>
        </is>
      </c>
      <c r="J121" t="inlineStr">
        <is>
          <t>N</t>
        </is>
      </c>
      <c r="K121" t="inlineStr">
        <is>
          <t>N</t>
        </is>
      </c>
      <c r="L121" t="inlineStr">
        <is>
          <t>N</t>
        </is>
      </c>
      <c r="M121" t="n">
        <v>4</v>
      </c>
      <c r="N121" t="n">
        <v>2</v>
      </c>
      <c r="O121" t="n">
        <v>2</v>
      </c>
      <c r="P121" t="n">
        <v>1</v>
      </c>
      <c r="Q121" t="n">
        <v>3</v>
      </c>
      <c r="R121">
        <f>IFERROR(XLOOKUP(XLOOKUP(D121,tblReleaseChanges[Change_ID],tblReleaseChanges[Oracle_Severity],""),tblSeverityMap[Severity_Text],tblSeverityMap[Score],0),0)</f>
        <v/>
      </c>
      <c r="S121" t="n">
        <v>1</v>
      </c>
      <c r="T121">
        <f>ROUND((M121*0.25)+(N121*0.20)+(O121*0.15)+(P121*0.15)+(Q121*0.10)+(R121*0.10)+(S121*0.05),2)</f>
        <v/>
      </c>
      <c r="U121">
        <f>IF(T121&gt;=4.25,"Critical",IF(T121&gt;=3.5,"High",IF(T121&gt;=2,"Medium","Low")))</f>
        <v/>
      </c>
      <c r="V121" t="inlineStr">
        <is>
          <t>Pending Review</t>
        </is>
      </c>
      <c r="W121" t="inlineStr"/>
      <c r="X121" t="inlineStr"/>
      <c r="Y121" t="inlineStr">
        <is>
          <t>Auto-enabled — no action required</t>
        </is>
      </c>
      <c r="Z121" t="inlineStr">
        <is>
          <t>N</t>
        </is>
      </c>
      <c r="AA121" t="inlineStr">
        <is>
          <t>N</t>
        </is>
      </c>
    </row>
    <row r="122">
      <c r="A122" t="inlineStr">
        <is>
          <t>ASMT_IMP_0097</t>
        </is>
      </c>
      <c r="B122" t="inlineStr">
        <is>
          <t>CLT_DFL001</t>
        </is>
      </c>
      <c r="C122" t="inlineStr">
        <is>
          <t>REL_26C</t>
        </is>
      </c>
      <c r="D122" t="inlineStr">
        <is>
          <t>CHG_IMP_0097</t>
        </is>
      </c>
      <c r="E122" t="inlineStr">
        <is>
          <t>Functional</t>
        </is>
      </c>
      <c r="F122" t="inlineStr">
        <is>
          <t>Configuration</t>
        </is>
      </c>
      <c r="G122" t="inlineStr"/>
      <c r="H122" t="inlineStr">
        <is>
          <t>DFL Compensation impacted by Oracle 26C change</t>
        </is>
      </c>
      <c r="I122" t="inlineStr">
        <is>
          <t>Y</t>
        </is>
      </c>
      <c r="J122" t="inlineStr">
        <is>
          <t>N</t>
        </is>
      </c>
      <c r="K122" t="inlineStr">
        <is>
          <t>N</t>
        </is>
      </c>
      <c r="L122" t="inlineStr">
        <is>
          <t>N</t>
        </is>
      </c>
      <c r="M122" t="n">
        <v>4</v>
      </c>
      <c r="N122" t="n">
        <v>2</v>
      </c>
      <c r="O122" t="n">
        <v>2</v>
      </c>
      <c r="P122" t="n">
        <v>1</v>
      </c>
      <c r="Q122" t="n">
        <v>3</v>
      </c>
      <c r="R122">
        <f>IFERROR(XLOOKUP(XLOOKUP(D122,tblReleaseChanges[Change_ID],tblReleaseChanges[Oracle_Severity],""),tblSeverityMap[Severity_Text],tblSeverityMap[Score],0),0)</f>
        <v/>
      </c>
      <c r="S122" t="n">
        <v>1</v>
      </c>
      <c r="T122">
        <f>ROUND((M122*0.25)+(N122*0.20)+(O122*0.15)+(P122*0.15)+(Q122*0.10)+(R122*0.10)+(S122*0.05),2)</f>
        <v/>
      </c>
      <c r="U122">
        <f>IF(T122&gt;=4.25,"Critical",IF(T122&gt;=3.5,"High",IF(T122&gt;=2,"Medium","Low")))</f>
        <v/>
      </c>
      <c r="V122" t="inlineStr">
        <is>
          <t>Pending Review</t>
        </is>
      </c>
      <c r="W122" t="inlineStr"/>
      <c r="X122" t="inlineStr"/>
      <c r="Y122" t="inlineStr">
        <is>
          <t>Auto-enabled — no action required</t>
        </is>
      </c>
      <c r="Z122" t="inlineStr">
        <is>
          <t>N</t>
        </is>
      </c>
      <c r="AA122" t="inlineStr">
        <is>
          <t>N</t>
        </is>
      </c>
    </row>
    <row r="123">
      <c r="A123" t="inlineStr">
        <is>
          <t>ASMT_IMP_0098</t>
        </is>
      </c>
      <c r="B123" t="inlineStr">
        <is>
          <t>CLT_DFL001</t>
        </is>
      </c>
      <c r="C123" t="inlineStr">
        <is>
          <t>REL_26C</t>
        </is>
      </c>
      <c r="D123" t="inlineStr">
        <is>
          <t>CHG_IMP_0098</t>
        </is>
      </c>
      <c r="E123" t="inlineStr">
        <is>
          <t>Functional</t>
        </is>
      </c>
      <c r="F123" t="inlineStr">
        <is>
          <t>Configuration</t>
        </is>
      </c>
      <c r="G123" t="inlineStr"/>
      <c r="H123" t="inlineStr">
        <is>
          <t>DFL Compensation impacted by Oracle 26C change</t>
        </is>
      </c>
      <c r="I123" t="inlineStr">
        <is>
          <t>Y</t>
        </is>
      </c>
      <c r="J123" t="inlineStr">
        <is>
          <t>N</t>
        </is>
      </c>
      <c r="K123" t="inlineStr">
        <is>
          <t>N</t>
        </is>
      </c>
      <c r="L123" t="inlineStr">
        <is>
          <t>N</t>
        </is>
      </c>
      <c r="M123" t="n">
        <v>4</v>
      </c>
      <c r="N123" t="n">
        <v>2</v>
      </c>
      <c r="O123" t="n">
        <v>2</v>
      </c>
      <c r="P123" t="n">
        <v>1</v>
      </c>
      <c r="Q123" t="n">
        <v>3</v>
      </c>
      <c r="R123">
        <f>IFERROR(XLOOKUP(XLOOKUP(D123,tblReleaseChanges[Change_ID],tblReleaseChanges[Oracle_Severity],""),tblSeverityMap[Severity_Text],tblSeverityMap[Score],0),0)</f>
        <v/>
      </c>
      <c r="S123" t="n">
        <v>3</v>
      </c>
      <c r="T123">
        <f>ROUND((M123*0.25)+(N123*0.20)+(O123*0.15)+(P123*0.15)+(Q123*0.10)+(R123*0.10)+(S123*0.05),2)</f>
        <v/>
      </c>
      <c r="U123">
        <f>IF(T123&gt;=4.25,"Critical",IF(T123&gt;=3.5,"High",IF(T123&gt;=2,"Medium","Low")))</f>
        <v/>
      </c>
      <c r="V123" t="inlineStr">
        <is>
          <t>Pending Review</t>
        </is>
      </c>
      <c r="W123" t="inlineStr"/>
      <c r="X123" t="inlineStr"/>
      <c r="Y123" t="inlineStr">
        <is>
          <t xml:space="preserve">Action type: Steps to Enable. Use the Opt In UI to enable this feature. For instructions, refer to the Optional Uptake of New Features section of this document. Offering: </t>
        </is>
      </c>
      <c r="Z123" t="inlineStr">
        <is>
          <t>Y</t>
        </is>
      </c>
      <c r="AA123" t="inlineStr">
        <is>
          <t>Y</t>
        </is>
      </c>
    </row>
    <row r="124">
      <c r="A124" t="inlineStr">
        <is>
          <t>ASMT_IMP_0099</t>
        </is>
      </c>
      <c r="B124" t="inlineStr">
        <is>
          <t>CLT_DFL001</t>
        </is>
      </c>
      <c r="C124" t="inlineStr">
        <is>
          <t>REL_26C</t>
        </is>
      </c>
      <c r="D124" t="inlineStr">
        <is>
          <t>CHG_IMP_0099</t>
        </is>
      </c>
      <c r="E124" t="inlineStr">
        <is>
          <t>Functional</t>
        </is>
      </c>
      <c r="F124" t="inlineStr">
        <is>
          <t>Configuration</t>
        </is>
      </c>
      <c r="G124" t="inlineStr"/>
      <c r="H124" t="inlineStr">
        <is>
          <t>DFL Compensation impacted by Oracle 26C change</t>
        </is>
      </c>
      <c r="I124" t="inlineStr">
        <is>
          <t>Y</t>
        </is>
      </c>
      <c r="J124" t="inlineStr">
        <is>
          <t>N</t>
        </is>
      </c>
      <c r="K124" t="inlineStr">
        <is>
          <t>N</t>
        </is>
      </c>
      <c r="L124" t="inlineStr">
        <is>
          <t>N</t>
        </is>
      </c>
      <c r="M124" t="n">
        <v>4</v>
      </c>
      <c r="N124" t="n">
        <v>2</v>
      </c>
      <c r="O124" t="n">
        <v>2</v>
      </c>
      <c r="P124" t="n">
        <v>1</v>
      </c>
      <c r="Q124" t="n">
        <v>3</v>
      </c>
      <c r="R124">
        <f>IFERROR(XLOOKUP(XLOOKUP(D124,tblReleaseChanges[Change_ID],tblReleaseChanges[Oracle_Severity],""),tblSeverityMap[Severity_Text],tblSeverityMap[Score],0),0)</f>
        <v/>
      </c>
      <c r="S124" t="n">
        <v>3</v>
      </c>
      <c r="T124">
        <f>ROUND((M124*0.25)+(N124*0.20)+(O124*0.15)+(P124*0.15)+(Q124*0.10)+(R124*0.10)+(S124*0.05),2)</f>
        <v/>
      </c>
      <c r="U124">
        <f>IF(T124&gt;=4.25,"Critical",IF(T124&gt;=3.5,"High",IF(T124&gt;=2,"Medium","Low")))</f>
        <v/>
      </c>
      <c r="V124" t="inlineStr">
        <is>
          <t>Pending Review</t>
        </is>
      </c>
      <c r="W124" t="inlineStr"/>
      <c r="X124" t="inlineStr"/>
      <c r="Y124" t="inlineStr">
        <is>
          <t>Action type: Steps to Enable. Use the Opt In UI to enable this feature. For instructions, refer to the Optional Uptake of New Features section of this document. Offering: *Compensatio</t>
        </is>
      </c>
      <c r="Z124" t="inlineStr">
        <is>
          <t>Y</t>
        </is>
      </c>
      <c r="AA124" t="inlineStr">
        <is>
          <t>Y</t>
        </is>
      </c>
    </row>
    <row r="125">
      <c r="A125" t="inlineStr">
        <is>
          <t>ASMT_IMP_0100</t>
        </is>
      </c>
      <c r="B125" t="inlineStr">
        <is>
          <t>CLT_DFL001</t>
        </is>
      </c>
      <c r="C125" t="inlineStr">
        <is>
          <t>REL_26C</t>
        </is>
      </c>
      <c r="D125" t="inlineStr">
        <is>
          <t>CHG_IMP_0100</t>
        </is>
      </c>
      <c r="E125" t="inlineStr">
        <is>
          <t>Functional</t>
        </is>
      </c>
      <c r="F125" t="inlineStr">
        <is>
          <t>Configuration</t>
        </is>
      </c>
      <c r="G125" t="inlineStr"/>
      <c r="H125" t="inlineStr">
        <is>
          <t>DFL Compensation impacted by Oracle 26C change</t>
        </is>
      </c>
      <c r="I125" t="inlineStr">
        <is>
          <t>Y</t>
        </is>
      </c>
      <c r="J125" t="inlineStr">
        <is>
          <t>N</t>
        </is>
      </c>
      <c r="K125" t="inlineStr">
        <is>
          <t>N</t>
        </is>
      </c>
      <c r="L125" t="inlineStr">
        <is>
          <t>N</t>
        </is>
      </c>
      <c r="M125" t="n">
        <v>4</v>
      </c>
      <c r="N125" t="n">
        <v>2</v>
      </c>
      <c r="O125" t="n">
        <v>2</v>
      </c>
      <c r="P125" t="n">
        <v>1</v>
      </c>
      <c r="Q125" t="n">
        <v>3</v>
      </c>
      <c r="R125">
        <f>IFERROR(XLOOKUP(XLOOKUP(D125,tblReleaseChanges[Change_ID],tblReleaseChanges[Oracle_Severity],""),tblSeverityMap[Severity_Text],tblSeverityMap[Score],0),0)</f>
        <v/>
      </c>
      <c r="S125" t="n">
        <v>3</v>
      </c>
      <c r="T125">
        <f>ROUND((M125*0.25)+(N125*0.20)+(O125*0.15)+(P125*0.15)+(Q125*0.10)+(R125*0.10)+(S125*0.05),2)</f>
        <v/>
      </c>
      <c r="U125">
        <f>IF(T125&gt;=4.25,"Critical",IF(T125&gt;=3.5,"High",IF(T125&gt;=2,"Medium","Low")))</f>
        <v/>
      </c>
      <c r="V125" t="inlineStr">
        <is>
          <t>Pending Review</t>
        </is>
      </c>
      <c r="W125" t="inlineStr"/>
      <c r="X125" t="inlineStr"/>
      <c r="Y125" t="inlineStr">
        <is>
          <t>Action type: Steps to Enable. Use the Opt In UI to enable this feature. For instructions, refer to the Optional Uptake of New Features section of this document. Offering: *</t>
        </is>
      </c>
      <c r="Z125" t="inlineStr">
        <is>
          <t>Y</t>
        </is>
      </c>
      <c r="AA125" t="inlineStr">
        <is>
          <t>Y</t>
        </is>
      </c>
    </row>
    <row r="126">
      <c r="A126" t="inlineStr">
        <is>
          <t>ASMT_IMP_0101</t>
        </is>
      </c>
      <c r="B126" t="inlineStr">
        <is>
          <t>CLT_DFL001</t>
        </is>
      </c>
      <c r="C126" t="inlineStr">
        <is>
          <t>REL_26C</t>
        </is>
      </c>
      <c r="D126" t="inlineStr">
        <is>
          <t>CHG_IMP_0101</t>
        </is>
      </c>
      <c r="E126" t="inlineStr">
        <is>
          <t>Functional</t>
        </is>
      </c>
      <c r="F126" t="inlineStr">
        <is>
          <t>Configuration</t>
        </is>
      </c>
      <c r="G126" t="inlineStr"/>
      <c r="H126" t="inlineStr">
        <is>
          <t>DFL Compensation impacted by Oracle 26C change</t>
        </is>
      </c>
      <c r="I126" t="inlineStr">
        <is>
          <t>Y</t>
        </is>
      </c>
      <c r="J126" t="inlineStr">
        <is>
          <t>N</t>
        </is>
      </c>
      <c r="K126" t="inlineStr">
        <is>
          <t>N</t>
        </is>
      </c>
      <c r="L126" t="inlineStr">
        <is>
          <t>N</t>
        </is>
      </c>
      <c r="M126" t="n">
        <v>4</v>
      </c>
      <c r="N126" t="n">
        <v>2</v>
      </c>
      <c r="O126" t="n">
        <v>2</v>
      </c>
      <c r="P126" t="n">
        <v>1</v>
      </c>
      <c r="Q126" t="n">
        <v>3</v>
      </c>
      <c r="R126">
        <f>IFERROR(XLOOKUP(XLOOKUP(D126,tblReleaseChanges[Change_ID],tblReleaseChanges[Oracle_Severity],""),tblSeverityMap[Severity_Text],tblSeverityMap[Score],0),0)</f>
        <v/>
      </c>
      <c r="S126" t="n">
        <v>3</v>
      </c>
      <c r="T126">
        <f>ROUND((M126*0.25)+(N126*0.20)+(O126*0.15)+(P126*0.15)+(Q126*0.10)+(R126*0.10)+(S126*0.05),2)</f>
        <v/>
      </c>
      <c r="U126">
        <f>IF(T126&gt;=4.25,"Critical",IF(T126&gt;=3.5,"High",IF(T126&gt;=2,"Medium","Low")))</f>
        <v/>
      </c>
      <c r="V126" t="inlineStr">
        <is>
          <t>Pending Review</t>
        </is>
      </c>
      <c r="W126" t="inlineStr"/>
      <c r="X126" t="inlineStr"/>
      <c r="Y126" t="inlineStr">
        <is>
          <t>Action type: Steps to Enable. Use the Opt In UI to enable this feature. For instructions, refer to the Optional Uptake of New Features section of this document. Offering: *Compens</t>
        </is>
      </c>
      <c r="Z126" t="inlineStr">
        <is>
          <t>Y</t>
        </is>
      </c>
      <c r="AA126" t="inlineStr">
        <is>
          <t>Y</t>
        </is>
      </c>
    </row>
    <row r="127">
      <c r="A127" t="inlineStr">
        <is>
          <t>ASMT_IMP_0102</t>
        </is>
      </c>
      <c r="B127" t="inlineStr">
        <is>
          <t>CLT_DFL001</t>
        </is>
      </c>
      <c r="C127" t="inlineStr">
        <is>
          <t>REL_26C</t>
        </is>
      </c>
      <c r="D127" t="inlineStr">
        <is>
          <t>CHG_IMP_0102</t>
        </is>
      </c>
      <c r="E127" t="inlineStr">
        <is>
          <t>AI Feature</t>
        </is>
      </c>
      <c r="F127" t="inlineStr">
        <is>
          <t>Configuration</t>
        </is>
      </c>
      <c r="G127" t="inlineStr"/>
      <c r="H127" t="inlineStr">
        <is>
          <t>DFL Compensation impacted by Oracle 26C change</t>
        </is>
      </c>
      <c r="I127" t="inlineStr">
        <is>
          <t>Y</t>
        </is>
      </c>
      <c r="J127" t="inlineStr">
        <is>
          <t>N</t>
        </is>
      </c>
      <c r="K127" t="inlineStr">
        <is>
          <t>N</t>
        </is>
      </c>
      <c r="L127" t="inlineStr">
        <is>
          <t>N</t>
        </is>
      </c>
      <c r="M127" t="n">
        <v>4</v>
      </c>
      <c r="N127" t="n">
        <v>2</v>
      </c>
      <c r="O127" t="n">
        <v>2</v>
      </c>
      <c r="P127" t="n">
        <v>3</v>
      </c>
      <c r="Q127" t="n">
        <v>3</v>
      </c>
      <c r="R127">
        <f>IFERROR(XLOOKUP(XLOOKUP(D127,tblReleaseChanges[Change_ID],tblReleaseChanges[Oracle_Severity],""),tblSeverityMap[Severity_Text],tblSeverityMap[Score],0),0)</f>
        <v/>
      </c>
      <c r="S127" t="n">
        <v>3</v>
      </c>
      <c r="T127">
        <f>ROUND((M127*0.25)+(N127*0.20)+(O127*0.15)+(P127*0.15)+(Q127*0.10)+(R127*0.10)+(S127*0.05),2)</f>
        <v/>
      </c>
      <c r="U127">
        <f>IF(T127&gt;=4.25,"Critical",IF(T127&gt;=3.5,"High",IF(T127&gt;=2,"Medium","Low")))</f>
        <v/>
      </c>
      <c r="V127" t="inlineStr">
        <is>
          <t>Pending Review</t>
        </is>
      </c>
      <c r="W127" t="inlineStr"/>
      <c r="X127" t="inlineStr"/>
      <c r="Y127" t="inlineStr">
        <is>
          <t>Action type: Steps to Enable. Use the Opt In UI to enable this feature. For instructions, refer to the Optional Uptake of New Features section of this document. Offering: *Compensation Management* See</t>
        </is>
      </c>
      <c r="Z127" t="inlineStr">
        <is>
          <t>Y</t>
        </is>
      </c>
      <c r="AA127" t="inlineStr">
        <is>
          <t>Y</t>
        </is>
      </c>
    </row>
    <row r="128">
      <c r="A128" t="inlineStr">
        <is>
          <t>ASMT_IMP_0103</t>
        </is>
      </c>
      <c r="B128" t="inlineStr">
        <is>
          <t>CLT_DFL001</t>
        </is>
      </c>
      <c r="C128" t="inlineStr">
        <is>
          <t>REL_26C</t>
        </is>
      </c>
      <c r="D128" t="inlineStr">
        <is>
          <t>CHG_IMP_0103</t>
        </is>
      </c>
      <c r="E128" t="inlineStr">
        <is>
          <t>Functional</t>
        </is>
      </c>
      <c r="F128" t="inlineStr">
        <is>
          <t>Configuration</t>
        </is>
      </c>
      <c r="G128" t="inlineStr"/>
      <c r="H128" t="inlineStr">
        <is>
          <t>DFL Compensation impacted by Oracle 26C change</t>
        </is>
      </c>
      <c r="I128" t="inlineStr">
        <is>
          <t>Y</t>
        </is>
      </c>
      <c r="J128" t="inlineStr">
        <is>
          <t>N</t>
        </is>
      </c>
      <c r="K128" t="inlineStr">
        <is>
          <t>N</t>
        </is>
      </c>
      <c r="L128" t="inlineStr">
        <is>
          <t>N</t>
        </is>
      </c>
      <c r="M128" t="n">
        <v>4</v>
      </c>
      <c r="N128" t="n">
        <v>2</v>
      </c>
      <c r="O128" t="n">
        <v>2</v>
      </c>
      <c r="P128" t="n">
        <v>1</v>
      </c>
      <c r="Q128" t="n">
        <v>3</v>
      </c>
      <c r="R128">
        <f>IFERROR(XLOOKUP(XLOOKUP(D128,tblReleaseChanges[Change_ID],tblReleaseChanges[Oracle_Severity],""),tblSeverityMap[Severity_Text],tblSeverityMap[Score],0),0)</f>
        <v/>
      </c>
      <c r="S128" t="n">
        <v>3</v>
      </c>
      <c r="T128">
        <f>ROUND((M128*0.25)+(N128*0.20)+(O128*0.15)+(P128*0.15)+(Q128*0.10)+(R128*0.10)+(S128*0.05),2)</f>
        <v/>
      </c>
      <c r="U128">
        <f>IF(T128&gt;=4.25,"Critical",IF(T128&gt;=3.5,"High",IF(T128&gt;=2,"Medium","Low")))</f>
        <v/>
      </c>
      <c r="V128" t="inlineStr">
        <is>
          <t>Pending Review</t>
        </is>
      </c>
      <c r="W128" t="inlineStr"/>
      <c r="X128" t="inlineStr"/>
      <c r="Y128" t="inlineStr">
        <is>
          <t>Action type: Steps to Enable. The Redwood Award Worksheet needs to be enabled for this change to be seen.</t>
        </is>
      </c>
      <c r="Z128" t="inlineStr">
        <is>
          <t>Y</t>
        </is>
      </c>
      <c r="AA128" t="inlineStr">
        <is>
          <t>Y</t>
        </is>
      </c>
    </row>
    <row r="129">
      <c r="A129" t="inlineStr">
        <is>
          <t>ASMT_IMP_0104</t>
        </is>
      </c>
      <c r="B129" t="inlineStr">
        <is>
          <t>CLT_DFL001</t>
        </is>
      </c>
      <c r="C129" t="inlineStr">
        <is>
          <t>REL_26C</t>
        </is>
      </c>
      <c r="D129" t="inlineStr">
        <is>
          <t>CHG_IMP_0104</t>
        </is>
      </c>
      <c r="E129" t="inlineStr">
        <is>
          <t>AI Feature</t>
        </is>
      </c>
      <c r="F129" t="inlineStr">
        <is>
          <t>Configuration</t>
        </is>
      </c>
      <c r="G129" t="inlineStr"/>
      <c r="H129" t="inlineStr">
        <is>
          <t>DFL Dynamic Skills impacted by Oracle 26C change</t>
        </is>
      </c>
      <c r="I129" t="inlineStr">
        <is>
          <t>Y</t>
        </is>
      </c>
      <c r="J129" t="inlineStr">
        <is>
          <t>N</t>
        </is>
      </c>
      <c r="K129" t="inlineStr">
        <is>
          <t>N</t>
        </is>
      </c>
      <c r="L129" t="inlineStr">
        <is>
          <t>N</t>
        </is>
      </c>
      <c r="M129" t="n">
        <v>1</v>
      </c>
      <c r="N129" t="n">
        <v>2</v>
      </c>
      <c r="O129" t="n">
        <v>1</v>
      </c>
      <c r="P129" t="n">
        <v>3</v>
      </c>
      <c r="Q129" t="n">
        <v>3</v>
      </c>
      <c r="R129">
        <f>IFERROR(XLOOKUP(XLOOKUP(D129,tblReleaseChanges[Change_ID],tblReleaseChanges[Oracle_Severity],""),tblSeverityMap[Severity_Text],tblSeverityMap[Score],0),0)</f>
        <v/>
      </c>
      <c r="S129" t="n">
        <v>1</v>
      </c>
      <c r="T129">
        <f>ROUND((M129*0.25)+(N129*0.20)+(O129*0.15)+(P129*0.15)+(Q129*0.10)+(R129*0.10)+(S129*0.05),2)</f>
        <v/>
      </c>
      <c r="U129">
        <f>IF(T129&gt;=4.25,"Critical",IF(T129&gt;=3.5,"High",IF(T129&gt;=2,"Medium","Low")))</f>
        <v/>
      </c>
      <c r="V129" t="inlineStr">
        <is>
          <t>Pending Review</t>
        </is>
      </c>
      <c r="W129" t="inlineStr"/>
      <c r="X129" t="inlineStr"/>
      <c r="Y129" t="inlineStr">
        <is>
          <t xml:space="preserve">Action type: Steps to Enable. Enable Intelligent Talent Profile Search for Team Skills Center. For details, see How can I enable Intelligent Talent Profile Search for Talent Profile or </t>
        </is>
      </c>
      <c r="Z129" t="inlineStr">
        <is>
          <t>N</t>
        </is>
      </c>
      <c r="AA129" t="inlineStr">
        <is>
          <t>N</t>
        </is>
      </c>
    </row>
    <row r="130">
      <c r="A130" t="inlineStr">
        <is>
          <t>ASMT_IMP_0105</t>
        </is>
      </c>
      <c r="B130" t="inlineStr">
        <is>
          <t>CLT_DFL001</t>
        </is>
      </c>
      <c r="C130" t="inlineStr">
        <is>
          <t>REL_26C</t>
        </is>
      </c>
      <c r="D130" t="inlineStr">
        <is>
          <t>CHG_IMP_0105</t>
        </is>
      </c>
      <c r="E130" t="inlineStr">
        <is>
          <t>Functional</t>
        </is>
      </c>
      <c r="F130" t="inlineStr">
        <is>
          <t>Configuration</t>
        </is>
      </c>
      <c r="G130" t="inlineStr"/>
      <c r="H130" t="inlineStr">
        <is>
          <t>DFL Dynamic Skills impacted by Oracle 26C change</t>
        </is>
      </c>
      <c r="I130" t="inlineStr">
        <is>
          <t>Y</t>
        </is>
      </c>
      <c r="J130" t="inlineStr">
        <is>
          <t>N</t>
        </is>
      </c>
      <c r="K130" t="inlineStr">
        <is>
          <t>N</t>
        </is>
      </c>
      <c r="L130" t="inlineStr">
        <is>
          <t>N</t>
        </is>
      </c>
      <c r="M130" t="n">
        <v>1</v>
      </c>
      <c r="N130" t="n">
        <v>2</v>
      </c>
      <c r="O130" t="n">
        <v>1</v>
      </c>
      <c r="P130" t="n">
        <v>1</v>
      </c>
      <c r="Q130" t="n">
        <v>3</v>
      </c>
      <c r="R130">
        <f>IFERROR(XLOOKUP(XLOOKUP(D130,tblReleaseChanges[Change_ID],tblReleaseChanges[Oracle_Severity],""),tblSeverityMap[Severity_Text],tblSeverityMap[Score],0),0)</f>
        <v/>
      </c>
      <c r="S130" t="n">
        <v>1</v>
      </c>
      <c r="T130">
        <f>ROUND((M130*0.25)+(N130*0.20)+(O130*0.15)+(P130*0.15)+(Q130*0.10)+(R130*0.10)+(S130*0.05),2)</f>
        <v/>
      </c>
      <c r="U130">
        <f>IF(T130&gt;=4.25,"Critical",IF(T130&gt;=3.5,"High",IF(T130&gt;=2,"Medium","Low")))</f>
        <v/>
      </c>
      <c r="V130" t="inlineStr">
        <is>
          <t>Pending Review</t>
        </is>
      </c>
      <c r="W130" t="inlineStr"/>
      <c r="X130" t="inlineStr"/>
      <c r="Y130" t="inlineStr">
        <is>
          <t xml:space="preserve">Action type: Steps to Enable. You have enabled: • Enhanced Dynamic Skills. For details, see Pathways to Enhanced Dynamic Skills. • Enhanced Skills Center. For details, see **How can i enable Enhanced </t>
        </is>
      </c>
      <c r="Z130" t="inlineStr">
        <is>
          <t>N</t>
        </is>
      </c>
      <c r="AA130" t="inlineStr">
        <is>
          <t>N</t>
        </is>
      </c>
    </row>
    <row r="131">
      <c r="A131" t="inlineStr">
        <is>
          <t>ASMT_IMP_0106</t>
        </is>
      </c>
      <c r="B131" t="inlineStr">
        <is>
          <t>CLT_DFL001</t>
        </is>
      </c>
      <c r="C131" t="inlineStr">
        <is>
          <t>REL_26C</t>
        </is>
      </c>
      <c r="D131" t="inlineStr">
        <is>
          <t>CHG_IMP_0106</t>
        </is>
      </c>
      <c r="E131" t="inlineStr">
        <is>
          <t>Functional</t>
        </is>
      </c>
      <c r="F131" t="inlineStr">
        <is>
          <t>Configuration</t>
        </is>
      </c>
      <c r="G131" t="inlineStr"/>
      <c r="H131" t="inlineStr">
        <is>
          <t>DFL Dynamic Skills impacted by Oracle 26C change</t>
        </is>
      </c>
      <c r="I131" t="inlineStr">
        <is>
          <t>Y</t>
        </is>
      </c>
      <c r="J131" t="inlineStr">
        <is>
          <t>N</t>
        </is>
      </c>
      <c r="K131" t="inlineStr">
        <is>
          <t>N</t>
        </is>
      </c>
      <c r="L131" t="inlineStr">
        <is>
          <t>N</t>
        </is>
      </c>
      <c r="M131" t="n">
        <v>1</v>
      </c>
      <c r="N131" t="n">
        <v>2</v>
      </c>
      <c r="O131" t="n">
        <v>1</v>
      </c>
      <c r="P131" t="n">
        <v>1</v>
      </c>
      <c r="Q131" t="n">
        <v>3</v>
      </c>
      <c r="R131">
        <f>IFERROR(XLOOKUP(XLOOKUP(D131,tblReleaseChanges[Change_ID],tblReleaseChanges[Oracle_Severity],""),tblSeverityMap[Severity_Text],tblSeverityMap[Score],0),0)</f>
        <v/>
      </c>
      <c r="S131" t="n">
        <v>1</v>
      </c>
      <c r="T131">
        <f>ROUND((M131*0.25)+(N131*0.20)+(O131*0.15)+(P131*0.15)+(Q131*0.10)+(R131*0.10)+(S131*0.05),2)</f>
        <v/>
      </c>
      <c r="U131">
        <f>IF(T131&gt;=4.25,"Critical",IF(T131&gt;=3.5,"High",IF(T131&gt;=2,"Medium","Low")))</f>
        <v/>
      </c>
      <c r="V131" t="inlineStr">
        <is>
          <t>Pending Review</t>
        </is>
      </c>
      <c r="W131" t="inlineStr"/>
      <c r="X131" t="inlineStr"/>
      <c r="Y131" t="inlineStr">
        <is>
          <t xml:space="preserve">Action type: Steps to Enable. You have enabled: • Enhanced Dynamic Skills. For details, see Pathways to Enhanced Dynamic Skills. • Enhanced Skills Center. For details, see **How can i enable Enhanced </t>
        </is>
      </c>
      <c r="Z131" t="inlineStr">
        <is>
          <t>N</t>
        </is>
      </c>
      <c r="AA131" t="inlineStr">
        <is>
          <t>N</t>
        </is>
      </c>
    </row>
    <row r="132">
      <c r="A132" t="inlineStr">
        <is>
          <t>ASMT_IMP_0107</t>
        </is>
      </c>
      <c r="B132" t="inlineStr">
        <is>
          <t>CLT_DFL001</t>
        </is>
      </c>
      <c r="C132" t="inlineStr">
        <is>
          <t>REL_26C</t>
        </is>
      </c>
      <c r="D132" t="inlineStr">
        <is>
          <t>CHG_IMP_0107</t>
        </is>
      </c>
      <c r="E132" t="inlineStr">
        <is>
          <t>Functional</t>
        </is>
      </c>
      <c r="F132" t="inlineStr">
        <is>
          <t>Configuration</t>
        </is>
      </c>
      <c r="G132" t="inlineStr"/>
      <c r="H132" t="inlineStr">
        <is>
          <t>DFL Dynamic Skills impacted by Oracle 26C change</t>
        </is>
      </c>
      <c r="I132" t="inlineStr">
        <is>
          <t>Y</t>
        </is>
      </c>
      <c r="J132" t="inlineStr">
        <is>
          <t>N</t>
        </is>
      </c>
      <c r="K132" t="inlineStr">
        <is>
          <t>N</t>
        </is>
      </c>
      <c r="L132" t="inlineStr">
        <is>
          <t>N</t>
        </is>
      </c>
      <c r="M132" t="n">
        <v>1</v>
      </c>
      <c r="N132" t="n">
        <v>2</v>
      </c>
      <c r="O132" t="n">
        <v>1</v>
      </c>
      <c r="P132" t="n">
        <v>1</v>
      </c>
      <c r="Q132" t="n">
        <v>3</v>
      </c>
      <c r="R132">
        <f>IFERROR(XLOOKUP(XLOOKUP(D132,tblReleaseChanges[Change_ID],tblReleaseChanges[Oracle_Severity],""),tblSeverityMap[Severity_Text],tblSeverityMap[Score],0),0)</f>
        <v/>
      </c>
      <c r="S132" t="n">
        <v>1</v>
      </c>
      <c r="T132">
        <f>ROUND((M132*0.25)+(N132*0.20)+(O132*0.15)+(P132*0.15)+(Q132*0.10)+(R132*0.10)+(S132*0.05),2)</f>
        <v/>
      </c>
      <c r="U132">
        <f>IF(T132&gt;=4.25,"Critical",IF(T132&gt;=3.5,"High",IF(T132&gt;=2,"Medium","Low")))</f>
        <v/>
      </c>
      <c r="V132" t="inlineStr">
        <is>
          <t>Pending Review</t>
        </is>
      </c>
      <c r="W132" t="inlineStr"/>
      <c r="X132" t="inlineStr"/>
      <c r="Y132" t="inlineStr">
        <is>
          <t xml:space="preserve">Action type: Steps to Enable. You have enabled: • Enhanced Dynamic Skills. For details, see Pathways to Enhanced Dynamic Skills. • Enhanced Skills Center. For details, see **How can i enable Enhanced </t>
        </is>
      </c>
      <c r="Z132" t="inlineStr">
        <is>
          <t>N</t>
        </is>
      </c>
      <c r="AA132" t="inlineStr">
        <is>
          <t>N</t>
        </is>
      </c>
    </row>
    <row r="133">
      <c r="A133" t="inlineStr">
        <is>
          <t>ASMT_IMP_0108</t>
        </is>
      </c>
      <c r="B133" t="inlineStr">
        <is>
          <t>CLT_DFL001</t>
        </is>
      </c>
      <c r="C133" t="inlineStr">
        <is>
          <t>REL_26C</t>
        </is>
      </c>
      <c r="D133" t="inlineStr">
        <is>
          <t>CHG_IMP_0108</t>
        </is>
      </c>
      <c r="E133" t="inlineStr">
        <is>
          <t>Functional</t>
        </is>
      </c>
      <c r="F133" t="inlineStr">
        <is>
          <t>Configuration</t>
        </is>
      </c>
      <c r="G133" t="inlineStr"/>
      <c r="H133" t="inlineStr">
        <is>
          <t>DFL Dynamic Skills impacted by Oracle 26C change</t>
        </is>
      </c>
      <c r="I133" t="inlineStr">
        <is>
          <t>Y</t>
        </is>
      </c>
      <c r="J133" t="inlineStr">
        <is>
          <t>N</t>
        </is>
      </c>
      <c r="K133" t="inlineStr">
        <is>
          <t>N</t>
        </is>
      </c>
      <c r="L133" t="inlineStr">
        <is>
          <t>N</t>
        </is>
      </c>
      <c r="M133" t="n">
        <v>1</v>
      </c>
      <c r="N133" t="n">
        <v>2</v>
      </c>
      <c r="O133" t="n">
        <v>1</v>
      </c>
      <c r="P133" t="n">
        <v>1</v>
      </c>
      <c r="Q133" t="n">
        <v>3</v>
      </c>
      <c r="R133">
        <f>IFERROR(XLOOKUP(XLOOKUP(D133,tblReleaseChanges[Change_ID],tblReleaseChanges[Oracle_Severity],""),tblSeverityMap[Severity_Text],tblSeverityMap[Score],0),0)</f>
        <v/>
      </c>
      <c r="S133" t="n">
        <v>1</v>
      </c>
      <c r="T133">
        <f>ROUND((M133*0.25)+(N133*0.20)+(O133*0.15)+(P133*0.15)+(Q133*0.10)+(R133*0.10)+(S133*0.05),2)</f>
        <v/>
      </c>
      <c r="U133">
        <f>IF(T133&gt;=4.25,"Critical",IF(T133&gt;=3.5,"High",IF(T133&gt;=2,"Medium","Low")))</f>
        <v/>
      </c>
      <c r="V133" t="inlineStr">
        <is>
          <t>Pending Review</t>
        </is>
      </c>
      <c r="W133" t="inlineStr"/>
      <c r="X133" t="inlineStr"/>
      <c r="Y133" t="inlineStr">
        <is>
          <t xml:space="preserve">Action type: Steps to Enable. You have enabled: • Enhanced Dynamic Skills. For details, see Pathways to Enhanced Dynamic Skills. • Enhanced Skills Center. For details, see **How can i enable Enhanced </t>
        </is>
      </c>
      <c r="Z133" t="inlineStr">
        <is>
          <t>N</t>
        </is>
      </c>
      <c r="AA133" t="inlineStr">
        <is>
          <t>N</t>
        </is>
      </c>
    </row>
    <row r="134">
      <c r="A134" t="inlineStr">
        <is>
          <t>ASMT_IMP_0109</t>
        </is>
      </c>
      <c r="B134" t="inlineStr">
        <is>
          <t>CLT_DFL001</t>
        </is>
      </c>
      <c r="C134" t="inlineStr">
        <is>
          <t>REL_26C</t>
        </is>
      </c>
      <c r="D134" t="inlineStr">
        <is>
          <t>CHG_IMP_0109</t>
        </is>
      </c>
      <c r="E134" t="inlineStr">
        <is>
          <t>AI Feature</t>
        </is>
      </c>
      <c r="F134" t="inlineStr">
        <is>
          <t>Configuration</t>
        </is>
      </c>
      <c r="G134" t="inlineStr"/>
      <c r="H134" t="inlineStr">
        <is>
          <t>DFL HCM Common impacted by Oracle 26C change</t>
        </is>
      </c>
      <c r="I134" t="inlineStr">
        <is>
          <t>Y</t>
        </is>
      </c>
      <c r="J134" t="inlineStr">
        <is>
          <t>N</t>
        </is>
      </c>
      <c r="K134" t="inlineStr">
        <is>
          <t>N</t>
        </is>
      </c>
      <c r="L134" t="inlineStr">
        <is>
          <t>N</t>
        </is>
      </c>
      <c r="M134" t="n">
        <v>1</v>
      </c>
      <c r="N134" t="n">
        <v>2</v>
      </c>
      <c r="O134" t="n">
        <v>1</v>
      </c>
      <c r="P134" t="n">
        <v>3</v>
      </c>
      <c r="Q134" t="n">
        <v>3</v>
      </c>
      <c r="R134">
        <f>IFERROR(XLOOKUP(XLOOKUP(D134,tblReleaseChanges[Change_ID],tblReleaseChanges[Oracle_Severity],""),tblSeverityMap[Severity_Text],tblSeverityMap[Score],0),0)</f>
        <v/>
      </c>
      <c r="S134" t="n">
        <v>1</v>
      </c>
      <c r="T134">
        <f>ROUND((M134*0.25)+(N134*0.20)+(O134*0.15)+(P134*0.15)+(Q134*0.10)+(R134*0.10)+(S134*0.05),2)</f>
        <v/>
      </c>
      <c r="U134">
        <f>IF(T134&gt;=4.25,"Critical",IF(T134&gt;=3.5,"High",IF(T134&gt;=2,"Medium","Low")))</f>
        <v/>
      </c>
      <c r="V134" t="inlineStr">
        <is>
          <t>Pending Review</t>
        </is>
      </c>
      <c r="W134" t="inlineStr"/>
      <c r="X134" t="inlineStr"/>
      <c r="Y134" t="inlineStr">
        <is>
          <t>Action type: Steps to Enable. For the document tools included in the **Spreadsheet Data Loader Advisor**you need to run the **Process Agent Documents** process to ingest the documents. **Prepare the H</t>
        </is>
      </c>
      <c r="Z134" t="inlineStr">
        <is>
          <t>N</t>
        </is>
      </c>
      <c r="AA134" t="inlineStr">
        <is>
          <t>N</t>
        </is>
      </c>
    </row>
    <row r="135">
      <c r="A135" t="inlineStr">
        <is>
          <t>ASMT_IMP_0110</t>
        </is>
      </c>
      <c r="B135" t="inlineStr">
        <is>
          <t>CLT_DFL001</t>
        </is>
      </c>
      <c r="C135" t="inlineStr">
        <is>
          <t>REL_26C</t>
        </is>
      </c>
      <c r="D135" t="inlineStr">
        <is>
          <t>CHG_IMP_0110</t>
        </is>
      </c>
      <c r="E135" t="inlineStr">
        <is>
          <t>Functional</t>
        </is>
      </c>
      <c r="F135" t="inlineStr">
        <is>
          <t>Configuration</t>
        </is>
      </c>
      <c r="G135" t="inlineStr"/>
      <c r="H135" t="inlineStr">
        <is>
          <t>DFL HCM Common impacted by Oracle 26C change</t>
        </is>
      </c>
      <c r="I135" t="inlineStr">
        <is>
          <t>Y</t>
        </is>
      </c>
      <c r="J135" t="inlineStr">
        <is>
          <t>N</t>
        </is>
      </c>
      <c r="K135" t="inlineStr">
        <is>
          <t>N</t>
        </is>
      </c>
      <c r="L135" t="inlineStr">
        <is>
          <t>N</t>
        </is>
      </c>
      <c r="M135" t="n">
        <v>1</v>
      </c>
      <c r="N135" t="n">
        <v>2</v>
      </c>
      <c r="O135" t="n">
        <v>1</v>
      </c>
      <c r="P135" t="n">
        <v>1</v>
      </c>
      <c r="Q135" t="n">
        <v>3</v>
      </c>
      <c r="R135">
        <f>IFERROR(XLOOKUP(XLOOKUP(D135,tblReleaseChanges[Change_ID],tblReleaseChanges[Oracle_Severity],""),tblSeverityMap[Severity_Text],tblSeverityMap[Score],0),0)</f>
        <v/>
      </c>
      <c r="S135" t="n">
        <v>1</v>
      </c>
      <c r="T135">
        <f>ROUND((M135*0.25)+(N135*0.20)+(O135*0.15)+(P135*0.15)+(Q135*0.10)+(R135*0.10)+(S135*0.05),2)</f>
        <v/>
      </c>
      <c r="U135">
        <f>IF(T135&gt;=4.25,"Critical",IF(T135&gt;=3.5,"High",IF(T135&gt;=2,"Medium","Low")))</f>
        <v/>
      </c>
      <c r="V135" t="inlineStr">
        <is>
          <t>Pending Review</t>
        </is>
      </c>
      <c r="W135" t="inlineStr"/>
      <c r="X135" t="inlineStr"/>
      <c r="Y135" t="inlineStr">
        <is>
          <t>Auto-enabled — no action required</t>
        </is>
      </c>
      <c r="Z135" t="inlineStr">
        <is>
          <t>N</t>
        </is>
      </c>
      <c r="AA135" t="inlineStr">
        <is>
          <t>N</t>
        </is>
      </c>
    </row>
    <row r="136">
      <c r="A136" t="inlineStr">
        <is>
          <t>ASMT_IMP_0111</t>
        </is>
      </c>
      <c r="B136" t="inlineStr">
        <is>
          <t>CLT_DFL001</t>
        </is>
      </c>
      <c r="C136" t="inlineStr">
        <is>
          <t>REL_26C</t>
        </is>
      </c>
      <c r="D136" t="inlineStr">
        <is>
          <t>CHG_IMP_0111</t>
        </is>
      </c>
      <c r="E136" t="inlineStr">
        <is>
          <t>Functional</t>
        </is>
      </c>
      <c r="F136" t="inlineStr">
        <is>
          <t>Configuration</t>
        </is>
      </c>
      <c r="G136" t="inlineStr"/>
      <c r="H136" t="inlineStr">
        <is>
          <t>DFL HCM Common impacted by Oracle 26C change</t>
        </is>
      </c>
      <c r="I136" t="inlineStr">
        <is>
          <t>Y</t>
        </is>
      </c>
      <c r="J136" t="inlineStr">
        <is>
          <t>N</t>
        </is>
      </c>
      <c r="K136" t="inlineStr">
        <is>
          <t>N</t>
        </is>
      </c>
      <c r="L136" t="inlineStr">
        <is>
          <t>N</t>
        </is>
      </c>
      <c r="M136" t="n">
        <v>1</v>
      </c>
      <c r="N136" t="n">
        <v>2</v>
      </c>
      <c r="O136" t="n">
        <v>1</v>
      </c>
      <c r="P136" t="n">
        <v>1</v>
      </c>
      <c r="Q136" t="n">
        <v>3</v>
      </c>
      <c r="R136">
        <f>IFERROR(XLOOKUP(XLOOKUP(D136,tblReleaseChanges[Change_ID],tblReleaseChanges[Oracle_Severity],""),tblSeverityMap[Severity_Text],tblSeverityMap[Score],0),0)</f>
        <v/>
      </c>
      <c r="S136" t="n">
        <v>1</v>
      </c>
      <c r="T136">
        <f>ROUND((M136*0.25)+(N136*0.20)+(O136*0.15)+(P136*0.15)+(Q136*0.10)+(R136*0.10)+(S136*0.05),2)</f>
        <v/>
      </c>
      <c r="U136">
        <f>IF(T136&gt;=4.25,"Critical",IF(T136&gt;=3.5,"High",IF(T136&gt;=2,"Medium","Low")))</f>
        <v/>
      </c>
      <c r="V136" t="inlineStr">
        <is>
          <t>Pending Review</t>
        </is>
      </c>
      <c r="W136" t="inlineStr"/>
      <c r="X136" t="inlineStr"/>
      <c r="Y136" t="inlineStr">
        <is>
          <t xml:space="preserve">Action type: Steps to Enable. Leverage the Visual Builder Studio to expose your applications. To learn more about extending your application using Visual Builder, visit Oracle Help </t>
        </is>
      </c>
      <c r="Z136" t="inlineStr">
        <is>
          <t>N</t>
        </is>
      </c>
      <c r="AA136" t="inlineStr">
        <is>
          <t>N</t>
        </is>
      </c>
    </row>
    <row r="137">
      <c r="A137" t="inlineStr">
        <is>
          <t>ASMT_IMP_0112</t>
        </is>
      </c>
      <c r="B137" t="inlineStr">
        <is>
          <t>CLT_DFL001</t>
        </is>
      </c>
      <c r="C137" t="inlineStr">
        <is>
          <t>REL_26C</t>
        </is>
      </c>
      <c r="D137" t="inlineStr">
        <is>
          <t>CHG_IMP_0112</t>
        </is>
      </c>
      <c r="E137" t="inlineStr">
        <is>
          <t>Functional</t>
        </is>
      </c>
      <c r="F137" t="inlineStr">
        <is>
          <t>Configuration</t>
        </is>
      </c>
      <c r="G137" t="inlineStr"/>
      <c r="H137" t="inlineStr">
        <is>
          <t>DFL HCM Common impacted by Oracle 26C change</t>
        </is>
      </c>
      <c r="I137" t="inlineStr">
        <is>
          <t>Y</t>
        </is>
      </c>
      <c r="J137" t="inlineStr">
        <is>
          <t>N</t>
        </is>
      </c>
      <c r="K137" t="inlineStr">
        <is>
          <t>N</t>
        </is>
      </c>
      <c r="L137" t="inlineStr">
        <is>
          <t>N</t>
        </is>
      </c>
      <c r="M137" t="n">
        <v>1</v>
      </c>
      <c r="N137" t="n">
        <v>2</v>
      </c>
      <c r="O137" t="n">
        <v>1</v>
      </c>
      <c r="P137" t="n">
        <v>1</v>
      </c>
      <c r="Q137" t="n">
        <v>3</v>
      </c>
      <c r="R137">
        <f>IFERROR(XLOOKUP(XLOOKUP(D137,tblReleaseChanges[Change_ID],tblReleaseChanges[Oracle_Severity],""),tblSeverityMap[Severity_Text],tblSeverityMap[Score],0),0)</f>
        <v/>
      </c>
      <c r="S137" t="n">
        <v>1</v>
      </c>
      <c r="T137">
        <f>ROUND((M137*0.25)+(N137*0.20)+(O137*0.15)+(P137*0.15)+(Q137*0.10)+(R137*0.10)+(S137*0.05),2)</f>
        <v/>
      </c>
      <c r="U137">
        <f>IF(T137&gt;=4.25,"Critical",IF(T137&gt;=3.5,"High",IF(T137&gt;=2,"Medium","Low")))</f>
        <v/>
      </c>
      <c r="V137" t="inlineStr">
        <is>
          <t>Pending Review</t>
        </is>
      </c>
      <c r="W137" t="inlineStr"/>
      <c r="X137" t="inlineStr"/>
      <c r="Y137" t="inlineStr">
        <is>
          <t>Action type: Steps to Enable. You must enable the following profile option: In **Manage Administrator Profile Values**, set the following profile option to **Yes**: • **Profile Displ</t>
        </is>
      </c>
      <c r="Z137" t="inlineStr">
        <is>
          <t>N</t>
        </is>
      </c>
      <c r="AA137" t="inlineStr">
        <is>
          <t>N</t>
        </is>
      </c>
    </row>
    <row r="138">
      <c r="A138" t="inlineStr">
        <is>
          <t>ASMT_IMP_0113</t>
        </is>
      </c>
      <c r="B138" t="inlineStr">
        <is>
          <t>CLT_DFL001</t>
        </is>
      </c>
      <c r="C138" t="inlineStr">
        <is>
          <t>REL_26C</t>
        </is>
      </c>
      <c r="D138" t="inlineStr">
        <is>
          <t>CHG_IMP_0113</t>
        </is>
      </c>
      <c r="E138" t="inlineStr">
        <is>
          <t>Functional</t>
        </is>
      </c>
      <c r="F138" t="inlineStr">
        <is>
          <t>Configuration</t>
        </is>
      </c>
      <c r="G138" t="inlineStr"/>
      <c r="H138" t="inlineStr">
        <is>
          <t>DFL HCM Common impacted by Oracle 26C change</t>
        </is>
      </c>
      <c r="I138" t="inlineStr">
        <is>
          <t>Y</t>
        </is>
      </c>
      <c r="J138" t="inlineStr">
        <is>
          <t>N</t>
        </is>
      </c>
      <c r="K138" t="inlineStr">
        <is>
          <t>N</t>
        </is>
      </c>
      <c r="L138" t="inlineStr">
        <is>
          <t>N</t>
        </is>
      </c>
      <c r="M138" t="n">
        <v>1</v>
      </c>
      <c r="N138" t="n">
        <v>2</v>
      </c>
      <c r="O138" t="n">
        <v>1</v>
      </c>
      <c r="P138" t="n">
        <v>1</v>
      </c>
      <c r="Q138" t="n">
        <v>3</v>
      </c>
      <c r="R138">
        <f>IFERROR(XLOOKUP(XLOOKUP(D138,tblReleaseChanges[Change_ID],tblReleaseChanges[Oracle_Severity],""),tblSeverityMap[Severity_Text],tblSeverityMap[Score],0),0)</f>
        <v/>
      </c>
      <c r="S138" t="n">
        <v>1</v>
      </c>
      <c r="T138">
        <f>ROUND((M138*0.25)+(N138*0.20)+(O138*0.15)+(P138*0.15)+(Q138*0.10)+(R138*0.10)+(S138*0.05),2)</f>
        <v/>
      </c>
      <c r="U138">
        <f>IF(T138&gt;=4.25,"Critical",IF(T138&gt;=3.5,"High",IF(T138&gt;=2,"Medium","Low")))</f>
        <v/>
      </c>
      <c r="V138" t="inlineStr">
        <is>
          <t>Pending Review</t>
        </is>
      </c>
      <c r="W138" t="inlineStr"/>
      <c r="X138" t="inlineStr"/>
      <c r="Y138" t="inlineStr">
        <is>
          <t xml:space="preserve">Action type: Steps to Enable. Here are the profile option details for Extract Configuration Group. By default, the extracts profile option is delivered as enabled (Yes). Profile Option Code | Profile </t>
        </is>
      </c>
      <c r="Z138" t="inlineStr">
        <is>
          <t>N</t>
        </is>
      </c>
      <c r="AA138" t="inlineStr">
        <is>
          <t>N</t>
        </is>
      </c>
    </row>
    <row r="139">
      <c r="A139" t="inlineStr">
        <is>
          <t>ASMT_IMP_0114</t>
        </is>
      </c>
      <c r="B139" t="inlineStr">
        <is>
          <t>CLT_DFL001</t>
        </is>
      </c>
      <c r="C139" t="inlineStr">
        <is>
          <t>REL_26C</t>
        </is>
      </c>
      <c r="D139" t="inlineStr">
        <is>
          <t>CHG_IMP_0114</t>
        </is>
      </c>
      <c r="E139" t="inlineStr">
        <is>
          <t>Functional</t>
        </is>
      </c>
      <c r="F139" t="inlineStr">
        <is>
          <t>Configuration</t>
        </is>
      </c>
      <c r="G139" t="inlineStr"/>
      <c r="H139" t="inlineStr">
        <is>
          <t>DFL HCM Common impacted by Oracle 26C change</t>
        </is>
      </c>
      <c r="I139" t="inlineStr">
        <is>
          <t>Y</t>
        </is>
      </c>
      <c r="J139" t="inlineStr">
        <is>
          <t>N</t>
        </is>
      </c>
      <c r="K139" t="inlineStr">
        <is>
          <t>N</t>
        </is>
      </c>
      <c r="L139" t="inlineStr">
        <is>
          <t>N</t>
        </is>
      </c>
      <c r="M139" t="n">
        <v>1</v>
      </c>
      <c r="N139" t="n">
        <v>2</v>
      </c>
      <c r="O139" t="n">
        <v>1</v>
      </c>
      <c r="P139" t="n">
        <v>1</v>
      </c>
      <c r="Q139" t="n">
        <v>3</v>
      </c>
      <c r="R139">
        <f>IFERROR(XLOOKUP(XLOOKUP(D139,tblReleaseChanges[Change_ID],tblReleaseChanges[Oracle_Severity],""),tblSeverityMap[Severity_Text],tblSeverityMap[Score],0),0)</f>
        <v/>
      </c>
      <c r="S139" t="n">
        <v>1</v>
      </c>
      <c r="T139">
        <f>ROUND((M139*0.25)+(N139*0.20)+(O139*0.15)+(P139*0.15)+(Q139*0.10)+(R139*0.10)+(S139*0.05),2)</f>
        <v/>
      </c>
      <c r="U139">
        <f>IF(T139&gt;=4.25,"Critical",IF(T139&gt;=3.5,"High",IF(T139&gt;=2,"Medium","Low")))</f>
        <v/>
      </c>
      <c r="V139" t="inlineStr">
        <is>
          <t>Pending Review</t>
        </is>
      </c>
      <c r="W139" t="inlineStr"/>
      <c r="X139" t="inlineStr"/>
      <c r="Y139" t="inlineStr">
        <is>
          <t>Action type: Steps to Enable. In order to work with the new **Remove Person Information** pages, you must first enable the profile option. By default, the profile option is delivered as disabled. If y</t>
        </is>
      </c>
      <c r="Z139" t="inlineStr">
        <is>
          <t>N</t>
        </is>
      </c>
      <c r="AA139" t="inlineStr">
        <is>
          <t>N</t>
        </is>
      </c>
    </row>
    <row r="140">
      <c r="A140" t="inlineStr">
        <is>
          <t>ASMT_IMP_0115</t>
        </is>
      </c>
      <c r="B140" t="inlineStr">
        <is>
          <t>CLT_DFL001</t>
        </is>
      </c>
      <c r="C140" t="inlineStr">
        <is>
          <t>REL_26C</t>
        </is>
      </c>
      <c r="D140" t="inlineStr">
        <is>
          <t>CHG_IMP_0115</t>
        </is>
      </c>
      <c r="E140" t="inlineStr">
        <is>
          <t>Functional</t>
        </is>
      </c>
      <c r="F140" t="inlineStr">
        <is>
          <t>Configuration</t>
        </is>
      </c>
      <c r="G140" t="inlineStr"/>
      <c r="H140" t="inlineStr">
        <is>
          <t>DFL HCM Common impacted by Oracle 26C change</t>
        </is>
      </c>
      <c r="I140" t="inlineStr">
        <is>
          <t>Y</t>
        </is>
      </c>
      <c r="J140" t="inlineStr">
        <is>
          <t>N</t>
        </is>
      </c>
      <c r="K140" t="inlineStr">
        <is>
          <t>N</t>
        </is>
      </c>
      <c r="L140" t="inlineStr">
        <is>
          <t>N</t>
        </is>
      </c>
      <c r="M140" t="n">
        <v>1</v>
      </c>
      <c r="N140" t="n">
        <v>2</v>
      </c>
      <c r="O140" t="n">
        <v>1</v>
      </c>
      <c r="P140" t="n">
        <v>1</v>
      </c>
      <c r="Q140" t="n">
        <v>3</v>
      </c>
      <c r="R140">
        <f>IFERROR(XLOOKUP(XLOOKUP(D140,tblReleaseChanges[Change_ID],tblReleaseChanges[Oracle_Severity],""),tblSeverityMap[Severity_Text],tblSeverityMap[Score],0),0)</f>
        <v/>
      </c>
      <c r="S140" t="n">
        <v>1</v>
      </c>
      <c r="T140">
        <f>ROUND((M140*0.25)+(N140*0.20)+(O140*0.15)+(P140*0.15)+(Q140*0.10)+(R140*0.10)+(S140*0.05),2)</f>
        <v/>
      </c>
      <c r="U140">
        <f>IF(T140&gt;=4.25,"Critical",IF(T140&gt;=3.5,"High",IF(T140&gt;=2,"Medium","Low")))</f>
        <v/>
      </c>
      <c r="V140" t="inlineStr">
        <is>
          <t>Pending Review</t>
        </is>
      </c>
      <c r="W140" t="inlineStr"/>
      <c r="X140" t="inlineStr"/>
      <c r="Y140" t="inlineStr">
        <is>
          <t>Action type: Steps to Enable. You need to enable these profile options to access the new Alerts Composer workflow. Profile Code | Display Name | Description ORA_HCM_VBCS_PWA_ENABLED | Enable VBCS Prog</t>
        </is>
      </c>
      <c r="Z140" t="inlineStr">
        <is>
          <t>N</t>
        </is>
      </c>
      <c r="AA140" t="inlineStr">
        <is>
          <t>N</t>
        </is>
      </c>
    </row>
    <row r="141">
      <c r="A141" t="inlineStr">
        <is>
          <t>ASMT_IMP_0116</t>
        </is>
      </c>
      <c r="B141" t="inlineStr">
        <is>
          <t>CLT_DFL001</t>
        </is>
      </c>
      <c r="C141" t="inlineStr">
        <is>
          <t>REL_26C</t>
        </is>
      </c>
      <c r="D141" t="inlineStr">
        <is>
          <t>CHG_IMP_0116</t>
        </is>
      </c>
      <c r="E141" t="inlineStr">
        <is>
          <t>AI Feature</t>
        </is>
      </c>
      <c r="F141" t="inlineStr">
        <is>
          <t>Configuration</t>
        </is>
      </c>
      <c r="G141" t="inlineStr"/>
      <c r="H141" t="inlineStr">
        <is>
          <t>DFL HCM Common impacted by Oracle 26C change</t>
        </is>
      </c>
      <c r="I141" t="inlineStr">
        <is>
          <t>Y</t>
        </is>
      </c>
      <c r="J141" t="inlineStr">
        <is>
          <t>N</t>
        </is>
      </c>
      <c r="K141" t="inlineStr">
        <is>
          <t>N</t>
        </is>
      </c>
      <c r="L141" t="inlineStr">
        <is>
          <t>N</t>
        </is>
      </c>
      <c r="M141" t="n">
        <v>1</v>
      </c>
      <c r="N141" t="n">
        <v>2</v>
      </c>
      <c r="O141" t="n">
        <v>1</v>
      </c>
      <c r="P141" t="n">
        <v>3</v>
      </c>
      <c r="Q141" t="n">
        <v>3</v>
      </c>
      <c r="R141">
        <f>IFERROR(XLOOKUP(XLOOKUP(D141,tblReleaseChanges[Change_ID],tblReleaseChanges[Oracle_Severity],""),tblSeverityMap[Severity_Text],tblSeverityMap[Score],0),0)</f>
        <v/>
      </c>
      <c r="S141" t="n">
        <v>1</v>
      </c>
      <c r="T141">
        <f>ROUND((M141*0.25)+(N141*0.20)+(O141*0.15)+(P141*0.15)+(Q141*0.10)+(R141*0.10)+(S141*0.05),2)</f>
        <v/>
      </c>
      <c r="U141">
        <f>IF(T141&gt;=4.25,"Critical",IF(T141&gt;=3.5,"High",IF(T141&gt;=2,"Medium","Low")))</f>
        <v/>
      </c>
      <c r="V141" t="inlineStr">
        <is>
          <t>Pending Review</t>
        </is>
      </c>
      <c r="W141" t="inlineStr"/>
      <c r="X141" t="inlineStr"/>
      <c r="Y141" t="inlineStr">
        <is>
          <t>Action type: Steps to Enable. • Your environment must have certain necessary configurations. Ask your help desk to contact Oracle Support, who can verify what your environment has and address any gaps</t>
        </is>
      </c>
      <c r="Z141" t="inlineStr">
        <is>
          <t>N</t>
        </is>
      </c>
      <c r="AA141" t="inlineStr">
        <is>
          <t>N</t>
        </is>
      </c>
    </row>
    <row r="142">
      <c r="A142" t="inlineStr">
        <is>
          <t>ASMT_IMP_0117</t>
        </is>
      </c>
      <c r="B142" t="inlineStr">
        <is>
          <t>CLT_DFL001</t>
        </is>
      </c>
      <c r="C142" t="inlineStr">
        <is>
          <t>REL_26C</t>
        </is>
      </c>
      <c r="D142" t="inlineStr">
        <is>
          <t>CHG_IMP_0117</t>
        </is>
      </c>
      <c r="E142" t="inlineStr">
        <is>
          <t>AI Feature</t>
        </is>
      </c>
      <c r="F142" t="inlineStr">
        <is>
          <t>Configuration</t>
        </is>
      </c>
      <c r="G142" t="inlineStr"/>
      <c r="H142" t="inlineStr">
        <is>
          <t>DFL Human Resources impacted by Oracle 26C change</t>
        </is>
      </c>
      <c r="I142" t="inlineStr">
        <is>
          <t>Y</t>
        </is>
      </c>
      <c r="J142" t="inlineStr">
        <is>
          <t>N</t>
        </is>
      </c>
      <c r="K142" t="inlineStr">
        <is>
          <t>N</t>
        </is>
      </c>
      <c r="L142" t="inlineStr">
        <is>
          <t>N</t>
        </is>
      </c>
      <c r="M142" t="n">
        <v>5</v>
      </c>
      <c r="N142" t="n">
        <v>2</v>
      </c>
      <c r="O142" t="n">
        <v>3</v>
      </c>
      <c r="P142" t="n">
        <v>3</v>
      </c>
      <c r="Q142" t="n">
        <v>3</v>
      </c>
      <c r="R142">
        <f>IFERROR(XLOOKUP(XLOOKUP(D142,tblReleaseChanges[Change_ID],tblReleaseChanges[Oracle_Severity],""),tblSeverityMap[Severity_Text],tblSeverityMap[Score],0),0)</f>
        <v/>
      </c>
      <c r="S142" t="n">
        <v>4</v>
      </c>
      <c r="T142">
        <f>ROUND((M142*0.25)+(N142*0.20)+(O142*0.15)+(P142*0.15)+(Q142*0.10)+(R142*0.10)+(S142*0.05),2)</f>
        <v/>
      </c>
      <c r="U142">
        <f>IF(T142&gt;=4.25,"Critical",IF(T142&gt;=3.5,"High",IF(T142&gt;=2,"Medium","Low")))</f>
        <v/>
      </c>
      <c r="V142" t="inlineStr">
        <is>
          <t>Pending Review</t>
        </is>
      </c>
      <c r="W142" t="inlineStr"/>
      <c r="X142" t="inlineStr"/>
      <c r="Y142" t="inlineStr">
        <is>
          <t>Action type: Steps to Enable. • Your environment must have the appropriate services for Oracle Applications Platform deployed. For more information, see FAQ2521 on My Oracle Cloud Support • Set the **</t>
        </is>
      </c>
      <c r="Z142" t="inlineStr">
        <is>
          <t>Y</t>
        </is>
      </c>
      <c r="AA142" t="inlineStr">
        <is>
          <t>Y</t>
        </is>
      </c>
    </row>
    <row r="143">
      <c r="A143" t="inlineStr">
        <is>
          <t>ASMT_IMP_0118</t>
        </is>
      </c>
      <c r="B143" t="inlineStr">
        <is>
          <t>CLT_DFL001</t>
        </is>
      </c>
      <c r="C143" t="inlineStr">
        <is>
          <t>REL_26C</t>
        </is>
      </c>
      <c r="D143" t="inlineStr">
        <is>
          <t>CHG_IMP_0118</t>
        </is>
      </c>
      <c r="E143" t="inlineStr">
        <is>
          <t>AI Feature</t>
        </is>
      </c>
      <c r="F143" t="inlineStr">
        <is>
          <t>Configuration</t>
        </is>
      </c>
      <c r="G143" t="inlineStr"/>
      <c r="H143" t="inlineStr">
        <is>
          <t>DFL Human Resources impacted by Oracle 26C change</t>
        </is>
      </c>
      <c r="I143" t="inlineStr">
        <is>
          <t>Y</t>
        </is>
      </c>
      <c r="J143" t="inlineStr">
        <is>
          <t>N</t>
        </is>
      </c>
      <c r="K143" t="inlineStr">
        <is>
          <t>N</t>
        </is>
      </c>
      <c r="L143" t="inlineStr">
        <is>
          <t>N</t>
        </is>
      </c>
      <c r="M143" t="n">
        <v>5</v>
      </c>
      <c r="N143" t="n">
        <v>2</v>
      </c>
      <c r="O143" t="n">
        <v>3</v>
      </c>
      <c r="P143" t="n">
        <v>3</v>
      </c>
      <c r="Q143" t="n">
        <v>3</v>
      </c>
      <c r="R143">
        <f>IFERROR(XLOOKUP(XLOOKUP(D143,tblReleaseChanges[Change_ID],tblReleaseChanges[Oracle_Severity],""),tblSeverityMap[Severity_Text],tblSeverityMap[Score],0),0)</f>
        <v/>
      </c>
      <c r="S143" t="n">
        <v>4</v>
      </c>
      <c r="T143">
        <f>ROUND((M143*0.25)+(N143*0.20)+(O143*0.15)+(P143*0.15)+(Q143*0.10)+(R143*0.10)+(S143*0.05),2)</f>
        <v/>
      </c>
      <c r="U143">
        <f>IF(T143&gt;=4.25,"Critical",IF(T143&gt;=3.5,"High",IF(T143&gt;=2,"Medium","Low")))</f>
        <v/>
      </c>
      <c r="V143" t="inlineStr">
        <is>
          <t>Pending Review</t>
        </is>
      </c>
      <c r="W143" t="inlineStr"/>
      <c r="X143" t="inlineStr"/>
      <c r="Y143" t="inlineStr">
        <is>
          <t>Action type: Steps to Enable. • Your environment must have certain necessary configurations. Ask your help desk to contact Oracle Support, who can verify what your environment has and address any gaps</t>
        </is>
      </c>
      <c r="Z143" t="inlineStr">
        <is>
          <t>Y</t>
        </is>
      </c>
      <c r="AA143" t="inlineStr">
        <is>
          <t>Y</t>
        </is>
      </c>
    </row>
    <row r="144">
      <c r="A144" t="inlineStr">
        <is>
          <t>ASMT_IMP_0119</t>
        </is>
      </c>
      <c r="B144" t="inlineStr">
        <is>
          <t>CLT_DFL001</t>
        </is>
      </c>
      <c r="C144" t="inlineStr">
        <is>
          <t>REL_26C</t>
        </is>
      </c>
      <c r="D144" t="inlineStr">
        <is>
          <t>CHG_IMP_0119</t>
        </is>
      </c>
      <c r="E144" t="inlineStr">
        <is>
          <t>Functional</t>
        </is>
      </c>
      <c r="F144" t="inlineStr">
        <is>
          <t>Configuration</t>
        </is>
      </c>
      <c r="G144" t="inlineStr"/>
      <c r="H144" t="inlineStr">
        <is>
          <t>DFL Human Resources impacted by Oracle 26C change</t>
        </is>
      </c>
      <c r="I144" t="inlineStr">
        <is>
          <t>Y</t>
        </is>
      </c>
      <c r="J144" t="inlineStr">
        <is>
          <t>N</t>
        </is>
      </c>
      <c r="K144" t="inlineStr">
        <is>
          <t>N</t>
        </is>
      </c>
      <c r="L144" t="inlineStr">
        <is>
          <t>N</t>
        </is>
      </c>
      <c r="M144" t="n">
        <v>5</v>
      </c>
      <c r="N144" t="n">
        <v>2</v>
      </c>
      <c r="O144" t="n">
        <v>3</v>
      </c>
      <c r="P144" t="n">
        <v>1</v>
      </c>
      <c r="Q144" t="n">
        <v>3</v>
      </c>
      <c r="R144">
        <f>IFERROR(XLOOKUP(XLOOKUP(D144,tblReleaseChanges[Change_ID],tblReleaseChanges[Oracle_Severity],""),tblSeverityMap[Severity_Text],tblSeverityMap[Score],0),0)</f>
        <v/>
      </c>
      <c r="S144" t="n">
        <v>4</v>
      </c>
      <c r="T144">
        <f>ROUND((M144*0.25)+(N144*0.20)+(O144*0.15)+(P144*0.15)+(Q144*0.10)+(R144*0.10)+(S144*0.05),2)</f>
        <v/>
      </c>
      <c r="U144">
        <f>IF(T144&gt;=4.25,"Critical",IF(T144&gt;=3.5,"High",IF(T144&gt;=2,"Medium","Low")))</f>
        <v/>
      </c>
      <c r="V144" t="inlineStr">
        <is>
          <t>Pending Review</t>
        </is>
      </c>
      <c r="W144" t="inlineStr"/>
      <c r="X144" t="inlineStr"/>
      <c r="Y144" t="inlineStr">
        <is>
          <t>Action type: Steps to Enable. You need to enable the **ORA_PER_EMPL_ALLOW_DELETE_POS_SYNC_ROW**profile option to delete assignme</t>
        </is>
      </c>
      <c r="Z144" t="inlineStr">
        <is>
          <t>Y</t>
        </is>
      </c>
      <c r="AA144" t="inlineStr">
        <is>
          <t>Y</t>
        </is>
      </c>
    </row>
    <row r="145">
      <c r="A145" t="inlineStr">
        <is>
          <t>ASMT_IMP_0120</t>
        </is>
      </c>
      <c r="B145" t="inlineStr">
        <is>
          <t>CLT_DFL001</t>
        </is>
      </c>
      <c r="C145" t="inlineStr">
        <is>
          <t>REL_26C</t>
        </is>
      </c>
      <c r="D145" t="inlineStr">
        <is>
          <t>CHG_IMP_0120</t>
        </is>
      </c>
      <c r="E145" t="inlineStr">
        <is>
          <t>Functional</t>
        </is>
      </c>
      <c r="F145" t="inlineStr">
        <is>
          <t>Configuration</t>
        </is>
      </c>
      <c r="G145" t="inlineStr"/>
      <c r="H145" t="inlineStr">
        <is>
          <t>DFL Human Resources impacted by Oracle 26C change</t>
        </is>
      </c>
      <c r="I145" t="inlineStr">
        <is>
          <t>Y</t>
        </is>
      </c>
      <c r="J145" t="inlineStr">
        <is>
          <t>N</t>
        </is>
      </c>
      <c r="K145" t="inlineStr">
        <is>
          <t>N</t>
        </is>
      </c>
      <c r="L145" t="inlineStr">
        <is>
          <t>N</t>
        </is>
      </c>
      <c r="M145" t="n">
        <v>5</v>
      </c>
      <c r="N145" t="n">
        <v>2</v>
      </c>
      <c r="O145" t="n">
        <v>3</v>
      </c>
      <c r="P145" t="n">
        <v>1</v>
      </c>
      <c r="Q145" t="n">
        <v>3</v>
      </c>
      <c r="R145">
        <f>IFERROR(XLOOKUP(XLOOKUP(D145,tblReleaseChanges[Change_ID],tblReleaseChanges[Oracle_Severity],""),tblSeverityMap[Severity_Text],tblSeverityMap[Score],0),0)</f>
        <v/>
      </c>
      <c r="S145" t="n">
        <v>1</v>
      </c>
      <c r="T145">
        <f>ROUND((M145*0.25)+(N145*0.20)+(O145*0.15)+(P145*0.15)+(Q145*0.10)+(R145*0.10)+(S145*0.05),2)</f>
        <v/>
      </c>
      <c r="U145">
        <f>IF(T145&gt;=4.25,"Critical",IF(T145&gt;=3.5,"High",IF(T145&gt;=2,"Medium","Low")))</f>
        <v/>
      </c>
      <c r="V145" t="inlineStr">
        <is>
          <t>Pending Review</t>
        </is>
      </c>
      <c r="W145" t="inlineStr"/>
      <c r="X145" t="inlineStr"/>
      <c r="Y145" t="inlineStr">
        <is>
          <t>Auto-enabled — no action required</t>
        </is>
      </c>
      <c r="Z145" t="inlineStr">
        <is>
          <t>N</t>
        </is>
      </c>
      <c r="AA145" t="inlineStr">
        <is>
          <t>N</t>
        </is>
      </c>
    </row>
    <row r="146">
      <c r="A146" t="inlineStr">
        <is>
          <t>ASMT_IMP_0121</t>
        </is>
      </c>
      <c r="B146" t="inlineStr">
        <is>
          <t>CLT_DFL001</t>
        </is>
      </c>
      <c r="C146" t="inlineStr">
        <is>
          <t>REL_26C</t>
        </is>
      </c>
      <c r="D146" t="inlineStr">
        <is>
          <t>CHG_IMP_0121</t>
        </is>
      </c>
      <c r="E146" t="inlineStr">
        <is>
          <t>Functional</t>
        </is>
      </c>
      <c r="F146" t="inlineStr">
        <is>
          <t>Configuration</t>
        </is>
      </c>
      <c r="G146" t="inlineStr"/>
      <c r="H146" t="inlineStr">
        <is>
          <t>DFL Human Resources impacted by Oracle 26C change</t>
        </is>
      </c>
      <c r="I146" t="inlineStr">
        <is>
          <t>Y</t>
        </is>
      </c>
      <c r="J146" t="inlineStr">
        <is>
          <t>N</t>
        </is>
      </c>
      <c r="K146" t="inlineStr">
        <is>
          <t>N</t>
        </is>
      </c>
      <c r="L146" t="inlineStr">
        <is>
          <t>N</t>
        </is>
      </c>
      <c r="M146" t="n">
        <v>5</v>
      </c>
      <c r="N146" t="n">
        <v>2</v>
      </c>
      <c r="O146" t="n">
        <v>3</v>
      </c>
      <c r="P146" t="n">
        <v>1</v>
      </c>
      <c r="Q146" t="n">
        <v>3</v>
      </c>
      <c r="R146">
        <f>IFERROR(XLOOKUP(XLOOKUP(D146,tblReleaseChanges[Change_ID],tblReleaseChanges[Oracle_Severity],""),tblSeverityMap[Severity_Text],tblSeverityMap[Score],0),0)</f>
        <v/>
      </c>
      <c r="S146" t="n">
        <v>4</v>
      </c>
      <c r="T146">
        <f>ROUND((M146*0.25)+(N146*0.20)+(O146*0.15)+(P146*0.15)+(Q146*0.10)+(R146*0.10)+(S146*0.05),2)</f>
        <v/>
      </c>
      <c r="U146">
        <f>IF(T146&gt;=4.25,"Critical",IF(T146&gt;=3.5,"High",IF(T146&gt;=2,"Medium","Low")))</f>
        <v/>
      </c>
      <c r="V146" t="inlineStr">
        <is>
          <t>Pending Review</t>
        </is>
      </c>
      <c r="W146" t="inlineStr"/>
      <c r="X146" t="inlineStr"/>
      <c r="Y146" t="inlineStr">
        <is>
          <t>Action type: Steps to Enable. For more information, see this topic: Configure Journey Task Based on Duration Before or After Transaction Effective Date</t>
        </is>
      </c>
      <c r="Z146" t="inlineStr">
        <is>
          <t>Y</t>
        </is>
      </c>
      <c r="AA146" t="inlineStr">
        <is>
          <t>Y</t>
        </is>
      </c>
    </row>
    <row r="147">
      <c r="A147" t="inlineStr">
        <is>
          <t>ASMT_IMP_0122</t>
        </is>
      </c>
      <c r="B147" t="inlineStr">
        <is>
          <t>CLT_DFL001</t>
        </is>
      </c>
      <c r="C147" t="inlineStr">
        <is>
          <t>REL_26C</t>
        </is>
      </c>
      <c r="D147" t="inlineStr">
        <is>
          <t>CHG_IMP_0122</t>
        </is>
      </c>
      <c r="E147" t="inlineStr">
        <is>
          <t>Functional</t>
        </is>
      </c>
      <c r="F147" t="inlineStr">
        <is>
          <t>Configuration</t>
        </is>
      </c>
      <c r="G147" t="inlineStr"/>
      <c r="H147" t="inlineStr">
        <is>
          <t>DFL Human Resources impacted by Oracle 26C change</t>
        </is>
      </c>
      <c r="I147" t="inlineStr">
        <is>
          <t>Y</t>
        </is>
      </c>
      <c r="J147" t="inlineStr">
        <is>
          <t>N</t>
        </is>
      </c>
      <c r="K147" t="inlineStr">
        <is>
          <t>N</t>
        </is>
      </c>
      <c r="L147" t="inlineStr">
        <is>
          <t>N</t>
        </is>
      </c>
      <c r="M147" t="n">
        <v>5</v>
      </c>
      <c r="N147" t="n">
        <v>2</v>
      </c>
      <c r="O147" t="n">
        <v>3</v>
      </c>
      <c r="P147" t="n">
        <v>1</v>
      </c>
      <c r="Q147" t="n">
        <v>3</v>
      </c>
      <c r="R147">
        <f>IFERROR(XLOOKUP(XLOOKUP(D147,tblReleaseChanges[Change_ID],tblReleaseChanges[Oracle_Severity],""),tblSeverityMap[Severity_Text],tblSeverityMap[Score],0),0)</f>
        <v/>
      </c>
      <c r="S147" t="n">
        <v>4</v>
      </c>
      <c r="T147">
        <f>ROUND((M147*0.25)+(N147*0.20)+(O147*0.15)+(P147*0.15)+(Q147*0.10)+(R147*0.10)+(S147*0.05),2)</f>
        <v/>
      </c>
      <c r="U147">
        <f>IF(T147&gt;=4.25,"Critical",IF(T147&gt;=3.5,"High",IF(T147&gt;=2,"Medium","Low")))</f>
        <v/>
      </c>
      <c r="V147" t="inlineStr">
        <is>
          <t>Pending Review</t>
        </is>
      </c>
      <c r="W147" t="inlineStr"/>
      <c r="X147" t="inlineStr"/>
      <c r="Y147" t="inlineStr">
        <is>
          <t>Action type: Steps to Enable. To learn more about the prerequisites, see What are the prerequisites for advanced search to be available in the position LOVs on Redwoo</t>
        </is>
      </c>
      <c r="Z147" t="inlineStr">
        <is>
          <t>Y</t>
        </is>
      </c>
      <c r="AA147" t="inlineStr">
        <is>
          <t>Y</t>
        </is>
      </c>
    </row>
    <row r="148">
      <c r="A148" t="inlineStr">
        <is>
          <t>ASMT_IMP_0123</t>
        </is>
      </c>
      <c r="B148" t="inlineStr">
        <is>
          <t>CLT_DFL001</t>
        </is>
      </c>
      <c r="C148" t="inlineStr">
        <is>
          <t>REL_26C</t>
        </is>
      </c>
      <c r="D148" t="inlineStr">
        <is>
          <t>CHG_IMP_0123</t>
        </is>
      </c>
      <c r="E148" t="inlineStr">
        <is>
          <t>Functional</t>
        </is>
      </c>
      <c r="F148" t="inlineStr">
        <is>
          <t>Configuration</t>
        </is>
      </c>
      <c r="G148" t="inlineStr"/>
      <c r="H148" t="inlineStr">
        <is>
          <t>DFL Human Resources impacted by Oracle 26C change</t>
        </is>
      </c>
      <c r="I148" t="inlineStr">
        <is>
          <t>Y</t>
        </is>
      </c>
      <c r="J148" t="inlineStr">
        <is>
          <t>N</t>
        </is>
      </c>
      <c r="K148" t="inlineStr">
        <is>
          <t>N</t>
        </is>
      </c>
      <c r="L148" t="inlineStr">
        <is>
          <t>N</t>
        </is>
      </c>
      <c r="M148" t="n">
        <v>5</v>
      </c>
      <c r="N148" t="n">
        <v>2</v>
      </c>
      <c r="O148" t="n">
        <v>3</v>
      </c>
      <c r="P148" t="n">
        <v>1</v>
      </c>
      <c r="Q148" t="n">
        <v>3</v>
      </c>
      <c r="R148">
        <f>IFERROR(XLOOKUP(XLOOKUP(D148,tblReleaseChanges[Change_ID],tblReleaseChanges[Oracle_Severity],""),tblSeverityMap[Severity_Text],tblSeverityMap[Score],0),0)</f>
        <v/>
      </c>
      <c r="S148" t="n">
        <v>4</v>
      </c>
      <c r="T148">
        <f>ROUND((M148*0.25)+(N148*0.20)+(O148*0.15)+(P148*0.15)+(Q148*0.10)+(R148*0.10)+(S148*0.05),2)</f>
        <v/>
      </c>
      <c r="U148">
        <f>IF(T148&gt;=4.25,"Critical",IF(T148&gt;=3.5,"High",IF(T148&gt;=2,"Medium","Low")))</f>
        <v/>
      </c>
      <c r="V148" t="inlineStr">
        <is>
          <t>Pending Review</t>
        </is>
      </c>
      <c r="W148" t="inlineStr"/>
      <c r="X148" t="inlineStr"/>
      <c r="Y148" t="inlineStr">
        <is>
          <t>Action type: Steps to Enable. For more information, see Deliver-to Site and Receivable Materials Attributes on Redwood Locations Pages. Also see Ho</t>
        </is>
      </c>
      <c r="Z148" t="inlineStr">
        <is>
          <t>Y</t>
        </is>
      </c>
      <c r="AA148" t="inlineStr">
        <is>
          <t>Y</t>
        </is>
      </c>
    </row>
    <row r="149">
      <c r="A149" t="inlineStr">
        <is>
          <t>ASMT_IMP_0124</t>
        </is>
      </c>
      <c r="B149" t="inlineStr">
        <is>
          <t>CLT_DFL001</t>
        </is>
      </c>
      <c r="C149" t="inlineStr">
        <is>
          <t>REL_26C</t>
        </is>
      </c>
      <c r="D149" t="inlineStr">
        <is>
          <t>CHG_IMP_0124</t>
        </is>
      </c>
      <c r="E149" t="inlineStr">
        <is>
          <t>Functional</t>
        </is>
      </c>
      <c r="F149" t="inlineStr">
        <is>
          <t>Configuration</t>
        </is>
      </c>
      <c r="G149" t="inlineStr"/>
      <c r="H149" t="inlineStr">
        <is>
          <t>DFL Human Resources impacted by Oracle 26C change</t>
        </is>
      </c>
      <c r="I149" t="inlineStr">
        <is>
          <t>Y</t>
        </is>
      </c>
      <c r="J149" t="inlineStr">
        <is>
          <t>N</t>
        </is>
      </c>
      <c r="K149" t="inlineStr">
        <is>
          <t>N</t>
        </is>
      </c>
      <c r="L149" t="inlineStr">
        <is>
          <t>N</t>
        </is>
      </c>
      <c r="M149" t="n">
        <v>5</v>
      </c>
      <c r="N149" t="n">
        <v>2</v>
      </c>
      <c r="O149" t="n">
        <v>3</v>
      </c>
      <c r="P149" t="n">
        <v>1</v>
      </c>
      <c r="Q149" t="n">
        <v>3</v>
      </c>
      <c r="R149">
        <f>IFERROR(XLOOKUP(XLOOKUP(D149,tblReleaseChanges[Change_ID],tblReleaseChanges[Oracle_Severity],""),tblSeverityMap[Severity_Text],tblSeverityMap[Score],0),0)</f>
        <v/>
      </c>
      <c r="S149" t="n">
        <v>1</v>
      </c>
      <c r="T149">
        <f>ROUND((M149*0.25)+(N149*0.20)+(O149*0.15)+(P149*0.15)+(Q149*0.10)+(R149*0.10)+(S149*0.05),2)</f>
        <v/>
      </c>
      <c r="U149">
        <f>IF(T149&gt;=4.25,"Critical",IF(T149&gt;=3.5,"High",IF(T149&gt;=2,"Medium","Low")))</f>
        <v/>
      </c>
      <c r="V149" t="inlineStr">
        <is>
          <t>Pending Review</t>
        </is>
      </c>
      <c r="W149" t="inlineStr"/>
      <c r="X149" t="inlineStr"/>
      <c r="Y149" t="inlineStr">
        <is>
          <t>Auto-enabled — no action required</t>
        </is>
      </c>
      <c r="Z149" t="inlineStr">
        <is>
          <t>N</t>
        </is>
      </c>
      <c r="AA149" t="inlineStr">
        <is>
          <t>N</t>
        </is>
      </c>
    </row>
    <row r="150">
      <c r="A150" t="inlineStr">
        <is>
          <t>ASMT_IMP_0125</t>
        </is>
      </c>
      <c r="B150" t="inlineStr">
        <is>
          <t>CLT_DFL001</t>
        </is>
      </c>
      <c r="C150" t="inlineStr">
        <is>
          <t>REL_26C</t>
        </is>
      </c>
      <c r="D150" t="inlineStr">
        <is>
          <t>CHG_IMP_0125</t>
        </is>
      </c>
      <c r="E150" t="inlineStr">
        <is>
          <t>Functional</t>
        </is>
      </c>
      <c r="F150" t="inlineStr">
        <is>
          <t>Configuration</t>
        </is>
      </c>
      <c r="G150" t="inlineStr"/>
      <c r="H150" t="inlineStr">
        <is>
          <t>DFL Human Resources impacted by Oracle 26C change</t>
        </is>
      </c>
      <c r="I150" t="inlineStr">
        <is>
          <t>Y</t>
        </is>
      </c>
      <c r="J150" t="inlineStr">
        <is>
          <t>N</t>
        </is>
      </c>
      <c r="K150" t="inlineStr">
        <is>
          <t>N</t>
        </is>
      </c>
      <c r="L150" t="inlineStr">
        <is>
          <t>N</t>
        </is>
      </c>
      <c r="M150" t="n">
        <v>5</v>
      </c>
      <c r="N150" t="n">
        <v>2</v>
      </c>
      <c r="O150" t="n">
        <v>3</v>
      </c>
      <c r="P150" t="n">
        <v>1</v>
      </c>
      <c r="Q150" t="n">
        <v>3</v>
      </c>
      <c r="R150">
        <f>IFERROR(XLOOKUP(XLOOKUP(D150,tblReleaseChanges[Change_ID],tblReleaseChanges[Oracle_Severity],""),tblSeverityMap[Severity_Text],tblSeverityMap[Score],0),0)</f>
        <v/>
      </c>
      <c r="S150" t="n">
        <v>1</v>
      </c>
      <c r="T150">
        <f>ROUND((M150*0.25)+(N150*0.20)+(O150*0.15)+(P150*0.15)+(Q150*0.10)+(R150*0.10)+(S150*0.05),2)</f>
        <v/>
      </c>
      <c r="U150">
        <f>IF(T150&gt;=4.25,"Critical",IF(T150&gt;=3.5,"High",IF(T150&gt;=2,"Medium","Low")))</f>
        <v/>
      </c>
      <c r="V150" t="inlineStr">
        <is>
          <t>Pending Review</t>
        </is>
      </c>
      <c r="W150" t="inlineStr"/>
      <c r="X150" t="inlineStr"/>
      <c r="Y150" t="inlineStr">
        <is>
          <t>Auto-enabled — no action required</t>
        </is>
      </c>
      <c r="Z150" t="inlineStr">
        <is>
          <t>N</t>
        </is>
      </c>
      <c r="AA150" t="inlineStr">
        <is>
          <t>N</t>
        </is>
      </c>
    </row>
    <row r="151">
      <c r="A151" t="inlineStr">
        <is>
          <t>ASMT_IMP_0126</t>
        </is>
      </c>
      <c r="B151" t="inlineStr">
        <is>
          <t>CLT_DFL001</t>
        </is>
      </c>
      <c r="C151" t="inlineStr">
        <is>
          <t>REL_26C</t>
        </is>
      </c>
      <c r="D151" t="inlineStr">
        <is>
          <t>CHG_IMP_0126</t>
        </is>
      </c>
      <c r="E151" t="inlineStr">
        <is>
          <t>Functional</t>
        </is>
      </c>
      <c r="F151" t="inlineStr">
        <is>
          <t>Configuration</t>
        </is>
      </c>
      <c r="G151" t="inlineStr"/>
      <c r="H151" t="inlineStr">
        <is>
          <t>DFL Human Resources impacted by Oracle 26C change</t>
        </is>
      </c>
      <c r="I151" t="inlineStr">
        <is>
          <t>Y</t>
        </is>
      </c>
      <c r="J151" t="inlineStr">
        <is>
          <t>N</t>
        </is>
      </c>
      <c r="K151" t="inlineStr">
        <is>
          <t>N</t>
        </is>
      </c>
      <c r="L151" t="inlineStr">
        <is>
          <t>N</t>
        </is>
      </c>
      <c r="M151" t="n">
        <v>5</v>
      </c>
      <c r="N151" t="n">
        <v>2</v>
      </c>
      <c r="O151" t="n">
        <v>3</v>
      </c>
      <c r="P151" t="n">
        <v>1</v>
      </c>
      <c r="Q151" t="n">
        <v>3</v>
      </c>
      <c r="R151">
        <f>IFERROR(XLOOKUP(XLOOKUP(D151,tblReleaseChanges[Change_ID],tblReleaseChanges[Oracle_Severity],""),tblSeverityMap[Severity_Text],tblSeverityMap[Score],0),0)</f>
        <v/>
      </c>
      <c r="S151" t="n">
        <v>1</v>
      </c>
      <c r="T151">
        <f>ROUND((M151*0.25)+(N151*0.20)+(O151*0.15)+(P151*0.15)+(Q151*0.10)+(R151*0.10)+(S151*0.05),2)</f>
        <v/>
      </c>
      <c r="U151">
        <f>IF(T151&gt;=4.25,"Critical",IF(T151&gt;=3.5,"High",IF(T151&gt;=2,"Medium","Low")))</f>
        <v/>
      </c>
      <c r="V151" t="inlineStr">
        <is>
          <t>Pending Review</t>
        </is>
      </c>
      <c r="W151" t="inlineStr"/>
      <c r="X151" t="inlineStr"/>
      <c r="Y151" t="inlineStr">
        <is>
          <t>Auto-enabled — no action required</t>
        </is>
      </c>
      <c r="Z151" t="inlineStr">
        <is>
          <t>N</t>
        </is>
      </c>
      <c r="AA151" t="inlineStr">
        <is>
          <t>N</t>
        </is>
      </c>
    </row>
    <row r="152">
      <c r="A152" t="inlineStr">
        <is>
          <t>ASMT_IMP_0127</t>
        </is>
      </c>
      <c r="B152" t="inlineStr">
        <is>
          <t>CLT_DFL001</t>
        </is>
      </c>
      <c r="C152" t="inlineStr">
        <is>
          <t>REL_26C</t>
        </is>
      </c>
      <c r="D152" t="inlineStr">
        <is>
          <t>CHG_IMP_0127</t>
        </is>
      </c>
      <c r="E152" t="inlineStr">
        <is>
          <t>Functional</t>
        </is>
      </c>
      <c r="F152" t="inlineStr">
        <is>
          <t>Configuration</t>
        </is>
      </c>
      <c r="G152" t="inlineStr"/>
      <c r="H152" t="inlineStr">
        <is>
          <t>DFL Human Resources impacted by Oracle 26C change</t>
        </is>
      </c>
      <c r="I152" t="inlineStr">
        <is>
          <t>Y</t>
        </is>
      </c>
      <c r="J152" t="inlineStr">
        <is>
          <t>N</t>
        </is>
      </c>
      <c r="K152" t="inlineStr">
        <is>
          <t>N</t>
        </is>
      </c>
      <c r="L152" t="inlineStr">
        <is>
          <t>N</t>
        </is>
      </c>
      <c r="M152" t="n">
        <v>5</v>
      </c>
      <c r="N152" t="n">
        <v>2</v>
      </c>
      <c r="O152" t="n">
        <v>3</v>
      </c>
      <c r="P152" t="n">
        <v>1</v>
      </c>
      <c r="Q152" t="n">
        <v>3</v>
      </c>
      <c r="R152">
        <f>IFERROR(XLOOKUP(XLOOKUP(D152,tblReleaseChanges[Change_ID],tblReleaseChanges[Oracle_Severity],""),tblSeverityMap[Severity_Text],tblSeverityMap[Score],0),0)</f>
        <v/>
      </c>
      <c r="S152" t="n">
        <v>4</v>
      </c>
      <c r="T152">
        <f>ROUND((M152*0.25)+(N152*0.20)+(O152*0.15)+(P152*0.15)+(Q152*0.10)+(R152*0.10)+(S152*0.05),2)</f>
        <v/>
      </c>
      <c r="U152">
        <f>IF(T152&gt;=4.25,"Critical",IF(T152&gt;=3.5,"High",IF(T152&gt;=2,"Medium","Low")))</f>
        <v/>
      </c>
      <c r="V152" t="inlineStr">
        <is>
          <t>Pending Review</t>
        </is>
      </c>
      <c r="W152" t="inlineStr"/>
      <c r="X152" t="inlineStr"/>
      <c r="Y152" t="inlineStr">
        <is>
          <t>Action type: Steps to Enable. To learn more about the prerequisites, see What are the prerequisites for advanced search to be available in the position LOVs on Redwood position pag</t>
        </is>
      </c>
      <c r="Z152" t="inlineStr">
        <is>
          <t>Y</t>
        </is>
      </c>
      <c r="AA152" t="inlineStr">
        <is>
          <t>Y</t>
        </is>
      </c>
    </row>
    <row r="153">
      <c r="A153" t="inlineStr">
        <is>
          <t>ASMT_IMP_0128</t>
        </is>
      </c>
      <c r="B153" t="inlineStr">
        <is>
          <t>CLT_DFL001</t>
        </is>
      </c>
      <c r="C153" t="inlineStr">
        <is>
          <t>REL_26C</t>
        </is>
      </c>
      <c r="D153" t="inlineStr">
        <is>
          <t>CHG_IMP_0128</t>
        </is>
      </c>
      <c r="E153" t="inlineStr">
        <is>
          <t>Functional</t>
        </is>
      </c>
      <c r="F153" t="inlineStr">
        <is>
          <t>Configuration</t>
        </is>
      </c>
      <c r="G153" t="inlineStr"/>
      <c r="H153" t="inlineStr">
        <is>
          <t>DFL Human Resources impacted by Oracle 26C change</t>
        </is>
      </c>
      <c r="I153" t="inlineStr">
        <is>
          <t>Y</t>
        </is>
      </c>
      <c r="J153" t="inlineStr">
        <is>
          <t>N</t>
        </is>
      </c>
      <c r="K153" t="inlineStr">
        <is>
          <t>N</t>
        </is>
      </c>
      <c r="L153" t="inlineStr">
        <is>
          <t>N</t>
        </is>
      </c>
      <c r="M153" t="n">
        <v>5</v>
      </c>
      <c r="N153" t="n">
        <v>2</v>
      </c>
      <c r="O153" t="n">
        <v>3</v>
      </c>
      <c r="P153" t="n">
        <v>1</v>
      </c>
      <c r="Q153" t="n">
        <v>3</v>
      </c>
      <c r="R153">
        <f>IFERROR(XLOOKUP(XLOOKUP(D153,tblReleaseChanges[Change_ID],tblReleaseChanges[Oracle_Severity],""),tblSeverityMap[Severity_Text],tblSeverityMap[Score],0),0)</f>
        <v/>
      </c>
      <c r="S153" t="n">
        <v>1</v>
      </c>
      <c r="T153">
        <f>ROUND((M153*0.25)+(N153*0.20)+(O153*0.15)+(P153*0.15)+(Q153*0.10)+(R153*0.10)+(S153*0.05),2)</f>
        <v/>
      </c>
      <c r="U153">
        <f>IF(T153&gt;=4.25,"Critical",IF(T153&gt;=3.5,"High",IF(T153&gt;=2,"Medium","Low")))</f>
        <v/>
      </c>
      <c r="V153" t="inlineStr">
        <is>
          <t>Pending Review</t>
        </is>
      </c>
      <c r="W153" t="inlineStr"/>
      <c r="X153" t="inlineStr"/>
      <c r="Y153" t="inlineStr">
        <is>
          <t>Auto-enabled — no action required</t>
        </is>
      </c>
      <c r="Z153" t="inlineStr">
        <is>
          <t>N</t>
        </is>
      </c>
      <c r="AA153" t="inlineStr">
        <is>
          <t>N</t>
        </is>
      </c>
    </row>
    <row r="154">
      <c r="A154" t="inlineStr">
        <is>
          <t>ASMT_IMP_0129</t>
        </is>
      </c>
      <c r="B154" t="inlineStr">
        <is>
          <t>CLT_DFL001</t>
        </is>
      </c>
      <c r="C154" t="inlineStr">
        <is>
          <t>REL_26C</t>
        </is>
      </c>
      <c r="D154" t="inlineStr">
        <is>
          <t>CHG_IMP_0129</t>
        </is>
      </c>
      <c r="E154" t="inlineStr">
        <is>
          <t>AI Feature</t>
        </is>
      </c>
      <c r="F154" t="inlineStr">
        <is>
          <t>Configuration</t>
        </is>
      </c>
      <c r="G154" t="inlineStr"/>
      <c r="H154" t="inlineStr">
        <is>
          <t>DFL Human Resources impacted by Oracle 26C change</t>
        </is>
      </c>
      <c r="I154" t="inlineStr">
        <is>
          <t>Y</t>
        </is>
      </c>
      <c r="J154" t="inlineStr">
        <is>
          <t>N</t>
        </is>
      </c>
      <c r="K154" t="inlineStr">
        <is>
          <t>N</t>
        </is>
      </c>
      <c r="L154" t="inlineStr">
        <is>
          <t>N</t>
        </is>
      </c>
      <c r="M154" t="n">
        <v>5</v>
      </c>
      <c r="N154" t="n">
        <v>2</v>
      </c>
      <c r="O154" t="n">
        <v>3</v>
      </c>
      <c r="P154" t="n">
        <v>3</v>
      </c>
      <c r="Q154" t="n">
        <v>3</v>
      </c>
      <c r="R154">
        <f>IFERROR(XLOOKUP(XLOOKUP(D154,tblReleaseChanges[Change_ID],tblReleaseChanges[Oracle_Severity],""),tblSeverityMap[Severity_Text],tblSeverityMap[Score],0),0)</f>
        <v/>
      </c>
      <c r="S154" t="n">
        <v>4</v>
      </c>
      <c r="T154">
        <f>ROUND((M154*0.25)+(N154*0.20)+(O154*0.15)+(P154*0.15)+(Q154*0.10)+(R154*0.10)+(S154*0.05),2)</f>
        <v/>
      </c>
      <c r="U154">
        <f>IF(T154&gt;=4.25,"Critical",IF(T154&gt;=3.5,"High",IF(T154&gt;=2,"Medium","Low")))</f>
        <v/>
      </c>
      <c r="V154" t="inlineStr">
        <is>
          <t>Pending Review</t>
        </is>
      </c>
      <c r="W154" t="inlineStr"/>
      <c r="X154" t="inlineStr"/>
      <c r="Y154" t="inlineStr">
        <is>
          <t>Action type: Steps to Enable. For more information, see this topic: Configure AI Agent as Task Performer or Task Type</t>
        </is>
      </c>
      <c r="Z154" t="inlineStr">
        <is>
          <t>Y</t>
        </is>
      </c>
      <c r="AA154" t="inlineStr">
        <is>
          <t>Y</t>
        </is>
      </c>
    </row>
    <row r="155">
      <c r="A155" t="inlineStr">
        <is>
          <t>ASMT_IMP_0130</t>
        </is>
      </c>
      <c r="B155" t="inlineStr">
        <is>
          <t>CLT_DFL001</t>
        </is>
      </c>
      <c r="C155" t="inlineStr">
        <is>
          <t>REL_26C</t>
        </is>
      </c>
      <c r="D155" t="inlineStr">
        <is>
          <t>CHG_IMP_0130</t>
        </is>
      </c>
      <c r="E155" t="inlineStr">
        <is>
          <t>Functional</t>
        </is>
      </c>
      <c r="F155" t="inlineStr">
        <is>
          <t>Configuration</t>
        </is>
      </c>
      <c r="G155" t="inlineStr"/>
      <c r="H155" t="inlineStr">
        <is>
          <t>DFL Human Resources impacted by Oracle 26C change</t>
        </is>
      </c>
      <c r="I155" t="inlineStr">
        <is>
          <t>Y</t>
        </is>
      </c>
      <c r="J155" t="inlineStr">
        <is>
          <t>N</t>
        </is>
      </c>
      <c r="K155" t="inlineStr">
        <is>
          <t>N</t>
        </is>
      </c>
      <c r="L155" t="inlineStr">
        <is>
          <t>N</t>
        </is>
      </c>
      <c r="M155" t="n">
        <v>5</v>
      </c>
      <c r="N155" t="n">
        <v>2</v>
      </c>
      <c r="O155" t="n">
        <v>3</v>
      </c>
      <c r="P155" t="n">
        <v>1</v>
      </c>
      <c r="Q155" t="n">
        <v>3</v>
      </c>
      <c r="R155">
        <f>IFERROR(XLOOKUP(XLOOKUP(D155,tblReleaseChanges[Change_ID],tblReleaseChanges[Oracle_Severity],""),tblSeverityMap[Severity_Text],tblSeverityMap[Score],0),0)</f>
        <v/>
      </c>
      <c r="S155" t="n">
        <v>1</v>
      </c>
      <c r="T155">
        <f>ROUND((M155*0.25)+(N155*0.20)+(O155*0.15)+(P155*0.15)+(Q155*0.10)+(R155*0.10)+(S155*0.05),2)</f>
        <v/>
      </c>
      <c r="U155">
        <f>IF(T155&gt;=4.25,"Critical",IF(T155&gt;=3.5,"High",IF(T155&gt;=2,"Medium","Low")))</f>
        <v/>
      </c>
      <c r="V155" t="inlineStr">
        <is>
          <t>Pending Review</t>
        </is>
      </c>
      <c r="W155" t="inlineStr"/>
      <c r="X155" t="inlineStr"/>
      <c r="Y155" t="inlineStr">
        <is>
          <t>Auto-enabled — no action required</t>
        </is>
      </c>
      <c r="Z155" t="inlineStr">
        <is>
          <t>N</t>
        </is>
      </c>
      <c r="AA155" t="inlineStr">
        <is>
          <t>N</t>
        </is>
      </c>
    </row>
    <row r="156">
      <c r="A156" t="inlineStr">
        <is>
          <t>ASMT_IMP_0131</t>
        </is>
      </c>
      <c r="B156" t="inlineStr">
        <is>
          <t>CLT_DFL001</t>
        </is>
      </c>
      <c r="C156" t="inlineStr">
        <is>
          <t>REL_26C</t>
        </is>
      </c>
      <c r="D156" t="inlineStr">
        <is>
          <t>CHG_IMP_0131</t>
        </is>
      </c>
      <c r="E156" t="inlineStr">
        <is>
          <t>Functional</t>
        </is>
      </c>
      <c r="F156" t="inlineStr">
        <is>
          <t>Configuration</t>
        </is>
      </c>
      <c r="G156" t="inlineStr"/>
      <c r="H156" t="inlineStr">
        <is>
          <t>DFL Human Resources impacted by Oracle 26C change</t>
        </is>
      </c>
      <c r="I156" t="inlineStr">
        <is>
          <t>Y</t>
        </is>
      </c>
      <c r="J156" t="inlineStr">
        <is>
          <t>N</t>
        </is>
      </c>
      <c r="K156" t="inlineStr">
        <is>
          <t>N</t>
        </is>
      </c>
      <c r="L156" t="inlineStr">
        <is>
          <t>N</t>
        </is>
      </c>
      <c r="M156" t="n">
        <v>5</v>
      </c>
      <c r="N156" t="n">
        <v>2</v>
      </c>
      <c r="O156" t="n">
        <v>3</v>
      </c>
      <c r="P156" t="n">
        <v>1</v>
      </c>
      <c r="Q156" t="n">
        <v>3</v>
      </c>
      <c r="R156">
        <f>IFERROR(XLOOKUP(XLOOKUP(D156,tblReleaseChanges[Change_ID],tblReleaseChanges[Oracle_Severity],""),tblSeverityMap[Severity_Text],tblSeverityMap[Score],0),0)</f>
        <v/>
      </c>
      <c r="S156" t="n">
        <v>4</v>
      </c>
      <c r="T156">
        <f>ROUND((M156*0.25)+(N156*0.20)+(O156*0.15)+(P156*0.15)+(Q156*0.10)+(R156*0.10)+(S156*0.05),2)</f>
        <v/>
      </c>
      <c r="U156">
        <f>IF(T156&gt;=4.25,"Critical",IF(T156&gt;=3.5,"High",IF(T156&gt;=2,"Medium","Low")))</f>
        <v/>
      </c>
      <c r="V156" t="inlineStr">
        <is>
          <t>Pending Review</t>
        </is>
      </c>
      <c r="W156" t="inlineStr"/>
      <c r="X156" t="inlineStr"/>
      <c r="Y156" t="inlineStr">
        <is>
          <t>Action type: Steps to Enable. For more information, see this topic: Add Comments for Reopened Journey Tasks</t>
        </is>
      </c>
      <c r="Z156" t="inlineStr">
        <is>
          <t>Y</t>
        </is>
      </c>
      <c r="AA156" t="inlineStr">
        <is>
          <t>Y</t>
        </is>
      </c>
    </row>
    <row r="157">
      <c r="A157" t="inlineStr">
        <is>
          <t>ASMT_IMP_0132</t>
        </is>
      </c>
      <c r="B157" t="inlineStr">
        <is>
          <t>CLT_DFL001</t>
        </is>
      </c>
      <c r="C157" t="inlineStr">
        <is>
          <t>REL_26C</t>
        </is>
      </c>
      <c r="D157" t="inlineStr">
        <is>
          <t>CHG_IMP_0132</t>
        </is>
      </c>
      <c r="E157" t="inlineStr">
        <is>
          <t>Functional</t>
        </is>
      </c>
      <c r="F157" t="inlineStr">
        <is>
          <t>Configuration</t>
        </is>
      </c>
      <c r="G157" t="inlineStr"/>
      <c r="H157" t="inlineStr">
        <is>
          <t>DFL Human Resources impacted by Oracle 26C change</t>
        </is>
      </c>
      <c r="I157" t="inlineStr">
        <is>
          <t>Y</t>
        </is>
      </c>
      <c r="J157" t="inlineStr">
        <is>
          <t>N</t>
        </is>
      </c>
      <c r="K157" t="inlineStr">
        <is>
          <t>N</t>
        </is>
      </c>
      <c r="L157" t="inlineStr">
        <is>
          <t>N</t>
        </is>
      </c>
      <c r="M157" t="n">
        <v>5</v>
      </c>
      <c r="N157" t="n">
        <v>2</v>
      </c>
      <c r="O157" t="n">
        <v>3</v>
      </c>
      <c r="P157" t="n">
        <v>1</v>
      </c>
      <c r="Q157" t="n">
        <v>3</v>
      </c>
      <c r="R157">
        <f>IFERROR(XLOOKUP(XLOOKUP(D157,tblReleaseChanges[Change_ID],tblReleaseChanges[Oracle_Severity],""),tblSeverityMap[Severity_Text],tblSeverityMap[Score],0),0)</f>
        <v/>
      </c>
      <c r="S157" t="n">
        <v>4</v>
      </c>
      <c r="T157">
        <f>ROUND((M157*0.25)+(N157*0.20)+(O157*0.15)+(P157*0.15)+(Q157*0.10)+(R157*0.10)+(S157*0.05),2)</f>
        <v/>
      </c>
      <c r="U157">
        <f>IF(T157&gt;=4.25,"Critical",IF(T157&gt;=3.5,"High",IF(T157&gt;=2,"Medium","Low")))</f>
        <v/>
      </c>
      <c r="V157" t="inlineStr">
        <is>
          <t>Pending Review</t>
        </is>
      </c>
      <c r="W157" t="inlineStr"/>
      <c r="X157" t="inlineStr"/>
      <c r="Y157" t="inlineStr">
        <is>
          <t>Action type: Steps to Enable. You can set the ORA_PER_JRNY_ENABLE_MANAGER_DELEGATION profile option (set the profile value to Y at the user profile level) to enable journey task delegat</t>
        </is>
      </c>
      <c r="Z157" t="inlineStr">
        <is>
          <t>Y</t>
        </is>
      </c>
      <c r="AA157" t="inlineStr">
        <is>
          <t>Y</t>
        </is>
      </c>
    </row>
    <row r="158">
      <c r="A158" t="inlineStr">
        <is>
          <t>ASMT_IMP_0133</t>
        </is>
      </c>
      <c r="B158" t="inlineStr">
        <is>
          <t>CLT_DFL001</t>
        </is>
      </c>
      <c r="C158" t="inlineStr">
        <is>
          <t>REL_26C</t>
        </is>
      </c>
      <c r="D158" t="inlineStr">
        <is>
          <t>CHG_IMP_0133</t>
        </is>
      </c>
      <c r="E158" t="inlineStr">
        <is>
          <t>Functional</t>
        </is>
      </c>
      <c r="F158" t="inlineStr">
        <is>
          <t>Configuration</t>
        </is>
      </c>
      <c r="G158" t="inlineStr"/>
      <c r="H158" t="inlineStr">
        <is>
          <t>DFL Human Resources impacted by Oracle 26C change</t>
        </is>
      </c>
      <c r="I158" t="inlineStr">
        <is>
          <t>Y</t>
        </is>
      </c>
      <c r="J158" t="inlineStr">
        <is>
          <t>N</t>
        </is>
      </c>
      <c r="K158" t="inlineStr">
        <is>
          <t>N</t>
        </is>
      </c>
      <c r="L158" t="inlineStr">
        <is>
          <t>N</t>
        </is>
      </c>
      <c r="M158" t="n">
        <v>5</v>
      </c>
      <c r="N158" t="n">
        <v>2</v>
      </c>
      <c r="O158" t="n">
        <v>3</v>
      </c>
      <c r="P158" t="n">
        <v>1</v>
      </c>
      <c r="Q158" t="n">
        <v>3</v>
      </c>
      <c r="R158">
        <f>IFERROR(XLOOKUP(XLOOKUP(D158,tblReleaseChanges[Change_ID],tblReleaseChanges[Oracle_Severity],""),tblSeverityMap[Severity_Text],tblSeverityMap[Score],0),0)</f>
        <v/>
      </c>
      <c r="S158" t="n">
        <v>4</v>
      </c>
      <c r="T158">
        <f>ROUND((M158*0.25)+(N158*0.20)+(O158*0.15)+(P158*0.15)+(Q158*0.10)+(R158*0.10)+(S158*0.05),2)</f>
        <v/>
      </c>
      <c r="U158">
        <f>IF(T158&gt;=4.25,"Critical",IF(T158&gt;=3.5,"High",IF(T158&gt;=2,"Medium","Low")))</f>
        <v/>
      </c>
      <c r="V158" t="inlineStr">
        <is>
          <t>Pending Review</t>
        </is>
      </c>
      <c r="W158" t="inlineStr"/>
      <c r="X158" t="inlineStr"/>
      <c r="Y158" t="inlineStr">
        <is>
          <t>Action type: Steps to Enable. For more information about how you configure page properties, see Set Property Values Using Rules.</t>
        </is>
      </c>
      <c r="Z158" t="inlineStr">
        <is>
          <t>Y</t>
        </is>
      </c>
      <c r="AA158" t="inlineStr">
        <is>
          <t>Y</t>
        </is>
      </c>
    </row>
    <row r="159">
      <c r="A159" t="inlineStr">
        <is>
          <t>ASMT_IMP_0134</t>
        </is>
      </c>
      <c r="B159" t="inlineStr">
        <is>
          <t>CLT_DFL001</t>
        </is>
      </c>
      <c r="C159" t="inlineStr">
        <is>
          <t>REL_26C</t>
        </is>
      </c>
      <c r="D159" t="inlineStr">
        <is>
          <t>CHG_IMP_0134</t>
        </is>
      </c>
      <c r="E159" t="inlineStr">
        <is>
          <t>Functional</t>
        </is>
      </c>
      <c r="F159" t="inlineStr">
        <is>
          <t>Configuration</t>
        </is>
      </c>
      <c r="G159" t="inlineStr"/>
      <c r="H159" t="inlineStr">
        <is>
          <t>DFL Human Resources impacted by Oracle 26C change</t>
        </is>
      </c>
      <c r="I159" t="inlineStr">
        <is>
          <t>Y</t>
        </is>
      </c>
      <c r="J159" t="inlineStr">
        <is>
          <t>N</t>
        </is>
      </c>
      <c r="K159" t="inlineStr">
        <is>
          <t>N</t>
        </is>
      </c>
      <c r="L159" t="inlineStr">
        <is>
          <t>N</t>
        </is>
      </c>
      <c r="M159" t="n">
        <v>5</v>
      </c>
      <c r="N159" t="n">
        <v>2</v>
      </c>
      <c r="O159" t="n">
        <v>3</v>
      </c>
      <c r="P159" t="n">
        <v>1</v>
      </c>
      <c r="Q159" t="n">
        <v>3</v>
      </c>
      <c r="R159">
        <f>IFERROR(XLOOKUP(XLOOKUP(D159,tblReleaseChanges[Change_ID],tblReleaseChanges[Oracle_Severity],""),tblSeverityMap[Severity_Text],tblSeverityMap[Score],0),0)</f>
        <v/>
      </c>
      <c r="S159" t="n">
        <v>1</v>
      </c>
      <c r="T159">
        <f>ROUND((M159*0.25)+(N159*0.20)+(O159*0.15)+(P159*0.15)+(Q159*0.10)+(R159*0.10)+(S159*0.05),2)</f>
        <v/>
      </c>
      <c r="U159">
        <f>IF(T159&gt;=4.25,"Critical",IF(T159&gt;=3.5,"High",IF(T159&gt;=2,"Medium","Low")))</f>
        <v/>
      </c>
      <c r="V159" t="inlineStr">
        <is>
          <t>Pending Review</t>
        </is>
      </c>
      <c r="W159" t="inlineStr"/>
      <c r="X159" t="inlineStr"/>
      <c r="Y159" t="inlineStr">
        <is>
          <t>Auto-enabled — no action required</t>
        </is>
      </c>
      <c r="Z159" t="inlineStr">
        <is>
          <t>N</t>
        </is>
      </c>
      <c r="AA159" t="inlineStr">
        <is>
          <t>N</t>
        </is>
      </c>
    </row>
    <row r="160">
      <c r="A160" t="inlineStr">
        <is>
          <t>ASMT_IMP_0135</t>
        </is>
      </c>
      <c r="B160" t="inlineStr">
        <is>
          <t>CLT_DFL001</t>
        </is>
      </c>
      <c r="C160" t="inlineStr">
        <is>
          <t>REL_26C</t>
        </is>
      </c>
      <c r="D160" t="inlineStr">
        <is>
          <t>CHG_IMP_0135</t>
        </is>
      </c>
      <c r="E160" t="inlineStr">
        <is>
          <t>Functional</t>
        </is>
      </c>
      <c r="F160" t="inlineStr">
        <is>
          <t>Configuration</t>
        </is>
      </c>
      <c r="G160" t="inlineStr"/>
      <c r="H160" t="inlineStr">
        <is>
          <t>DFL Human Resources impacted by Oracle 26C change</t>
        </is>
      </c>
      <c r="I160" t="inlineStr">
        <is>
          <t>Y</t>
        </is>
      </c>
      <c r="J160" t="inlineStr">
        <is>
          <t>N</t>
        </is>
      </c>
      <c r="K160" t="inlineStr">
        <is>
          <t>N</t>
        </is>
      </c>
      <c r="L160" t="inlineStr">
        <is>
          <t>N</t>
        </is>
      </c>
      <c r="M160" t="n">
        <v>5</v>
      </c>
      <c r="N160" t="n">
        <v>2</v>
      </c>
      <c r="O160" t="n">
        <v>3</v>
      </c>
      <c r="P160" t="n">
        <v>1</v>
      </c>
      <c r="Q160" t="n">
        <v>3</v>
      </c>
      <c r="R160">
        <f>IFERROR(XLOOKUP(XLOOKUP(D160,tblReleaseChanges[Change_ID],tblReleaseChanges[Oracle_Severity],""),tblSeverityMap[Severity_Text],tblSeverityMap[Score],0),0)</f>
        <v/>
      </c>
      <c r="S160" t="n">
        <v>4</v>
      </c>
      <c r="T160">
        <f>ROUND((M160*0.25)+(N160*0.20)+(O160*0.15)+(P160*0.15)+(Q160*0.10)+(R160*0.10)+(S160*0.05),2)</f>
        <v/>
      </c>
      <c r="U160">
        <f>IF(T160&gt;=4.25,"Critical",IF(T160&gt;=3.5,"High",IF(T160&gt;=2,"Medium","Low")))</f>
        <v/>
      </c>
      <c r="V160" t="inlineStr">
        <is>
          <t>Pending Review</t>
        </is>
      </c>
      <c r="W160" t="inlineStr"/>
      <c r="X160" t="inlineStr"/>
      <c r="Y160" t="inlineStr">
        <is>
          <t>Action type: Steps to Enable. For more information, see Review Role Assignments.</t>
        </is>
      </c>
      <c r="Z160" t="inlineStr">
        <is>
          <t>Y</t>
        </is>
      </c>
      <c r="AA160" t="inlineStr">
        <is>
          <t>Y</t>
        </is>
      </c>
    </row>
    <row r="161">
      <c r="A161" t="inlineStr">
        <is>
          <t>ASMT_IMP_0136</t>
        </is>
      </c>
      <c r="B161" t="inlineStr">
        <is>
          <t>CLT_DFL001</t>
        </is>
      </c>
      <c r="C161" t="inlineStr">
        <is>
          <t>REL_26C</t>
        </is>
      </c>
      <c r="D161" t="inlineStr">
        <is>
          <t>CHG_IMP_0136</t>
        </is>
      </c>
      <c r="E161" t="inlineStr">
        <is>
          <t>Functional</t>
        </is>
      </c>
      <c r="F161" t="inlineStr">
        <is>
          <t>Configuration</t>
        </is>
      </c>
      <c r="G161" t="inlineStr"/>
      <c r="H161" t="inlineStr">
        <is>
          <t>DFL Human Resources impacted by Oracle 26C change</t>
        </is>
      </c>
      <c r="I161" t="inlineStr">
        <is>
          <t>Y</t>
        </is>
      </c>
      <c r="J161" t="inlineStr">
        <is>
          <t>N</t>
        </is>
      </c>
      <c r="K161" t="inlineStr">
        <is>
          <t>N</t>
        </is>
      </c>
      <c r="L161" t="inlineStr">
        <is>
          <t>N</t>
        </is>
      </c>
      <c r="M161" t="n">
        <v>5</v>
      </c>
      <c r="N161" t="n">
        <v>2</v>
      </c>
      <c r="O161" t="n">
        <v>3</v>
      </c>
      <c r="P161" t="n">
        <v>1</v>
      </c>
      <c r="Q161" t="n">
        <v>3</v>
      </c>
      <c r="R161">
        <f>IFERROR(XLOOKUP(XLOOKUP(D161,tblReleaseChanges[Change_ID],tblReleaseChanges[Oracle_Severity],""),tblSeverityMap[Severity_Text],tblSeverityMap[Score],0),0)</f>
        <v/>
      </c>
      <c r="S161" t="n">
        <v>1</v>
      </c>
      <c r="T161">
        <f>ROUND((M161*0.25)+(N161*0.20)+(O161*0.15)+(P161*0.15)+(Q161*0.10)+(R161*0.10)+(S161*0.05),2)</f>
        <v/>
      </c>
      <c r="U161">
        <f>IF(T161&gt;=4.25,"Critical",IF(T161&gt;=3.5,"High",IF(T161&gt;=2,"Medium","Low")))</f>
        <v/>
      </c>
      <c r="V161" t="inlineStr">
        <is>
          <t>Pending Review</t>
        </is>
      </c>
      <c r="W161" t="inlineStr"/>
      <c r="X161" t="inlineStr"/>
      <c r="Y161" t="inlineStr">
        <is>
          <t>Auto-enabled — no action required</t>
        </is>
      </c>
      <c r="Z161" t="inlineStr">
        <is>
          <t>N</t>
        </is>
      </c>
      <c r="AA161" t="inlineStr">
        <is>
          <t>N</t>
        </is>
      </c>
    </row>
    <row r="162">
      <c r="A162" t="inlineStr">
        <is>
          <t>ASMT_IMP_0137</t>
        </is>
      </c>
      <c r="B162" t="inlineStr">
        <is>
          <t>CLT_DFL001</t>
        </is>
      </c>
      <c r="C162" t="inlineStr">
        <is>
          <t>REL_26C</t>
        </is>
      </c>
      <c r="D162" t="inlineStr">
        <is>
          <t>CHG_IMP_0137</t>
        </is>
      </c>
      <c r="E162" t="inlineStr">
        <is>
          <t>Functional</t>
        </is>
      </c>
      <c r="F162" t="inlineStr">
        <is>
          <t>Configuration</t>
        </is>
      </c>
      <c r="G162" t="inlineStr"/>
      <c r="H162" t="inlineStr">
        <is>
          <t>DFL Human Resources impacted by Oracle 26C change</t>
        </is>
      </c>
      <c r="I162" t="inlineStr">
        <is>
          <t>Y</t>
        </is>
      </c>
      <c r="J162" t="inlineStr">
        <is>
          <t>N</t>
        </is>
      </c>
      <c r="K162" t="inlineStr">
        <is>
          <t>N</t>
        </is>
      </c>
      <c r="L162" t="inlineStr">
        <is>
          <t>N</t>
        </is>
      </c>
      <c r="M162" t="n">
        <v>5</v>
      </c>
      <c r="N162" t="n">
        <v>2</v>
      </c>
      <c r="O162" t="n">
        <v>3</v>
      </c>
      <c r="P162" t="n">
        <v>1</v>
      </c>
      <c r="Q162" t="n">
        <v>3</v>
      </c>
      <c r="R162">
        <f>IFERROR(XLOOKUP(XLOOKUP(D162,tblReleaseChanges[Change_ID],tblReleaseChanges[Oracle_Severity],""),tblSeverityMap[Severity_Text],tblSeverityMap[Score],0),0)</f>
        <v/>
      </c>
      <c r="S162" t="n">
        <v>4</v>
      </c>
      <c r="T162">
        <f>ROUND((M162*0.25)+(N162*0.20)+(O162*0.15)+(P162*0.15)+(Q162*0.10)+(R162*0.10)+(S162*0.05),2)</f>
        <v/>
      </c>
      <c r="U162">
        <f>IF(T162&gt;=4.25,"Critical",IF(T162&gt;=3.5,"High",IF(T162&gt;=2,"Medium","Low")))</f>
        <v/>
      </c>
      <c r="V162" t="inlineStr">
        <is>
          <t>Pending Review</t>
        </is>
      </c>
      <c r="W162" t="inlineStr"/>
      <c r="X162" t="inlineStr"/>
      <c r="Y162" t="inlineStr">
        <is>
          <t>Action type: Steps to Enable. For more information, see Configure HCM Search Views for the Redwood Jobs Search Page.</t>
        </is>
      </c>
      <c r="Z162" t="inlineStr">
        <is>
          <t>Y</t>
        </is>
      </c>
      <c r="AA162" t="inlineStr">
        <is>
          <t>Y</t>
        </is>
      </c>
    </row>
    <row r="163">
      <c r="A163" t="inlineStr">
        <is>
          <t>ASMT_IMP_0138</t>
        </is>
      </c>
      <c r="B163" t="inlineStr">
        <is>
          <t>CLT_DFL001</t>
        </is>
      </c>
      <c r="C163" t="inlineStr">
        <is>
          <t>REL_26C</t>
        </is>
      </c>
      <c r="D163" t="inlineStr">
        <is>
          <t>CHG_IMP_0138</t>
        </is>
      </c>
      <c r="E163" t="inlineStr">
        <is>
          <t>Functional</t>
        </is>
      </c>
      <c r="F163" t="inlineStr">
        <is>
          <t>Configuration</t>
        </is>
      </c>
      <c r="G163" t="inlineStr"/>
      <c r="H163" t="inlineStr">
        <is>
          <t>DFL Human Resources impacted by Oracle 26C change</t>
        </is>
      </c>
      <c r="I163" t="inlineStr">
        <is>
          <t>Y</t>
        </is>
      </c>
      <c r="J163" t="inlineStr">
        <is>
          <t>N</t>
        </is>
      </c>
      <c r="K163" t="inlineStr">
        <is>
          <t>N</t>
        </is>
      </c>
      <c r="L163" t="inlineStr">
        <is>
          <t>N</t>
        </is>
      </c>
      <c r="M163" t="n">
        <v>5</v>
      </c>
      <c r="N163" t="n">
        <v>2</v>
      </c>
      <c r="O163" t="n">
        <v>3</v>
      </c>
      <c r="P163" t="n">
        <v>1</v>
      </c>
      <c r="Q163" t="n">
        <v>3</v>
      </c>
      <c r="R163">
        <f>IFERROR(XLOOKUP(XLOOKUP(D163,tblReleaseChanges[Change_ID],tblReleaseChanges[Oracle_Severity],""),tblSeverityMap[Severity_Text],tblSeverityMap[Score],0),0)</f>
        <v/>
      </c>
      <c r="S163" t="n">
        <v>4</v>
      </c>
      <c r="T163">
        <f>ROUND((M163*0.25)+(N163*0.20)+(O163*0.15)+(P163*0.15)+(Q163*0.10)+(R163*0.10)+(S163*0.05),2)</f>
        <v/>
      </c>
      <c r="U163">
        <f>IF(T163&gt;=4.25,"Critical",IF(T163&gt;=3.5,"High",IF(T163&gt;=2,"Medium","Low")))</f>
        <v/>
      </c>
      <c r="V163" t="inlineStr">
        <is>
          <t>Pending Review</t>
        </is>
      </c>
      <c r="W163" t="inlineStr"/>
      <c r="X163" t="inlineStr"/>
      <c r="Y163" t="inlineStr">
        <is>
          <t>Action type: Steps to Enable. For more information about how you configure page properties, see Set Property Values Using Rules.</t>
        </is>
      </c>
      <c r="Z163" t="inlineStr">
        <is>
          <t>Y</t>
        </is>
      </c>
      <c r="AA163" t="inlineStr">
        <is>
          <t>Y</t>
        </is>
      </c>
    </row>
    <row r="164">
      <c r="A164" t="inlineStr">
        <is>
          <t>ASMT_IMP_0139</t>
        </is>
      </c>
      <c r="B164" t="inlineStr">
        <is>
          <t>CLT_DFL001</t>
        </is>
      </c>
      <c r="C164" t="inlineStr">
        <is>
          <t>REL_26C</t>
        </is>
      </c>
      <c r="D164" t="inlineStr">
        <is>
          <t>CHG_IMP_0139</t>
        </is>
      </c>
      <c r="E164" t="inlineStr">
        <is>
          <t>Functional</t>
        </is>
      </c>
      <c r="F164" t="inlineStr">
        <is>
          <t>Configuration</t>
        </is>
      </c>
      <c r="G164" t="inlineStr"/>
      <c r="H164" t="inlineStr">
        <is>
          <t>DFL Human Resources impacted by Oracle 26C change</t>
        </is>
      </c>
      <c r="I164" t="inlineStr">
        <is>
          <t>Y</t>
        </is>
      </c>
      <c r="J164" t="inlineStr">
        <is>
          <t>N</t>
        </is>
      </c>
      <c r="K164" t="inlineStr">
        <is>
          <t>N</t>
        </is>
      </c>
      <c r="L164" t="inlineStr">
        <is>
          <t>N</t>
        </is>
      </c>
      <c r="M164" t="n">
        <v>5</v>
      </c>
      <c r="N164" t="n">
        <v>2</v>
      </c>
      <c r="O164" t="n">
        <v>3</v>
      </c>
      <c r="P164" t="n">
        <v>1</v>
      </c>
      <c r="Q164" t="n">
        <v>3</v>
      </c>
      <c r="R164">
        <f>IFERROR(XLOOKUP(XLOOKUP(D164,tblReleaseChanges[Change_ID],tblReleaseChanges[Oracle_Severity],""),tblSeverityMap[Severity_Text],tblSeverityMap[Score],0),0)</f>
        <v/>
      </c>
      <c r="S164" t="n">
        <v>4</v>
      </c>
      <c r="T164">
        <f>ROUND((M164*0.25)+(N164*0.20)+(O164*0.15)+(P164*0.15)+(Q164*0.10)+(R164*0.10)+(S164*0.05),2)</f>
        <v/>
      </c>
      <c r="U164">
        <f>IF(T164&gt;=4.25,"Critical",IF(T164&gt;=3.5,"High",IF(T164&gt;=2,"Medium","Low")))</f>
        <v/>
      </c>
      <c r="V164" t="inlineStr">
        <is>
          <t>Pending Review</t>
        </is>
      </c>
      <c r="W164" t="inlineStr"/>
      <c r="X164" t="inlineStr"/>
      <c r="Y164" t="inlineStr">
        <is>
          <t xml:space="preserve">Action type: Steps to Enable. For more information about how to control the display of the **Edit** icon, see How do I control the display of a UI element in Visual </t>
        </is>
      </c>
      <c r="Z164" t="inlineStr">
        <is>
          <t>Y</t>
        </is>
      </c>
      <c r="AA164" t="inlineStr">
        <is>
          <t>Y</t>
        </is>
      </c>
    </row>
    <row r="165">
      <c r="A165" t="inlineStr">
        <is>
          <t>ASMT_IMP_0140</t>
        </is>
      </c>
      <c r="B165" t="inlineStr">
        <is>
          <t>CLT_DFL001</t>
        </is>
      </c>
      <c r="C165" t="inlineStr">
        <is>
          <t>REL_26C</t>
        </is>
      </c>
      <c r="D165" t="inlineStr">
        <is>
          <t>CHG_IMP_0140</t>
        </is>
      </c>
      <c r="E165" t="inlineStr">
        <is>
          <t>Functional</t>
        </is>
      </c>
      <c r="F165" t="inlineStr">
        <is>
          <t>Configuration</t>
        </is>
      </c>
      <c r="G165" t="inlineStr"/>
      <c r="H165" t="inlineStr">
        <is>
          <t>DFL Human Resources impacted by Oracle 26C change</t>
        </is>
      </c>
      <c r="I165" t="inlineStr">
        <is>
          <t>Y</t>
        </is>
      </c>
      <c r="J165" t="inlineStr">
        <is>
          <t>N</t>
        </is>
      </c>
      <c r="K165" t="inlineStr">
        <is>
          <t>N</t>
        </is>
      </c>
      <c r="L165" t="inlineStr">
        <is>
          <t>N</t>
        </is>
      </c>
      <c r="M165" t="n">
        <v>5</v>
      </c>
      <c r="N165" t="n">
        <v>2</v>
      </c>
      <c r="O165" t="n">
        <v>3</v>
      </c>
      <c r="P165" t="n">
        <v>1</v>
      </c>
      <c r="Q165" t="n">
        <v>3</v>
      </c>
      <c r="R165">
        <f>IFERROR(XLOOKUP(XLOOKUP(D165,tblReleaseChanges[Change_ID],tblReleaseChanges[Oracle_Severity],""),tblSeverityMap[Severity_Text],tblSeverityMap[Score],0),0)</f>
        <v/>
      </c>
      <c r="S165" t="n">
        <v>4</v>
      </c>
      <c r="T165">
        <f>ROUND((M165*0.25)+(N165*0.20)+(O165*0.15)+(P165*0.15)+(Q165*0.10)+(R165*0.10)+(S165*0.05),2)</f>
        <v/>
      </c>
      <c r="U165">
        <f>IF(T165&gt;=4.25,"Critical",IF(T165&gt;=3.5,"High",IF(T165&gt;=2,"Medium","Low")))</f>
        <v/>
      </c>
      <c r="V165" t="inlineStr">
        <is>
          <t>Pending Review</t>
        </is>
      </c>
      <c r="W165" t="inlineStr"/>
      <c r="X165" t="inlineStr"/>
      <c r="Y165" t="inlineStr">
        <is>
          <t>Action type: Steps to Enable. You must enable the following profile option: In **Manage Administrator Profile Values**, set the following profile option to **Yes**: • **Profile Displ</t>
        </is>
      </c>
      <c r="Z165" t="inlineStr">
        <is>
          <t>Y</t>
        </is>
      </c>
      <c r="AA165" t="inlineStr">
        <is>
          <t>Y</t>
        </is>
      </c>
    </row>
    <row r="166">
      <c r="A166" t="inlineStr">
        <is>
          <t>ASMT_IMP_0141</t>
        </is>
      </c>
      <c r="B166" t="inlineStr">
        <is>
          <t>CLT_DFL001</t>
        </is>
      </c>
      <c r="C166" t="inlineStr">
        <is>
          <t>REL_26C</t>
        </is>
      </c>
      <c r="D166" t="inlineStr">
        <is>
          <t>CHG_IMP_0141</t>
        </is>
      </c>
      <c r="E166" t="inlineStr">
        <is>
          <t>Functional</t>
        </is>
      </c>
      <c r="F166" t="inlineStr">
        <is>
          <t>Configuration</t>
        </is>
      </c>
      <c r="G166" t="inlineStr"/>
      <c r="H166" t="inlineStr">
        <is>
          <t>DFL Human Resources impacted by Oracle 26C change</t>
        </is>
      </c>
      <c r="I166" t="inlineStr">
        <is>
          <t>Y</t>
        </is>
      </c>
      <c r="J166" t="inlineStr">
        <is>
          <t>N</t>
        </is>
      </c>
      <c r="K166" t="inlineStr">
        <is>
          <t>N</t>
        </is>
      </c>
      <c r="L166" t="inlineStr">
        <is>
          <t>N</t>
        </is>
      </c>
      <c r="M166" t="n">
        <v>5</v>
      </c>
      <c r="N166" t="n">
        <v>2</v>
      </c>
      <c r="O166" t="n">
        <v>3</v>
      </c>
      <c r="P166" t="n">
        <v>1</v>
      </c>
      <c r="Q166" t="n">
        <v>3</v>
      </c>
      <c r="R166">
        <f>IFERROR(XLOOKUP(XLOOKUP(D166,tblReleaseChanges[Change_ID],tblReleaseChanges[Oracle_Severity],""),tblSeverityMap[Severity_Text],tblSeverityMap[Score],0),0)</f>
        <v/>
      </c>
      <c r="S166" t="n">
        <v>1</v>
      </c>
      <c r="T166">
        <f>ROUND((M166*0.25)+(N166*0.20)+(O166*0.15)+(P166*0.15)+(Q166*0.10)+(R166*0.10)+(S166*0.05),2)</f>
        <v/>
      </c>
      <c r="U166">
        <f>IF(T166&gt;=4.25,"Critical",IF(T166&gt;=3.5,"High",IF(T166&gt;=2,"Medium","Low")))</f>
        <v/>
      </c>
      <c r="V166" t="inlineStr">
        <is>
          <t>Pending Review</t>
        </is>
      </c>
      <c r="W166" t="inlineStr"/>
      <c r="X166" t="inlineStr"/>
      <c r="Y166" t="inlineStr">
        <is>
          <t>Auto-enabled — no action required</t>
        </is>
      </c>
      <c r="Z166" t="inlineStr">
        <is>
          <t>N</t>
        </is>
      </c>
      <c r="AA166" t="inlineStr">
        <is>
          <t>N</t>
        </is>
      </c>
    </row>
    <row r="167">
      <c r="A167" t="inlineStr">
        <is>
          <t>ASMT_IMP_0142</t>
        </is>
      </c>
      <c r="B167" t="inlineStr">
        <is>
          <t>CLT_DFL001</t>
        </is>
      </c>
      <c r="C167" t="inlineStr">
        <is>
          <t>REL_26C</t>
        </is>
      </c>
      <c r="D167" t="inlineStr">
        <is>
          <t>CHG_IMP_0142</t>
        </is>
      </c>
      <c r="E167" t="inlineStr">
        <is>
          <t>Functional</t>
        </is>
      </c>
      <c r="F167" t="inlineStr">
        <is>
          <t>Configuration</t>
        </is>
      </c>
      <c r="G167" t="inlineStr"/>
      <c r="H167" t="inlineStr">
        <is>
          <t>DFL Human Resources impacted by Oracle 26C change</t>
        </is>
      </c>
      <c r="I167" t="inlineStr">
        <is>
          <t>Y</t>
        </is>
      </c>
      <c r="J167" t="inlineStr">
        <is>
          <t>N</t>
        </is>
      </c>
      <c r="K167" t="inlineStr">
        <is>
          <t>N</t>
        </is>
      </c>
      <c r="L167" t="inlineStr">
        <is>
          <t>N</t>
        </is>
      </c>
      <c r="M167" t="n">
        <v>5</v>
      </c>
      <c r="N167" t="n">
        <v>2</v>
      </c>
      <c r="O167" t="n">
        <v>3</v>
      </c>
      <c r="P167" t="n">
        <v>1</v>
      </c>
      <c r="Q167" t="n">
        <v>3</v>
      </c>
      <c r="R167">
        <f>IFERROR(XLOOKUP(XLOOKUP(D167,tblReleaseChanges[Change_ID],tblReleaseChanges[Oracle_Severity],""),tblSeverityMap[Severity_Text],tblSeverityMap[Score],0),0)</f>
        <v/>
      </c>
      <c r="S167" t="n">
        <v>4</v>
      </c>
      <c r="T167">
        <f>ROUND((M167*0.25)+(N167*0.20)+(O167*0.15)+(P167*0.15)+(Q167*0.10)+(R167*0.10)+(S167*0.05),2)</f>
        <v/>
      </c>
      <c r="U167">
        <f>IF(T167&gt;=4.25,"Critical",IF(T167&gt;=3.5,"High",IF(T167&gt;=2,"Medium","Low")))</f>
        <v/>
      </c>
      <c r="V167" t="inlineStr">
        <is>
          <t>Pending Review</t>
        </is>
      </c>
      <c r="W167" t="inlineStr"/>
      <c r="X167" t="inlineStr"/>
      <c r="Y167" t="inlineStr">
        <is>
          <t>Action type: Steps to Enable. For more information about how to show a field, see How do I hide or show a field in Visual Builder Studio?.</t>
        </is>
      </c>
      <c r="Z167" t="inlineStr">
        <is>
          <t>Y</t>
        </is>
      </c>
      <c r="AA167" t="inlineStr">
        <is>
          <t>Y</t>
        </is>
      </c>
    </row>
    <row r="168">
      <c r="A168" t="inlineStr">
        <is>
          <t>ASMT_IMP_0143</t>
        </is>
      </c>
      <c r="B168" t="inlineStr">
        <is>
          <t>CLT_DFL001</t>
        </is>
      </c>
      <c r="C168" t="inlineStr">
        <is>
          <t>REL_26C</t>
        </is>
      </c>
      <c r="D168" t="inlineStr">
        <is>
          <t>CHG_IMP_0143</t>
        </is>
      </c>
      <c r="E168" t="inlineStr">
        <is>
          <t>AI Feature</t>
        </is>
      </c>
      <c r="F168" t="inlineStr">
        <is>
          <t>Configuration</t>
        </is>
      </c>
      <c r="G168" t="inlineStr"/>
      <c r="H168" t="inlineStr">
        <is>
          <t>DFL Human Resources impacted by Oracle 26C change</t>
        </is>
      </c>
      <c r="I168" t="inlineStr">
        <is>
          <t>Y</t>
        </is>
      </c>
      <c r="J168" t="inlineStr">
        <is>
          <t>N</t>
        </is>
      </c>
      <c r="K168" t="inlineStr">
        <is>
          <t>N</t>
        </is>
      </c>
      <c r="L168" t="inlineStr">
        <is>
          <t>N</t>
        </is>
      </c>
      <c r="M168" t="n">
        <v>5</v>
      </c>
      <c r="N168" t="n">
        <v>2</v>
      </c>
      <c r="O168" t="n">
        <v>3</v>
      </c>
      <c r="P168" t="n">
        <v>3</v>
      </c>
      <c r="Q168" t="n">
        <v>3</v>
      </c>
      <c r="R168">
        <f>IFERROR(XLOOKUP(XLOOKUP(D168,tblReleaseChanges[Change_ID],tblReleaseChanges[Oracle_Severity],""),tblSeverityMap[Severity_Text],tblSeverityMap[Score],0),0)</f>
        <v/>
      </c>
      <c r="S168" t="n">
        <v>4</v>
      </c>
      <c r="T168">
        <f>ROUND((M168*0.25)+(N168*0.20)+(O168*0.15)+(P168*0.15)+(Q168*0.10)+(R168*0.10)+(S168*0.05),2)</f>
        <v/>
      </c>
      <c r="U168">
        <f>IF(T168&gt;=4.25,"Critical",IF(T168&gt;=3.5,"High",IF(T168&gt;=2,"Medium","Low")))</f>
        <v/>
      </c>
      <c r="V168" t="inlineStr">
        <is>
          <t>Pending Review</t>
        </is>
      </c>
      <c r="W168" t="inlineStr"/>
      <c r="X168" t="inlineStr"/>
      <c r="Y168" t="inlineStr">
        <is>
          <t>Action type: Steps to Enable. • Your environment must have certain necessary configurations. Ask your help desk to contact Oracle Support, who can verify what your environment has and address any gaps</t>
        </is>
      </c>
      <c r="Z168" t="inlineStr">
        <is>
          <t>Y</t>
        </is>
      </c>
      <c r="AA168" t="inlineStr">
        <is>
          <t>Y</t>
        </is>
      </c>
    </row>
    <row r="169">
      <c r="A169" t="inlineStr">
        <is>
          <t>ASMT_IMP_0144</t>
        </is>
      </c>
      <c r="B169" t="inlineStr">
        <is>
          <t>CLT_DFL001</t>
        </is>
      </c>
      <c r="C169" t="inlineStr">
        <is>
          <t>REL_26C</t>
        </is>
      </c>
      <c r="D169" t="inlineStr">
        <is>
          <t>CHG_IMP_0144</t>
        </is>
      </c>
      <c r="E169" t="inlineStr">
        <is>
          <t>Functional</t>
        </is>
      </c>
      <c r="F169" t="inlineStr">
        <is>
          <t>Configuration</t>
        </is>
      </c>
      <c r="G169" t="inlineStr"/>
      <c r="H169" t="inlineStr">
        <is>
          <t>DFL Human Resources impacted by Oracle 26C change</t>
        </is>
      </c>
      <c r="I169" t="inlineStr">
        <is>
          <t>Y</t>
        </is>
      </c>
      <c r="J169" t="inlineStr">
        <is>
          <t>N</t>
        </is>
      </c>
      <c r="K169" t="inlineStr">
        <is>
          <t>N</t>
        </is>
      </c>
      <c r="L169" t="inlineStr">
        <is>
          <t>N</t>
        </is>
      </c>
      <c r="M169" t="n">
        <v>5</v>
      </c>
      <c r="N169" t="n">
        <v>2</v>
      </c>
      <c r="O169" t="n">
        <v>3</v>
      </c>
      <c r="P169" t="n">
        <v>1</v>
      </c>
      <c r="Q169" t="n">
        <v>3</v>
      </c>
      <c r="R169">
        <f>IFERROR(XLOOKUP(XLOOKUP(D169,tblReleaseChanges[Change_ID],tblReleaseChanges[Oracle_Severity],""),tblSeverityMap[Severity_Text],tblSeverityMap[Score],0),0)</f>
        <v/>
      </c>
      <c r="S169" t="n">
        <v>4</v>
      </c>
      <c r="T169">
        <f>ROUND((M169*0.25)+(N169*0.20)+(O169*0.15)+(P169*0.15)+(Q169*0.10)+(R169*0.10)+(S169*0.05),2)</f>
        <v/>
      </c>
      <c r="U169">
        <f>IF(T169&gt;=4.25,"Critical",IF(T169&gt;=3.5,"High",IF(T169&gt;=2,"Medium","Low")))</f>
        <v/>
      </c>
      <c r="V169" t="inlineStr">
        <is>
          <t>Pending Review</t>
        </is>
      </c>
      <c r="W169" t="inlineStr"/>
      <c r="X169" t="inlineStr"/>
      <c r="Y169" t="inlineStr">
        <is>
          <t>Action type: Steps to Enable. For more information about how you display the Document Records region, see How do I display the Document Records region on Redwood Person pages?</t>
        </is>
      </c>
      <c r="Z169" t="inlineStr">
        <is>
          <t>Y</t>
        </is>
      </c>
      <c r="AA169" t="inlineStr">
        <is>
          <t>Y</t>
        </is>
      </c>
    </row>
    <row r="170">
      <c r="A170" t="inlineStr">
        <is>
          <t>ASMT_IMP_0145</t>
        </is>
      </c>
      <c r="B170" t="inlineStr">
        <is>
          <t>CLT_DFL001</t>
        </is>
      </c>
      <c r="C170" t="inlineStr">
        <is>
          <t>REL_26C</t>
        </is>
      </c>
      <c r="D170" t="inlineStr">
        <is>
          <t>CHG_IMP_0145</t>
        </is>
      </c>
      <c r="E170" t="inlineStr">
        <is>
          <t>Functional</t>
        </is>
      </c>
      <c r="F170" t="inlineStr">
        <is>
          <t>Configuration</t>
        </is>
      </c>
      <c r="G170" t="inlineStr"/>
      <c r="H170" t="inlineStr">
        <is>
          <t>DFL Human Resources impacted by Oracle 26C change</t>
        </is>
      </c>
      <c r="I170" t="inlineStr">
        <is>
          <t>Y</t>
        </is>
      </c>
      <c r="J170" t="inlineStr">
        <is>
          <t>N</t>
        </is>
      </c>
      <c r="K170" t="inlineStr">
        <is>
          <t>N</t>
        </is>
      </c>
      <c r="L170" t="inlineStr">
        <is>
          <t>N</t>
        </is>
      </c>
      <c r="M170" t="n">
        <v>5</v>
      </c>
      <c r="N170" t="n">
        <v>2</v>
      </c>
      <c r="O170" t="n">
        <v>3</v>
      </c>
      <c r="P170" t="n">
        <v>1</v>
      </c>
      <c r="Q170" t="n">
        <v>3</v>
      </c>
      <c r="R170">
        <f>IFERROR(XLOOKUP(XLOOKUP(D170,tblReleaseChanges[Change_ID],tblReleaseChanges[Oracle_Severity],""),tblSeverityMap[Severity_Text],tblSeverityMap[Score],0),0)</f>
        <v/>
      </c>
      <c r="S170" t="n">
        <v>1</v>
      </c>
      <c r="T170">
        <f>ROUND((M170*0.25)+(N170*0.20)+(O170*0.15)+(P170*0.15)+(Q170*0.10)+(R170*0.10)+(S170*0.05),2)</f>
        <v/>
      </c>
      <c r="U170">
        <f>IF(T170&gt;=4.25,"Critical",IF(T170&gt;=3.5,"High",IF(T170&gt;=2,"Medium","Low")))</f>
        <v/>
      </c>
      <c r="V170" t="inlineStr">
        <is>
          <t>Pending Review</t>
        </is>
      </c>
      <c r="W170" t="inlineStr"/>
      <c r="X170" t="inlineStr"/>
      <c r="Y170" t="inlineStr">
        <is>
          <t>Auto-enabled — no action required</t>
        </is>
      </c>
      <c r="Z170" t="inlineStr">
        <is>
          <t>N</t>
        </is>
      </c>
      <c r="AA170" t="inlineStr">
        <is>
          <t>N</t>
        </is>
      </c>
    </row>
    <row r="171">
      <c r="A171" t="inlineStr">
        <is>
          <t>ASMT_IMP_0146</t>
        </is>
      </c>
      <c r="B171" t="inlineStr">
        <is>
          <t>CLT_DFL001</t>
        </is>
      </c>
      <c r="C171" t="inlineStr">
        <is>
          <t>REL_26C</t>
        </is>
      </c>
      <c r="D171" t="inlineStr">
        <is>
          <t>CHG_IMP_0146</t>
        </is>
      </c>
      <c r="E171" t="inlineStr">
        <is>
          <t>Functional</t>
        </is>
      </c>
      <c r="F171" t="inlineStr">
        <is>
          <t>Configuration</t>
        </is>
      </c>
      <c r="G171" t="inlineStr"/>
      <c r="H171" t="inlineStr">
        <is>
          <t>DFL Human Resources impacted by Oracle 26C change</t>
        </is>
      </c>
      <c r="I171" t="inlineStr">
        <is>
          <t>Y</t>
        </is>
      </c>
      <c r="J171" t="inlineStr">
        <is>
          <t>N</t>
        </is>
      </c>
      <c r="K171" t="inlineStr">
        <is>
          <t>N</t>
        </is>
      </c>
      <c r="L171" t="inlineStr">
        <is>
          <t>N</t>
        </is>
      </c>
      <c r="M171" t="n">
        <v>5</v>
      </c>
      <c r="N171" t="n">
        <v>2</v>
      </c>
      <c r="O171" t="n">
        <v>3</v>
      </c>
      <c r="P171" t="n">
        <v>1</v>
      </c>
      <c r="Q171" t="n">
        <v>3</v>
      </c>
      <c r="R171">
        <f>IFERROR(XLOOKUP(XLOOKUP(D171,tblReleaseChanges[Change_ID],tblReleaseChanges[Oracle_Severity],""),tblSeverityMap[Severity_Text],tblSeverityMap[Score],0),0)</f>
        <v/>
      </c>
      <c r="S171" t="n">
        <v>1</v>
      </c>
      <c r="T171">
        <f>ROUND((M171*0.25)+(N171*0.20)+(O171*0.15)+(P171*0.15)+(Q171*0.10)+(R171*0.10)+(S171*0.05),2)</f>
        <v/>
      </c>
      <c r="U171">
        <f>IF(T171&gt;=4.25,"Critical",IF(T171&gt;=3.5,"High",IF(T171&gt;=2,"Medium","Low")))</f>
        <v/>
      </c>
      <c r="V171" t="inlineStr">
        <is>
          <t>Pending Review</t>
        </is>
      </c>
      <c r="W171" t="inlineStr"/>
      <c r="X171" t="inlineStr"/>
      <c r="Y171" t="inlineStr">
        <is>
          <t>Auto-enabled — no action required</t>
        </is>
      </c>
      <c r="Z171" t="inlineStr">
        <is>
          <t>N</t>
        </is>
      </c>
      <c r="AA171" t="inlineStr">
        <is>
          <t>N</t>
        </is>
      </c>
    </row>
    <row r="172">
      <c r="A172" t="inlineStr">
        <is>
          <t>ASMT_IMP_0147</t>
        </is>
      </c>
      <c r="B172" t="inlineStr">
        <is>
          <t>CLT_DFL001</t>
        </is>
      </c>
      <c r="C172" t="inlineStr">
        <is>
          <t>REL_26C</t>
        </is>
      </c>
      <c r="D172" t="inlineStr">
        <is>
          <t>CHG_IMP_0147</t>
        </is>
      </c>
      <c r="E172" t="inlineStr">
        <is>
          <t>Functional</t>
        </is>
      </c>
      <c r="F172" t="inlineStr">
        <is>
          <t>Configuration</t>
        </is>
      </c>
      <c r="G172" t="inlineStr"/>
      <c r="H172" t="inlineStr">
        <is>
          <t>DFL Human Resources impacted by Oracle 26C change</t>
        </is>
      </c>
      <c r="I172" t="inlineStr">
        <is>
          <t>Y</t>
        </is>
      </c>
      <c r="J172" t="inlineStr">
        <is>
          <t>N</t>
        </is>
      </c>
      <c r="K172" t="inlineStr">
        <is>
          <t>N</t>
        </is>
      </c>
      <c r="L172" t="inlineStr">
        <is>
          <t>N</t>
        </is>
      </c>
      <c r="M172" t="n">
        <v>5</v>
      </c>
      <c r="N172" t="n">
        <v>2</v>
      </c>
      <c r="O172" t="n">
        <v>3</v>
      </c>
      <c r="P172" t="n">
        <v>1</v>
      </c>
      <c r="Q172" t="n">
        <v>3</v>
      </c>
      <c r="R172">
        <f>IFERROR(XLOOKUP(XLOOKUP(D172,tblReleaseChanges[Change_ID],tblReleaseChanges[Oracle_Severity],""),tblSeverityMap[Severity_Text],tblSeverityMap[Score],0),0)</f>
        <v/>
      </c>
      <c r="S172" t="n">
        <v>1</v>
      </c>
      <c r="T172">
        <f>ROUND((M172*0.25)+(N172*0.20)+(O172*0.15)+(P172*0.15)+(Q172*0.10)+(R172*0.10)+(S172*0.05),2)</f>
        <v/>
      </c>
      <c r="U172">
        <f>IF(T172&gt;=4.25,"Critical",IF(T172&gt;=3.5,"High",IF(T172&gt;=2,"Medium","Low")))</f>
        <v/>
      </c>
      <c r="V172" t="inlineStr">
        <is>
          <t>Pending Review</t>
        </is>
      </c>
      <c r="W172" t="inlineStr"/>
      <c r="X172" t="inlineStr"/>
      <c r="Y172" t="inlineStr">
        <is>
          <t>Auto-enabled — no action required</t>
        </is>
      </c>
      <c r="Z172" t="inlineStr">
        <is>
          <t>N</t>
        </is>
      </c>
      <c r="AA172" t="inlineStr">
        <is>
          <t>N</t>
        </is>
      </c>
    </row>
    <row r="173">
      <c r="A173" t="inlineStr">
        <is>
          <t>ASMT_IMP_0148</t>
        </is>
      </c>
      <c r="B173" t="inlineStr">
        <is>
          <t>CLT_DFL001</t>
        </is>
      </c>
      <c r="C173" t="inlineStr">
        <is>
          <t>REL_26C</t>
        </is>
      </c>
      <c r="D173" t="inlineStr">
        <is>
          <t>CHG_IMP_0148</t>
        </is>
      </c>
      <c r="E173" t="inlineStr">
        <is>
          <t>AI Feature</t>
        </is>
      </c>
      <c r="F173" t="inlineStr">
        <is>
          <t>Configuration</t>
        </is>
      </c>
      <c r="G173" t="inlineStr"/>
      <c r="H173" t="inlineStr">
        <is>
          <t>DFL Human Resources impacted by Oracle 26C change</t>
        </is>
      </c>
      <c r="I173" t="inlineStr">
        <is>
          <t>Y</t>
        </is>
      </c>
      <c r="J173" t="inlineStr">
        <is>
          <t>N</t>
        </is>
      </c>
      <c r="K173" t="inlineStr">
        <is>
          <t>N</t>
        </is>
      </c>
      <c r="L173" t="inlineStr">
        <is>
          <t>N</t>
        </is>
      </c>
      <c r="M173" t="n">
        <v>5</v>
      </c>
      <c r="N173" t="n">
        <v>2</v>
      </c>
      <c r="O173" t="n">
        <v>3</v>
      </c>
      <c r="P173" t="n">
        <v>3</v>
      </c>
      <c r="Q173" t="n">
        <v>3</v>
      </c>
      <c r="R173">
        <f>IFERROR(XLOOKUP(XLOOKUP(D173,tblReleaseChanges[Change_ID],tblReleaseChanges[Oracle_Severity],""),tblSeverityMap[Severity_Text],tblSeverityMap[Score],0),0)</f>
        <v/>
      </c>
      <c r="S173" t="n">
        <v>4</v>
      </c>
      <c r="T173">
        <f>ROUND((M173*0.25)+(N173*0.20)+(O173*0.15)+(P173*0.15)+(Q173*0.10)+(R173*0.10)+(S173*0.05),2)</f>
        <v/>
      </c>
      <c r="U173">
        <f>IF(T173&gt;=4.25,"Critical",IF(T173&gt;=3.5,"High",IF(T173&gt;=2,"Medium","Low")))</f>
        <v/>
      </c>
      <c r="V173" t="inlineStr">
        <is>
          <t>Pending Review</t>
        </is>
      </c>
      <c r="W173" t="inlineStr"/>
      <c r="X173" t="inlineStr"/>
      <c r="Y173" t="inlineStr">
        <is>
          <t>Action type: Steps to Enable. • Your environment must have certain necessary configurations. Ask your help desk to contact Oracle Support, who</t>
        </is>
      </c>
      <c r="Z173" t="inlineStr">
        <is>
          <t>Y</t>
        </is>
      </c>
      <c r="AA173" t="inlineStr">
        <is>
          <t>Y</t>
        </is>
      </c>
    </row>
    <row r="174">
      <c r="A174" t="inlineStr">
        <is>
          <t>ASMT_IMP_0149</t>
        </is>
      </c>
      <c r="B174" t="inlineStr">
        <is>
          <t>CLT_DFL001</t>
        </is>
      </c>
      <c r="C174" t="inlineStr">
        <is>
          <t>REL_26C</t>
        </is>
      </c>
      <c r="D174" t="inlineStr">
        <is>
          <t>CHG_IMP_0149</t>
        </is>
      </c>
      <c r="E174" t="inlineStr">
        <is>
          <t>Functional</t>
        </is>
      </c>
      <c r="F174" t="inlineStr">
        <is>
          <t>Configuration</t>
        </is>
      </c>
      <c r="G174" t="inlineStr"/>
      <c r="H174" t="inlineStr">
        <is>
          <t>DFL Human Resources impacted by Oracle 26C change</t>
        </is>
      </c>
      <c r="I174" t="inlineStr">
        <is>
          <t>Y</t>
        </is>
      </c>
      <c r="J174" t="inlineStr">
        <is>
          <t>N</t>
        </is>
      </c>
      <c r="K174" t="inlineStr">
        <is>
          <t>N</t>
        </is>
      </c>
      <c r="L174" t="inlineStr">
        <is>
          <t>N</t>
        </is>
      </c>
      <c r="M174" t="n">
        <v>5</v>
      </c>
      <c r="N174" t="n">
        <v>2</v>
      </c>
      <c r="O174" t="n">
        <v>3</v>
      </c>
      <c r="P174" t="n">
        <v>1</v>
      </c>
      <c r="Q174" t="n">
        <v>3</v>
      </c>
      <c r="R174">
        <f>IFERROR(XLOOKUP(XLOOKUP(D174,tblReleaseChanges[Change_ID],tblReleaseChanges[Oracle_Severity],""),tblSeverityMap[Severity_Text],tblSeverityMap[Score],0),0)</f>
        <v/>
      </c>
      <c r="S174" t="n">
        <v>4</v>
      </c>
      <c r="T174">
        <f>ROUND((M174*0.25)+(N174*0.20)+(O174*0.15)+(P174*0.15)+(Q174*0.10)+(R174*0.10)+(S174*0.05),2)</f>
        <v/>
      </c>
      <c r="U174">
        <f>IF(T174&gt;=4.25,"Critical",IF(T174&gt;=3.5,"High",IF(T174&gt;=2,"Medium","Low")))</f>
        <v/>
      </c>
      <c r="V174" t="inlineStr">
        <is>
          <t>Pending Review</t>
        </is>
      </c>
      <c r="W174" t="inlineStr"/>
      <c r="X174" t="inlineStr"/>
      <c r="Y174" t="inlineStr">
        <is>
          <t>Action type: Steps to Enable. The new profile option **ORA_PER_ENABLE_PERSON_EFF_INFO_GROUP_CONTEXT_LOV** controls the display of the contexts for an Info Group. For more information about th</t>
        </is>
      </c>
      <c r="Z174" t="inlineStr">
        <is>
          <t>Y</t>
        </is>
      </c>
      <c r="AA174" t="inlineStr">
        <is>
          <t>Y</t>
        </is>
      </c>
    </row>
    <row r="175">
      <c r="A175" t="inlineStr">
        <is>
          <t>ASMT_IMP_0150</t>
        </is>
      </c>
      <c r="B175" t="inlineStr">
        <is>
          <t>CLT_DFL001</t>
        </is>
      </c>
      <c r="C175" t="inlineStr">
        <is>
          <t>REL_26C</t>
        </is>
      </c>
      <c r="D175" t="inlineStr">
        <is>
          <t>CHG_IMP_0150</t>
        </is>
      </c>
      <c r="E175" t="inlineStr">
        <is>
          <t>Functional</t>
        </is>
      </c>
      <c r="F175" t="inlineStr">
        <is>
          <t>Configuration</t>
        </is>
      </c>
      <c r="G175" t="inlineStr"/>
      <c r="H175" t="inlineStr">
        <is>
          <t>DFL Human Resources impacted by Oracle 26C change</t>
        </is>
      </c>
      <c r="I175" t="inlineStr">
        <is>
          <t>Y</t>
        </is>
      </c>
      <c r="J175" t="inlineStr">
        <is>
          <t>N</t>
        </is>
      </c>
      <c r="K175" t="inlineStr">
        <is>
          <t>N</t>
        </is>
      </c>
      <c r="L175" t="inlineStr">
        <is>
          <t>N</t>
        </is>
      </c>
      <c r="M175" t="n">
        <v>5</v>
      </c>
      <c r="N175" t="n">
        <v>2</v>
      </c>
      <c r="O175" t="n">
        <v>3</v>
      </c>
      <c r="P175" t="n">
        <v>1</v>
      </c>
      <c r="Q175" t="n">
        <v>3</v>
      </c>
      <c r="R175">
        <f>IFERROR(XLOOKUP(XLOOKUP(D175,tblReleaseChanges[Change_ID],tblReleaseChanges[Oracle_Severity],""),tblSeverityMap[Severity_Text],tblSeverityMap[Score],0),0)</f>
        <v/>
      </c>
      <c r="S175" t="n">
        <v>1</v>
      </c>
      <c r="T175">
        <f>ROUND((M175*0.25)+(N175*0.20)+(O175*0.15)+(P175*0.15)+(Q175*0.10)+(R175*0.10)+(S175*0.05),2)</f>
        <v/>
      </c>
      <c r="U175">
        <f>IF(T175&gt;=4.25,"Critical",IF(T175&gt;=3.5,"High",IF(T175&gt;=2,"Medium","Low")))</f>
        <v/>
      </c>
      <c r="V175" t="inlineStr">
        <is>
          <t>Pending Review</t>
        </is>
      </c>
      <c r="W175" t="inlineStr"/>
      <c r="X175" t="inlineStr"/>
      <c r="Y175" t="inlineStr">
        <is>
          <t>Auto-enabled — no action required</t>
        </is>
      </c>
      <c r="Z175" t="inlineStr">
        <is>
          <t>N</t>
        </is>
      </c>
      <c r="AA175" t="inlineStr">
        <is>
          <t>N</t>
        </is>
      </c>
    </row>
    <row r="176">
      <c r="A176" t="inlineStr">
        <is>
          <t>ASMT_IMP_0151</t>
        </is>
      </c>
      <c r="B176" t="inlineStr">
        <is>
          <t>CLT_DFL001</t>
        </is>
      </c>
      <c r="C176" t="inlineStr">
        <is>
          <t>REL_26C</t>
        </is>
      </c>
      <c r="D176" t="inlineStr">
        <is>
          <t>CHG_IMP_0151</t>
        </is>
      </c>
      <c r="E176" t="inlineStr">
        <is>
          <t>Functional</t>
        </is>
      </c>
      <c r="F176" t="inlineStr">
        <is>
          <t>Configuration</t>
        </is>
      </c>
      <c r="G176" t="inlineStr"/>
      <c r="H176" t="inlineStr">
        <is>
          <t>DFL Human Resources impacted by Oracle 26C change</t>
        </is>
      </c>
      <c r="I176" t="inlineStr">
        <is>
          <t>Y</t>
        </is>
      </c>
      <c r="J176" t="inlineStr">
        <is>
          <t>N</t>
        </is>
      </c>
      <c r="K176" t="inlineStr">
        <is>
          <t>N</t>
        </is>
      </c>
      <c r="L176" t="inlineStr">
        <is>
          <t>N</t>
        </is>
      </c>
      <c r="M176" t="n">
        <v>5</v>
      </c>
      <c r="N176" t="n">
        <v>2</v>
      </c>
      <c r="O176" t="n">
        <v>3</v>
      </c>
      <c r="P176" t="n">
        <v>1</v>
      </c>
      <c r="Q176" t="n">
        <v>3</v>
      </c>
      <c r="R176">
        <f>IFERROR(XLOOKUP(XLOOKUP(D176,tblReleaseChanges[Change_ID],tblReleaseChanges[Oracle_Severity],""),tblSeverityMap[Severity_Text],tblSeverityMap[Score],0),0)</f>
        <v/>
      </c>
      <c r="S176" t="n">
        <v>1</v>
      </c>
      <c r="T176">
        <f>ROUND((M176*0.25)+(N176*0.20)+(O176*0.15)+(P176*0.15)+(Q176*0.10)+(R176*0.10)+(S176*0.05),2)</f>
        <v/>
      </c>
      <c r="U176">
        <f>IF(T176&gt;=4.25,"Critical",IF(T176&gt;=3.5,"High",IF(T176&gt;=2,"Medium","Low")))</f>
        <v/>
      </c>
      <c r="V176" t="inlineStr">
        <is>
          <t>Pending Review</t>
        </is>
      </c>
      <c r="W176" t="inlineStr"/>
      <c r="X176" t="inlineStr"/>
      <c r="Y176" t="inlineStr">
        <is>
          <t>Auto-enabled — no action required</t>
        </is>
      </c>
      <c r="Z176" t="inlineStr">
        <is>
          <t>N</t>
        </is>
      </c>
      <c r="AA176" t="inlineStr">
        <is>
          <t>N</t>
        </is>
      </c>
    </row>
    <row r="177">
      <c r="A177" t="inlineStr">
        <is>
          <t>ASMT_IMP_0152</t>
        </is>
      </c>
      <c r="B177" t="inlineStr">
        <is>
          <t>CLT_DFL001</t>
        </is>
      </c>
      <c r="C177" t="inlineStr">
        <is>
          <t>REL_26C</t>
        </is>
      </c>
      <c r="D177" t="inlineStr">
        <is>
          <t>CHG_IMP_0152</t>
        </is>
      </c>
      <c r="E177" t="inlineStr">
        <is>
          <t>Functional</t>
        </is>
      </c>
      <c r="F177" t="inlineStr">
        <is>
          <t>Configuration</t>
        </is>
      </c>
      <c r="G177" t="inlineStr"/>
      <c r="H177" t="inlineStr">
        <is>
          <t>DFL Human Resources impacted by Oracle 26C change</t>
        </is>
      </c>
      <c r="I177" t="inlineStr">
        <is>
          <t>Y</t>
        </is>
      </c>
      <c r="J177" t="inlineStr">
        <is>
          <t>N</t>
        </is>
      </c>
      <c r="K177" t="inlineStr">
        <is>
          <t>N</t>
        </is>
      </c>
      <c r="L177" t="inlineStr">
        <is>
          <t>N</t>
        </is>
      </c>
      <c r="M177" t="n">
        <v>5</v>
      </c>
      <c r="N177" t="n">
        <v>2</v>
      </c>
      <c r="O177" t="n">
        <v>3</v>
      </c>
      <c r="P177" t="n">
        <v>1</v>
      </c>
      <c r="Q177" t="n">
        <v>3</v>
      </c>
      <c r="R177">
        <f>IFERROR(XLOOKUP(XLOOKUP(D177,tblReleaseChanges[Change_ID],tblReleaseChanges[Oracle_Severity],""),tblSeverityMap[Severity_Text],tblSeverityMap[Score],0),0)</f>
        <v/>
      </c>
      <c r="S177" t="n">
        <v>1</v>
      </c>
      <c r="T177">
        <f>ROUND((M177*0.25)+(N177*0.20)+(O177*0.15)+(P177*0.15)+(Q177*0.10)+(R177*0.10)+(S177*0.05),2)</f>
        <v/>
      </c>
      <c r="U177">
        <f>IF(T177&gt;=4.25,"Critical",IF(T177&gt;=3.5,"High",IF(T177&gt;=2,"Medium","Low")))</f>
        <v/>
      </c>
      <c r="V177" t="inlineStr">
        <is>
          <t>Pending Review</t>
        </is>
      </c>
      <c r="W177" t="inlineStr"/>
      <c r="X177" t="inlineStr"/>
      <c r="Y177" t="inlineStr">
        <is>
          <t>Auto-enabled — no action required</t>
        </is>
      </c>
      <c r="Z177" t="inlineStr">
        <is>
          <t>N</t>
        </is>
      </c>
      <c r="AA177" t="inlineStr">
        <is>
          <t>N</t>
        </is>
      </c>
    </row>
    <row r="178">
      <c r="A178" t="inlineStr">
        <is>
          <t>ASMT_IMP_0153</t>
        </is>
      </c>
      <c r="B178" t="inlineStr">
        <is>
          <t>CLT_DFL001</t>
        </is>
      </c>
      <c r="C178" t="inlineStr">
        <is>
          <t>REL_26C</t>
        </is>
      </c>
      <c r="D178" t="inlineStr">
        <is>
          <t>CHG_IMP_0153</t>
        </is>
      </c>
      <c r="E178" t="inlineStr">
        <is>
          <t>Functional</t>
        </is>
      </c>
      <c r="F178" t="inlineStr">
        <is>
          <t>Configuration</t>
        </is>
      </c>
      <c r="G178" t="inlineStr"/>
      <c r="H178" t="inlineStr">
        <is>
          <t>DFL Human Resources impacted by Oracle 26C change</t>
        </is>
      </c>
      <c r="I178" t="inlineStr">
        <is>
          <t>Y</t>
        </is>
      </c>
      <c r="J178" t="inlineStr">
        <is>
          <t>N</t>
        </is>
      </c>
      <c r="K178" t="inlineStr">
        <is>
          <t>N</t>
        </is>
      </c>
      <c r="L178" t="inlineStr">
        <is>
          <t>N</t>
        </is>
      </c>
      <c r="M178" t="n">
        <v>5</v>
      </c>
      <c r="N178" t="n">
        <v>2</v>
      </c>
      <c r="O178" t="n">
        <v>3</v>
      </c>
      <c r="P178" t="n">
        <v>1</v>
      </c>
      <c r="Q178" t="n">
        <v>3</v>
      </c>
      <c r="R178">
        <f>IFERROR(XLOOKUP(XLOOKUP(D178,tblReleaseChanges[Change_ID],tblReleaseChanges[Oracle_Severity],""),tblSeverityMap[Severity_Text],tblSeverityMap[Score],0),0)</f>
        <v/>
      </c>
      <c r="S178" t="n">
        <v>4</v>
      </c>
      <c r="T178">
        <f>ROUND((M178*0.25)+(N178*0.20)+(O178*0.15)+(P178*0.15)+(Q178*0.10)+(R178*0.10)+(S178*0.05),2)</f>
        <v/>
      </c>
      <c r="U178">
        <f>IF(T178&gt;=4.25,"Critical",IF(T178&gt;=3.5,"High",IF(T178&gt;=2,"Medium","Low")))</f>
        <v/>
      </c>
      <c r="V178" t="inlineStr">
        <is>
          <t>Pending Review</t>
        </is>
      </c>
      <c r="W178" t="inlineStr"/>
      <c r="X178" t="inlineStr"/>
      <c r="Y178" t="inlineStr">
        <is>
          <t>Action type: Steps to Enable. • For more information, see this topic: How do I control the display of a UI element in Visual Builder Studio? • For information about</t>
        </is>
      </c>
      <c r="Z178" t="inlineStr">
        <is>
          <t>Y</t>
        </is>
      </c>
      <c r="AA178" t="inlineStr">
        <is>
          <t>Y</t>
        </is>
      </c>
    </row>
    <row r="179">
      <c r="A179" t="inlineStr">
        <is>
          <t>ASMT_IMP_0154</t>
        </is>
      </c>
      <c r="B179" t="inlineStr">
        <is>
          <t>CLT_DFL001</t>
        </is>
      </c>
      <c r="C179" t="inlineStr">
        <is>
          <t>REL_26C</t>
        </is>
      </c>
      <c r="D179" t="inlineStr">
        <is>
          <t>CHG_IMP_0154</t>
        </is>
      </c>
      <c r="E179" t="inlineStr">
        <is>
          <t>Functional</t>
        </is>
      </c>
      <c r="F179" t="inlineStr">
        <is>
          <t>Configuration</t>
        </is>
      </c>
      <c r="G179" t="inlineStr"/>
      <c r="H179" t="inlineStr">
        <is>
          <t>DFL Human Resources impacted by Oracle 26C change</t>
        </is>
      </c>
      <c r="I179" t="inlineStr">
        <is>
          <t>Y</t>
        </is>
      </c>
      <c r="J179" t="inlineStr">
        <is>
          <t>N</t>
        </is>
      </c>
      <c r="K179" t="inlineStr">
        <is>
          <t>N</t>
        </is>
      </c>
      <c r="L179" t="inlineStr">
        <is>
          <t>N</t>
        </is>
      </c>
      <c r="M179" t="n">
        <v>5</v>
      </c>
      <c r="N179" t="n">
        <v>2</v>
      </c>
      <c r="O179" t="n">
        <v>3</v>
      </c>
      <c r="P179" t="n">
        <v>1</v>
      </c>
      <c r="Q179" t="n">
        <v>3</v>
      </c>
      <c r="R179">
        <f>IFERROR(XLOOKUP(XLOOKUP(D179,tblReleaseChanges[Change_ID],tblReleaseChanges[Oracle_Severity],""),tblSeverityMap[Severity_Text],tblSeverityMap[Score],0),0)</f>
        <v/>
      </c>
      <c r="S179" t="n">
        <v>4</v>
      </c>
      <c r="T179">
        <f>ROUND((M179*0.25)+(N179*0.20)+(O179*0.15)+(P179*0.15)+(Q179*0.10)+(R179*0.10)+(S179*0.05),2)</f>
        <v/>
      </c>
      <c r="U179">
        <f>IF(T179&gt;=4.25,"Critical",IF(T179&gt;=3.5,"High",IF(T179&gt;=2,"Medium","Low")))</f>
        <v/>
      </c>
      <c r="V179" t="inlineStr">
        <is>
          <t>Pending Review</t>
        </is>
      </c>
      <c r="W179" t="inlineStr"/>
      <c r="X179" t="inlineStr"/>
      <c r="Y179" t="inlineStr">
        <is>
          <t xml:space="preserve">Action type: Steps to Enable. • 1. Navigate to task Manage Common Lookups 2. Select lookup ORA_HRX_FR_CAGR_GRADE 3. Add all the values of collective agreement grade applicable to the </t>
        </is>
      </c>
      <c r="Z179" t="inlineStr">
        <is>
          <t>Y</t>
        </is>
      </c>
      <c r="AA179" t="inlineStr">
        <is>
          <t>Y</t>
        </is>
      </c>
    </row>
    <row r="180">
      <c r="A180" t="inlineStr">
        <is>
          <t>ASMT_IMP_0155</t>
        </is>
      </c>
      <c r="B180" t="inlineStr">
        <is>
          <t>CLT_DFL001</t>
        </is>
      </c>
      <c r="C180" t="inlineStr">
        <is>
          <t>REL_26C</t>
        </is>
      </c>
      <c r="D180" t="inlineStr">
        <is>
          <t>CHG_IMP_0155</t>
        </is>
      </c>
      <c r="E180" t="inlineStr">
        <is>
          <t>Functional</t>
        </is>
      </c>
      <c r="F180" t="inlineStr">
        <is>
          <t>Configuration</t>
        </is>
      </c>
      <c r="G180" t="inlineStr"/>
      <c r="H180" t="inlineStr">
        <is>
          <t>DFL Human Resources impacted by Oracle 26C change</t>
        </is>
      </c>
      <c r="I180" t="inlineStr">
        <is>
          <t>Y</t>
        </is>
      </c>
      <c r="J180" t="inlineStr">
        <is>
          <t>N</t>
        </is>
      </c>
      <c r="K180" t="inlineStr">
        <is>
          <t>N</t>
        </is>
      </c>
      <c r="L180" t="inlineStr">
        <is>
          <t>N</t>
        </is>
      </c>
      <c r="M180" t="n">
        <v>5</v>
      </c>
      <c r="N180" t="n">
        <v>2</v>
      </c>
      <c r="O180" t="n">
        <v>3</v>
      </c>
      <c r="P180" t="n">
        <v>1</v>
      </c>
      <c r="Q180" t="n">
        <v>3</v>
      </c>
      <c r="R180">
        <f>IFERROR(XLOOKUP(XLOOKUP(D180,tblReleaseChanges[Change_ID],tblReleaseChanges[Oracle_Severity],""),tblSeverityMap[Severity_Text],tblSeverityMap[Score],0),0)</f>
        <v/>
      </c>
      <c r="S180" t="n">
        <v>4</v>
      </c>
      <c r="T180">
        <f>ROUND((M180*0.25)+(N180*0.20)+(O180*0.15)+(P180*0.15)+(Q180*0.10)+(R180*0.10)+(S180*0.05),2)</f>
        <v/>
      </c>
      <c r="U180">
        <f>IF(T180&gt;=4.25,"Critical",IF(T180&gt;=3.5,"High",IF(T180&gt;=2,"Medium","Low")))</f>
        <v/>
      </c>
      <c r="V180" t="inlineStr">
        <is>
          <t>Pending Review</t>
        </is>
      </c>
      <c r="W180" t="inlineStr"/>
      <c r="X180" t="inlineStr"/>
      <c r="Y180" t="inlineStr">
        <is>
          <t xml:space="preserve">Action type: Steps to Enable. Ensure that the search indexes are built and refreshed. For details, see the topic, Oracle Search for Workers List of Values, in Oracle Help Center. Apart from this, the </t>
        </is>
      </c>
      <c r="Z180" t="inlineStr">
        <is>
          <t>Y</t>
        </is>
      </c>
      <c r="AA180" t="inlineStr">
        <is>
          <t>Y</t>
        </is>
      </c>
    </row>
    <row r="181">
      <c r="A181" t="inlineStr">
        <is>
          <t>ASMT_IMP_0156</t>
        </is>
      </c>
      <c r="B181" t="inlineStr">
        <is>
          <t>CLT_DFL001</t>
        </is>
      </c>
      <c r="C181" t="inlineStr">
        <is>
          <t>REL_26C</t>
        </is>
      </c>
      <c r="D181" t="inlineStr">
        <is>
          <t>CHG_IMP_0156</t>
        </is>
      </c>
      <c r="E181" t="inlineStr">
        <is>
          <t>Functional</t>
        </is>
      </c>
      <c r="F181" t="inlineStr">
        <is>
          <t>Configuration</t>
        </is>
      </c>
      <c r="G181" t="inlineStr"/>
      <c r="H181" t="inlineStr">
        <is>
          <t>DFL Human Resources impacted by Oracle 26C change</t>
        </is>
      </c>
      <c r="I181" t="inlineStr">
        <is>
          <t>Y</t>
        </is>
      </c>
      <c r="J181" t="inlineStr">
        <is>
          <t>N</t>
        </is>
      </c>
      <c r="K181" t="inlineStr">
        <is>
          <t>N</t>
        </is>
      </c>
      <c r="L181" t="inlineStr">
        <is>
          <t>N</t>
        </is>
      </c>
      <c r="M181" t="n">
        <v>5</v>
      </c>
      <c r="N181" t="n">
        <v>2</v>
      </c>
      <c r="O181" t="n">
        <v>3</v>
      </c>
      <c r="P181" t="n">
        <v>1</v>
      </c>
      <c r="Q181" t="n">
        <v>3</v>
      </c>
      <c r="R181">
        <f>IFERROR(XLOOKUP(XLOOKUP(D181,tblReleaseChanges[Change_ID],tblReleaseChanges[Oracle_Severity],""),tblSeverityMap[Severity_Text],tblSeverityMap[Score],0),0)</f>
        <v/>
      </c>
      <c r="S181" t="n">
        <v>4</v>
      </c>
      <c r="T181">
        <f>ROUND((M181*0.25)+(N181*0.20)+(O181*0.15)+(P181*0.15)+(Q181*0.10)+(R181*0.10)+(S181*0.05),2)</f>
        <v/>
      </c>
      <c r="U181">
        <f>IF(T181&gt;=4.25,"Critical",IF(T181&gt;=3.5,"High",IF(T181&gt;=2,"Medium","Low")))</f>
        <v/>
      </c>
      <c r="V181" t="inlineStr">
        <is>
          <t>Pending Review</t>
        </is>
      </c>
      <c r="W181" t="inlineStr"/>
      <c r="X181" t="inlineStr"/>
      <c r="Y181" t="inlineStr">
        <is>
          <t>Action type: Steps to Enable. • Your environment must have certain necessary configurations. Ask your help desk to contact Oracle Support, who can verify what your environment has and address any gaps</t>
        </is>
      </c>
      <c r="Z181" t="inlineStr">
        <is>
          <t>Y</t>
        </is>
      </c>
      <c r="AA181" t="inlineStr">
        <is>
          <t>Y</t>
        </is>
      </c>
    </row>
    <row r="182">
      <c r="A182" t="inlineStr">
        <is>
          <t>ASMT_IMP_0157</t>
        </is>
      </c>
      <c r="B182" t="inlineStr">
        <is>
          <t>CLT_DFL001</t>
        </is>
      </c>
      <c r="C182" t="inlineStr">
        <is>
          <t>REL_26C</t>
        </is>
      </c>
      <c r="D182" t="inlineStr">
        <is>
          <t>CHG_IMP_0157</t>
        </is>
      </c>
      <c r="E182" t="inlineStr">
        <is>
          <t>Functional</t>
        </is>
      </c>
      <c r="F182" t="inlineStr">
        <is>
          <t>Configuration</t>
        </is>
      </c>
      <c r="G182" t="inlineStr"/>
      <c r="H182" t="inlineStr">
        <is>
          <t>DFL Human Resources impacted by Oracle 26C change</t>
        </is>
      </c>
      <c r="I182" t="inlineStr">
        <is>
          <t>Y</t>
        </is>
      </c>
      <c r="J182" t="inlineStr">
        <is>
          <t>N</t>
        </is>
      </c>
      <c r="K182" t="inlineStr">
        <is>
          <t>N</t>
        </is>
      </c>
      <c r="L182" t="inlineStr">
        <is>
          <t>N</t>
        </is>
      </c>
      <c r="M182" t="n">
        <v>5</v>
      </c>
      <c r="N182" t="n">
        <v>2</v>
      </c>
      <c r="O182" t="n">
        <v>3</v>
      </c>
      <c r="P182" t="n">
        <v>1</v>
      </c>
      <c r="Q182" t="n">
        <v>3</v>
      </c>
      <c r="R182">
        <f>IFERROR(XLOOKUP(XLOOKUP(D182,tblReleaseChanges[Change_ID],tblReleaseChanges[Oracle_Severity],""),tblSeverityMap[Severity_Text],tblSeverityMap[Score],0),0)</f>
        <v/>
      </c>
      <c r="S182" t="n">
        <v>4</v>
      </c>
      <c r="T182">
        <f>ROUND((M182*0.25)+(N182*0.20)+(O182*0.15)+(P182*0.15)+(Q182*0.10)+(R182*0.10)+(S182*0.05),2)</f>
        <v/>
      </c>
      <c r="U182">
        <f>IF(T182&gt;=4.25,"Critical",IF(T182&gt;=3.5,"High",IF(T182&gt;=2,"Medium","Low")))</f>
        <v/>
      </c>
      <c r="V182" t="inlineStr">
        <is>
          <t>Pending Review</t>
        </is>
      </c>
      <c r="W182" t="inlineStr"/>
      <c r="X182" t="inlineStr"/>
      <c r="Y182" t="inlineStr">
        <is>
          <t>Action type: Steps to Enable. • Your environment must have certain necessary configurations. Ask your help desk to contact Oracle Support, who can verify what your environment has and address any gaps</t>
        </is>
      </c>
      <c r="Z182" t="inlineStr">
        <is>
          <t>Y</t>
        </is>
      </c>
      <c r="AA182" t="inlineStr">
        <is>
          <t>Y</t>
        </is>
      </c>
    </row>
    <row r="183">
      <c r="A183" t="inlineStr">
        <is>
          <t>ASMT_IMP_0158</t>
        </is>
      </c>
      <c r="B183" t="inlineStr">
        <is>
          <t>CLT_DFL001</t>
        </is>
      </c>
      <c r="C183" t="inlineStr">
        <is>
          <t>REL_26C</t>
        </is>
      </c>
      <c r="D183" t="inlineStr">
        <is>
          <t>CHG_IMP_0158</t>
        </is>
      </c>
      <c r="E183" t="inlineStr">
        <is>
          <t>Functional</t>
        </is>
      </c>
      <c r="F183" t="inlineStr">
        <is>
          <t>Configuration</t>
        </is>
      </c>
      <c r="G183" t="inlineStr"/>
      <c r="H183" t="inlineStr">
        <is>
          <t>DFL Human Resources impacted by Oracle 26C change</t>
        </is>
      </c>
      <c r="I183" t="inlineStr">
        <is>
          <t>Y</t>
        </is>
      </c>
      <c r="J183" t="inlineStr">
        <is>
          <t>N</t>
        </is>
      </c>
      <c r="K183" t="inlineStr">
        <is>
          <t>N</t>
        </is>
      </c>
      <c r="L183" t="inlineStr">
        <is>
          <t>N</t>
        </is>
      </c>
      <c r="M183" t="n">
        <v>5</v>
      </c>
      <c r="N183" t="n">
        <v>2</v>
      </c>
      <c r="O183" t="n">
        <v>3</v>
      </c>
      <c r="P183" t="n">
        <v>1</v>
      </c>
      <c r="Q183" t="n">
        <v>3</v>
      </c>
      <c r="R183">
        <f>IFERROR(XLOOKUP(XLOOKUP(D183,tblReleaseChanges[Change_ID],tblReleaseChanges[Oracle_Severity],""),tblSeverityMap[Severity_Text],tblSeverityMap[Score],0),0)</f>
        <v/>
      </c>
      <c r="S183" t="n">
        <v>1</v>
      </c>
      <c r="T183">
        <f>ROUND((M183*0.25)+(N183*0.20)+(O183*0.15)+(P183*0.15)+(Q183*0.10)+(R183*0.10)+(S183*0.05),2)</f>
        <v/>
      </c>
      <c r="U183">
        <f>IF(T183&gt;=4.25,"Critical",IF(T183&gt;=3.5,"High",IF(T183&gt;=2,"Medium","Low")))</f>
        <v/>
      </c>
      <c r="V183" t="inlineStr">
        <is>
          <t>Pending Review</t>
        </is>
      </c>
      <c r="W183" t="inlineStr"/>
      <c r="X183" t="inlineStr"/>
      <c r="Y183" t="inlineStr">
        <is>
          <t>Auto-enabled — no action required</t>
        </is>
      </c>
      <c r="Z183" t="inlineStr">
        <is>
          <t>N</t>
        </is>
      </c>
      <c r="AA183" t="inlineStr">
        <is>
          <t>N</t>
        </is>
      </c>
    </row>
    <row r="184">
      <c r="A184" t="inlineStr">
        <is>
          <t>ASMT_IMP_0159</t>
        </is>
      </c>
      <c r="B184" t="inlineStr">
        <is>
          <t>CLT_DFL001</t>
        </is>
      </c>
      <c r="C184" t="inlineStr">
        <is>
          <t>REL_26C</t>
        </is>
      </c>
      <c r="D184" t="inlineStr">
        <is>
          <t>CHG_IMP_0159</t>
        </is>
      </c>
      <c r="E184" t="inlineStr">
        <is>
          <t>Functional</t>
        </is>
      </c>
      <c r="F184" t="inlineStr">
        <is>
          <t>Configuration</t>
        </is>
      </c>
      <c r="G184" t="inlineStr"/>
      <c r="H184" t="inlineStr">
        <is>
          <t>DFL Human Resources impacted by Oracle 26C change</t>
        </is>
      </c>
      <c r="I184" t="inlineStr">
        <is>
          <t>Y</t>
        </is>
      </c>
      <c r="J184" t="inlineStr">
        <is>
          <t>N</t>
        </is>
      </c>
      <c r="K184" t="inlineStr">
        <is>
          <t>N</t>
        </is>
      </c>
      <c r="L184" t="inlineStr">
        <is>
          <t>N</t>
        </is>
      </c>
      <c r="M184" t="n">
        <v>5</v>
      </c>
      <c r="N184" t="n">
        <v>2</v>
      </c>
      <c r="O184" t="n">
        <v>3</v>
      </c>
      <c r="P184" t="n">
        <v>1</v>
      </c>
      <c r="Q184" t="n">
        <v>3</v>
      </c>
      <c r="R184">
        <f>IFERROR(XLOOKUP(XLOOKUP(D184,tblReleaseChanges[Change_ID],tblReleaseChanges[Oracle_Severity],""),tblSeverityMap[Severity_Text],tblSeverityMap[Score],0),0)</f>
        <v/>
      </c>
      <c r="S184" t="n">
        <v>1</v>
      </c>
      <c r="T184">
        <f>ROUND((M184*0.25)+(N184*0.20)+(O184*0.15)+(P184*0.15)+(Q184*0.10)+(R184*0.10)+(S184*0.05),2)</f>
        <v/>
      </c>
      <c r="U184">
        <f>IF(T184&gt;=4.25,"Critical",IF(T184&gt;=3.5,"High",IF(T184&gt;=2,"Medium","Low")))</f>
        <v/>
      </c>
      <c r="V184" t="inlineStr">
        <is>
          <t>Pending Review</t>
        </is>
      </c>
      <c r="W184" t="inlineStr"/>
      <c r="X184" t="inlineStr"/>
      <c r="Y184" t="inlineStr">
        <is>
          <t>Auto-enabled — no action required</t>
        </is>
      </c>
      <c r="Z184" t="inlineStr">
        <is>
          <t>N</t>
        </is>
      </c>
      <c r="AA184" t="inlineStr">
        <is>
          <t>N</t>
        </is>
      </c>
    </row>
    <row r="185">
      <c r="A185" t="inlineStr">
        <is>
          <t>ASMT_IMP_0160</t>
        </is>
      </c>
      <c r="B185" t="inlineStr">
        <is>
          <t>CLT_DFL001</t>
        </is>
      </c>
      <c r="C185" t="inlineStr">
        <is>
          <t>REL_26C</t>
        </is>
      </c>
      <c r="D185" t="inlineStr">
        <is>
          <t>CHG_IMP_0160</t>
        </is>
      </c>
      <c r="E185" t="inlineStr">
        <is>
          <t>Functional</t>
        </is>
      </c>
      <c r="F185" t="inlineStr">
        <is>
          <t>Configuration</t>
        </is>
      </c>
      <c r="G185" t="inlineStr"/>
      <c r="H185" t="inlineStr">
        <is>
          <t>DFL Human Resources impacted by Oracle 26C change</t>
        </is>
      </c>
      <c r="I185" t="inlineStr">
        <is>
          <t>Y</t>
        </is>
      </c>
      <c r="J185" t="inlineStr">
        <is>
          <t>N</t>
        </is>
      </c>
      <c r="K185" t="inlineStr">
        <is>
          <t>N</t>
        </is>
      </c>
      <c r="L185" t="inlineStr">
        <is>
          <t>N</t>
        </is>
      </c>
      <c r="M185" t="n">
        <v>5</v>
      </c>
      <c r="N185" t="n">
        <v>2</v>
      </c>
      <c r="O185" t="n">
        <v>3</v>
      </c>
      <c r="P185" t="n">
        <v>1</v>
      </c>
      <c r="Q185" t="n">
        <v>3</v>
      </c>
      <c r="R185">
        <f>IFERROR(XLOOKUP(XLOOKUP(D185,tblReleaseChanges[Change_ID],tblReleaseChanges[Oracle_Severity],""),tblSeverityMap[Severity_Text],tblSeverityMap[Score],0),0)</f>
        <v/>
      </c>
      <c r="S185" t="n">
        <v>4</v>
      </c>
      <c r="T185">
        <f>ROUND((M185*0.25)+(N185*0.20)+(O185*0.15)+(P185*0.15)+(Q185*0.10)+(R185*0.10)+(S185*0.05),2)</f>
        <v/>
      </c>
      <c r="U185">
        <f>IF(T185&gt;=4.25,"Critical",IF(T185&gt;=3.5,"High",IF(T185&gt;=2,"Medium","Low")))</f>
        <v/>
      </c>
      <c r="V185" t="inlineStr">
        <is>
          <t>Pending Review</t>
        </is>
      </c>
      <c r="W185" t="inlineStr"/>
      <c r="X185" t="inlineStr"/>
      <c r="Y185" t="inlineStr">
        <is>
          <t>Action type: Steps to Enable. • Your environment must have certain necessary configurations. Ask your help desk to contact Oracle Support, who can verify what your environment has and address any gaps</t>
        </is>
      </c>
      <c r="Z185" t="inlineStr">
        <is>
          <t>Y</t>
        </is>
      </c>
      <c r="AA185" t="inlineStr">
        <is>
          <t>Y</t>
        </is>
      </c>
    </row>
    <row r="186">
      <c r="A186" t="inlineStr">
        <is>
          <t>ASMT_IMP_0161</t>
        </is>
      </c>
      <c r="B186" t="inlineStr">
        <is>
          <t>CLT_DFL001</t>
        </is>
      </c>
      <c r="C186" t="inlineStr">
        <is>
          <t>REL_26C</t>
        </is>
      </c>
      <c r="D186" t="inlineStr">
        <is>
          <t>CHG_IMP_0161</t>
        </is>
      </c>
      <c r="E186" t="inlineStr">
        <is>
          <t>Functional</t>
        </is>
      </c>
      <c r="F186" t="inlineStr">
        <is>
          <t>Configuration</t>
        </is>
      </c>
      <c r="G186" t="inlineStr"/>
      <c r="H186" t="inlineStr">
        <is>
          <t>DFL Human Resources impacted by Oracle 26C change</t>
        </is>
      </c>
      <c r="I186" t="inlineStr">
        <is>
          <t>Y</t>
        </is>
      </c>
      <c r="J186" t="inlineStr">
        <is>
          <t>N</t>
        </is>
      </c>
      <c r="K186" t="inlineStr">
        <is>
          <t>N</t>
        </is>
      </c>
      <c r="L186" t="inlineStr">
        <is>
          <t>N</t>
        </is>
      </c>
      <c r="M186" t="n">
        <v>5</v>
      </c>
      <c r="N186" t="n">
        <v>2</v>
      </c>
      <c r="O186" t="n">
        <v>3</v>
      </c>
      <c r="P186" t="n">
        <v>1</v>
      </c>
      <c r="Q186" t="n">
        <v>3</v>
      </c>
      <c r="R186">
        <f>IFERROR(XLOOKUP(XLOOKUP(D186,tblReleaseChanges[Change_ID],tblReleaseChanges[Oracle_Severity],""),tblSeverityMap[Severity_Text],tblSeverityMap[Score],0),0)</f>
        <v/>
      </c>
      <c r="S186" t="n">
        <v>4</v>
      </c>
      <c r="T186">
        <f>ROUND((M186*0.25)+(N186*0.20)+(O186*0.15)+(P186*0.15)+(Q186*0.10)+(R186*0.10)+(S186*0.05),2)</f>
        <v/>
      </c>
      <c r="U186">
        <f>IF(T186&gt;=4.25,"Critical",IF(T186&gt;=3.5,"High",IF(T186&gt;=2,"Medium","Low")))</f>
        <v/>
      </c>
      <c r="V186" t="inlineStr">
        <is>
          <t>Pending Review</t>
        </is>
      </c>
      <c r="W186" t="inlineStr"/>
      <c r="X186" t="inlineStr"/>
      <c r="Y186" t="inlineStr">
        <is>
          <t>Action type: Steps to Enable. To show an error instead of a warning, you need to set the value of the ORA_PER_INACTIVATE_POS_W_CHILD profile option to **Error**. The default value is **War</t>
        </is>
      </c>
      <c r="Z186" t="inlineStr">
        <is>
          <t>Y</t>
        </is>
      </c>
      <c r="AA186" t="inlineStr">
        <is>
          <t>Y</t>
        </is>
      </c>
    </row>
    <row r="187">
      <c r="A187" t="inlineStr">
        <is>
          <t>ASMT_IMP_0162</t>
        </is>
      </c>
      <c r="B187" t="inlineStr">
        <is>
          <t>CLT_DFL001</t>
        </is>
      </c>
      <c r="C187" t="inlineStr">
        <is>
          <t>REL_26C</t>
        </is>
      </c>
      <c r="D187" t="inlineStr">
        <is>
          <t>CHG_IMP_0162</t>
        </is>
      </c>
      <c r="E187" t="inlineStr">
        <is>
          <t>Functional</t>
        </is>
      </c>
      <c r="F187" t="inlineStr">
        <is>
          <t>Configuration</t>
        </is>
      </c>
      <c r="G187" t="inlineStr"/>
      <c r="H187" t="inlineStr">
        <is>
          <t>DFL Human Resources impacted by Oracle 26C change</t>
        </is>
      </c>
      <c r="I187" t="inlineStr">
        <is>
          <t>Y</t>
        </is>
      </c>
      <c r="J187" t="inlineStr">
        <is>
          <t>N</t>
        </is>
      </c>
      <c r="K187" t="inlineStr">
        <is>
          <t>N</t>
        </is>
      </c>
      <c r="L187" t="inlineStr">
        <is>
          <t>N</t>
        </is>
      </c>
      <c r="M187" t="n">
        <v>5</v>
      </c>
      <c r="N187" t="n">
        <v>2</v>
      </c>
      <c r="O187" t="n">
        <v>3</v>
      </c>
      <c r="P187" t="n">
        <v>1</v>
      </c>
      <c r="Q187" t="n">
        <v>3</v>
      </c>
      <c r="R187">
        <f>IFERROR(XLOOKUP(XLOOKUP(D187,tblReleaseChanges[Change_ID],tblReleaseChanges[Oracle_Severity],""),tblSeverityMap[Severity_Text],tblSeverityMap[Score],0),0)</f>
        <v/>
      </c>
      <c r="S187" t="n">
        <v>4</v>
      </c>
      <c r="T187">
        <f>ROUND((M187*0.25)+(N187*0.20)+(O187*0.15)+(P187*0.15)+(Q187*0.10)+(R187*0.10)+(S187*0.05),2)</f>
        <v/>
      </c>
      <c r="U187">
        <f>IF(T187&gt;=4.25,"Critical",IF(T187&gt;=3.5,"High",IF(T187&gt;=2,"Medium","Low")))</f>
        <v/>
      </c>
      <c r="V187" t="inlineStr">
        <is>
          <t>Pending Review</t>
        </is>
      </c>
      <c r="W187" t="inlineStr"/>
      <c r="X187" t="inlineStr"/>
      <c r="Y187" t="inlineStr">
        <is>
          <t>Action type: Steps to Enable. You need to set the *above*page properties to an appropriate value to change the default behavior.</t>
        </is>
      </c>
      <c r="Z187" t="inlineStr">
        <is>
          <t>Y</t>
        </is>
      </c>
      <c r="AA187" t="inlineStr">
        <is>
          <t>Y</t>
        </is>
      </c>
    </row>
    <row r="188">
      <c r="A188" t="inlineStr">
        <is>
          <t>ASMT_IMP_0163</t>
        </is>
      </c>
      <c r="B188" t="inlineStr">
        <is>
          <t>CLT_DFL001</t>
        </is>
      </c>
      <c r="C188" t="inlineStr">
        <is>
          <t>REL_26C</t>
        </is>
      </c>
      <c r="D188" t="inlineStr">
        <is>
          <t>CHG_IMP_0163</t>
        </is>
      </c>
      <c r="E188" t="inlineStr">
        <is>
          <t>Functional</t>
        </is>
      </c>
      <c r="F188" t="inlineStr">
        <is>
          <t>Configuration</t>
        </is>
      </c>
      <c r="G188" t="inlineStr"/>
      <c r="H188" t="inlineStr">
        <is>
          <t>DFL Human Resources impacted by Oracle 26C change</t>
        </is>
      </c>
      <c r="I188" t="inlineStr">
        <is>
          <t>Y</t>
        </is>
      </c>
      <c r="J188" t="inlineStr">
        <is>
          <t>N</t>
        </is>
      </c>
      <c r="K188" t="inlineStr">
        <is>
          <t>N</t>
        </is>
      </c>
      <c r="L188" t="inlineStr">
        <is>
          <t>N</t>
        </is>
      </c>
      <c r="M188" t="n">
        <v>5</v>
      </c>
      <c r="N188" t="n">
        <v>2</v>
      </c>
      <c r="O188" t="n">
        <v>3</v>
      </c>
      <c r="P188" t="n">
        <v>1</v>
      </c>
      <c r="Q188" t="n">
        <v>3</v>
      </c>
      <c r="R188">
        <f>IFERROR(XLOOKUP(XLOOKUP(D188,tblReleaseChanges[Change_ID],tblReleaseChanges[Oracle_Severity],""),tblSeverityMap[Severity_Text],tblSeverityMap[Score],0),0)</f>
        <v/>
      </c>
      <c r="S188" t="n">
        <v>1</v>
      </c>
      <c r="T188">
        <f>ROUND((M188*0.25)+(N188*0.20)+(O188*0.15)+(P188*0.15)+(Q188*0.10)+(R188*0.10)+(S188*0.05),2)</f>
        <v/>
      </c>
      <c r="U188">
        <f>IF(T188&gt;=4.25,"Critical",IF(T188&gt;=3.5,"High",IF(T188&gt;=2,"Medium","Low")))</f>
        <v/>
      </c>
      <c r="V188" t="inlineStr">
        <is>
          <t>Pending Review</t>
        </is>
      </c>
      <c r="W188" t="inlineStr"/>
      <c r="X188" t="inlineStr"/>
      <c r="Y188" t="inlineStr">
        <is>
          <t>Auto-enabled — no action required</t>
        </is>
      </c>
      <c r="Z188" t="inlineStr">
        <is>
          <t>N</t>
        </is>
      </c>
      <c r="AA188" t="inlineStr">
        <is>
          <t>N</t>
        </is>
      </c>
    </row>
    <row r="189">
      <c r="A189" t="inlineStr">
        <is>
          <t>ASMT_IMP_0164</t>
        </is>
      </c>
      <c r="B189" t="inlineStr">
        <is>
          <t>CLT_DFL001</t>
        </is>
      </c>
      <c r="C189" t="inlineStr">
        <is>
          <t>REL_26C</t>
        </is>
      </c>
      <c r="D189" t="inlineStr">
        <is>
          <t>CHG_IMP_0164</t>
        </is>
      </c>
      <c r="E189" t="inlineStr">
        <is>
          <t>Functional</t>
        </is>
      </c>
      <c r="F189" t="inlineStr">
        <is>
          <t>Configuration</t>
        </is>
      </c>
      <c r="G189" t="inlineStr"/>
      <c r="H189" t="inlineStr">
        <is>
          <t>DFL Human Resources impacted by Oracle 26C change</t>
        </is>
      </c>
      <c r="I189" t="inlineStr">
        <is>
          <t>Y</t>
        </is>
      </c>
      <c r="J189" t="inlineStr">
        <is>
          <t>N</t>
        </is>
      </c>
      <c r="K189" t="inlineStr">
        <is>
          <t>N</t>
        </is>
      </c>
      <c r="L189" t="inlineStr">
        <is>
          <t>N</t>
        </is>
      </c>
      <c r="M189" t="n">
        <v>5</v>
      </c>
      <c r="N189" t="n">
        <v>2</v>
      </c>
      <c r="O189" t="n">
        <v>3</v>
      </c>
      <c r="P189" t="n">
        <v>1</v>
      </c>
      <c r="Q189" t="n">
        <v>3</v>
      </c>
      <c r="R189">
        <f>IFERROR(XLOOKUP(XLOOKUP(D189,tblReleaseChanges[Change_ID],tblReleaseChanges[Oracle_Severity],""),tblSeverityMap[Severity_Text],tblSeverityMap[Score],0),0)</f>
        <v/>
      </c>
      <c r="S189" t="n">
        <v>1</v>
      </c>
      <c r="T189">
        <f>ROUND((M189*0.25)+(N189*0.20)+(O189*0.15)+(P189*0.15)+(Q189*0.10)+(R189*0.10)+(S189*0.05),2)</f>
        <v/>
      </c>
      <c r="U189">
        <f>IF(T189&gt;=4.25,"Critical",IF(T189&gt;=3.5,"High",IF(T189&gt;=2,"Medium","Low")))</f>
        <v/>
      </c>
      <c r="V189" t="inlineStr">
        <is>
          <t>Pending Review</t>
        </is>
      </c>
      <c r="W189" t="inlineStr"/>
      <c r="X189" t="inlineStr"/>
      <c r="Y189" t="inlineStr">
        <is>
          <t>Auto-enabled — no action required</t>
        </is>
      </c>
      <c r="Z189" t="inlineStr">
        <is>
          <t>N</t>
        </is>
      </c>
      <c r="AA189" t="inlineStr">
        <is>
          <t>N</t>
        </is>
      </c>
    </row>
    <row r="190">
      <c r="A190" t="inlineStr">
        <is>
          <t>ASMT_IMP_0165</t>
        </is>
      </c>
      <c r="B190" t="inlineStr">
        <is>
          <t>CLT_DFL001</t>
        </is>
      </c>
      <c r="C190" t="inlineStr">
        <is>
          <t>REL_26C</t>
        </is>
      </c>
      <c r="D190" t="inlineStr">
        <is>
          <t>CHG_IMP_0165</t>
        </is>
      </c>
      <c r="E190" t="inlineStr">
        <is>
          <t>Functional</t>
        </is>
      </c>
      <c r="F190" t="inlineStr">
        <is>
          <t>Configuration</t>
        </is>
      </c>
      <c r="G190" t="inlineStr"/>
      <c r="H190" t="inlineStr">
        <is>
          <t>DFL Human Resources impacted by Oracle 26C change</t>
        </is>
      </c>
      <c r="I190" t="inlineStr">
        <is>
          <t>Y</t>
        </is>
      </c>
      <c r="J190" t="inlineStr">
        <is>
          <t>N</t>
        </is>
      </c>
      <c r="K190" t="inlineStr">
        <is>
          <t>N</t>
        </is>
      </c>
      <c r="L190" t="inlineStr">
        <is>
          <t>N</t>
        </is>
      </c>
      <c r="M190" t="n">
        <v>5</v>
      </c>
      <c r="N190" t="n">
        <v>2</v>
      </c>
      <c r="O190" t="n">
        <v>3</v>
      </c>
      <c r="P190" t="n">
        <v>1</v>
      </c>
      <c r="Q190" t="n">
        <v>3</v>
      </c>
      <c r="R190">
        <f>IFERROR(XLOOKUP(XLOOKUP(D190,tblReleaseChanges[Change_ID],tblReleaseChanges[Oracle_Severity],""),tblSeverityMap[Severity_Text],tblSeverityMap[Score],0),0)</f>
        <v/>
      </c>
      <c r="S190" t="n">
        <v>1</v>
      </c>
      <c r="T190">
        <f>ROUND((M190*0.25)+(N190*0.20)+(O190*0.15)+(P190*0.15)+(Q190*0.10)+(R190*0.10)+(S190*0.05),2)</f>
        <v/>
      </c>
      <c r="U190">
        <f>IF(T190&gt;=4.25,"Critical",IF(T190&gt;=3.5,"High",IF(T190&gt;=2,"Medium","Low")))</f>
        <v/>
      </c>
      <c r="V190" t="inlineStr">
        <is>
          <t>Pending Review</t>
        </is>
      </c>
      <c r="W190" t="inlineStr"/>
      <c r="X190" t="inlineStr"/>
      <c r="Y190" t="inlineStr">
        <is>
          <t>Auto-enabled — no action required</t>
        </is>
      </c>
      <c r="Z190" t="inlineStr">
        <is>
          <t>N</t>
        </is>
      </c>
      <c r="AA190" t="inlineStr">
        <is>
          <t>N</t>
        </is>
      </c>
    </row>
    <row r="191">
      <c r="A191" t="inlineStr">
        <is>
          <t>ASMT_IMP_0166</t>
        </is>
      </c>
      <c r="B191" t="inlineStr">
        <is>
          <t>CLT_DFL001</t>
        </is>
      </c>
      <c r="C191" t="inlineStr">
        <is>
          <t>REL_26C</t>
        </is>
      </c>
      <c r="D191" t="inlineStr">
        <is>
          <t>CHG_IMP_0166</t>
        </is>
      </c>
      <c r="E191" t="inlineStr">
        <is>
          <t>Functional</t>
        </is>
      </c>
      <c r="F191" t="inlineStr">
        <is>
          <t>Configuration</t>
        </is>
      </c>
      <c r="G191" t="inlineStr"/>
      <c r="H191" t="inlineStr">
        <is>
          <t>DFL Human Resources impacted by Oracle 26C change</t>
        </is>
      </c>
      <c r="I191" t="inlineStr">
        <is>
          <t>Y</t>
        </is>
      </c>
      <c r="J191" t="inlineStr">
        <is>
          <t>N</t>
        </is>
      </c>
      <c r="K191" t="inlineStr">
        <is>
          <t>N</t>
        </is>
      </c>
      <c r="L191" t="inlineStr">
        <is>
          <t>N</t>
        </is>
      </c>
      <c r="M191" t="n">
        <v>5</v>
      </c>
      <c r="N191" t="n">
        <v>2</v>
      </c>
      <c r="O191" t="n">
        <v>3</v>
      </c>
      <c r="P191" t="n">
        <v>1</v>
      </c>
      <c r="Q191" t="n">
        <v>3</v>
      </c>
      <c r="R191">
        <f>IFERROR(XLOOKUP(XLOOKUP(D191,tblReleaseChanges[Change_ID],tblReleaseChanges[Oracle_Severity],""),tblSeverityMap[Severity_Text],tblSeverityMap[Score],0),0)</f>
        <v/>
      </c>
      <c r="S191" t="n">
        <v>1</v>
      </c>
      <c r="T191">
        <f>ROUND((M191*0.25)+(N191*0.20)+(O191*0.15)+(P191*0.15)+(Q191*0.10)+(R191*0.10)+(S191*0.05),2)</f>
        <v/>
      </c>
      <c r="U191">
        <f>IF(T191&gt;=4.25,"Critical",IF(T191&gt;=3.5,"High",IF(T191&gt;=2,"Medium","Low")))</f>
        <v/>
      </c>
      <c r="V191" t="inlineStr">
        <is>
          <t>Pending Review</t>
        </is>
      </c>
      <c r="W191" t="inlineStr"/>
      <c r="X191" t="inlineStr"/>
      <c r="Y191" t="inlineStr">
        <is>
          <t>Auto-enabled — no action required</t>
        </is>
      </c>
      <c r="Z191" t="inlineStr">
        <is>
          <t>N</t>
        </is>
      </c>
      <c r="AA191" t="inlineStr">
        <is>
          <t>N</t>
        </is>
      </c>
    </row>
    <row r="192">
      <c r="A192" t="inlineStr">
        <is>
          <t>ASMT_IMP_0167</t>
        </is>
      </c>
      <c r="B192" t="inlineStr">
        <is>
          <t>CLT_DFL001</t>
        </is>
      </c>
      <c r="C192" t="inlineStr">
        <is>
          <t>REL_26C</t>
        </is>
      </c>
      <c r="D192" t="inlineStr">
        <is>
          <t>CHG_IMP_0167</t>
        </is>
      </c>
      <c r="E192" t="inlineStr">
        <is>
          <t>AI Feature</t>
        </is>
      </c>
      <c r="F192" t="inlineStr">
        <is>
          <t>Configuration</t>
        </is>
      </c>
      <c r="G192" t="inlineStr"/>
      <c r="H192" t="inlineStr">
        <is>
          <t>DFL Human Resources impacted by Oracle 26C change</t>
        </is>
      </c>
      <c r="I192" t="inlineStr">
        <is>
          <t>Y</t>
        </is>
      </c>
      <c r="J192" t="inlineStr">
        <is>
          <t>N</t>
        </is>
      </c>
      <c r="K192" t="inlineStr">
        <is>
          <t>N</t>
        </is>
      </c>
      <c r="L192" t="inlineStr">
        <is>
          <t>N</t>
        </is>
      </c>
      <c r="M192" t="n">
        <v>5</v>
      </c>
      <c r="N192" t="n">
        <v>2</v>
      </c>
      <c r="O192" t="n">
        <v>3</v>
      </c>
      <c r="P192" t="n">
        <v>3</v>
      </c>
      <c r="Q192" t="n">
        <v>3</v>
      </c>
      <c r="R192">
        <f>IFERROR(XLOOKUP(XLOOKUP(D192,tblReleaseChanges[Change_ID],tblReleaseChanges[Oracle_Severity],""),tblSeverityMap[Severity_Text],tblSeverityMap[Score],0),0)</f>
        <v/>
      </c>
      <c r="S192" t="n">
        <v>4</v>
      </c>
      <c r="T192">
        <f>ROUND((M192*0.25)+(N192*0.20)+(O192*0.15)+(P192*0.15)+(Q192*0.10)+(R192*0.10)+(S192*0.05),2)</f>
        <v/>
      </c>
      <c r="U192">
        <f>IF(T192&gt;=4.25,"Critical",IF(T192&gt;=3.5,"High",IF(T192&gt;=2,"Medium","Low")))</f>
        <v/>
      </c>
      <c r="V192" t="inlineStr">
        <is>
          <t>Pending Review</t>
        </is>
      </c>
      <c r="W192" t="inlineStr"/>
      <c r="X192" t="inlineStr"/>
      <c r="Y192" t="inlineStr">
        <is>
          <t>Action type: Steps to Enable. • Your environment must have certain necessary configurations. Ask your help desk to contact Oracle Support, who can</t>
        </is>
      </c>
      <c r="Z192" t="inlineStr">
        <is>
          <t>Y</t>
        </is>
      </c>
      <c r="AA192" t="inlineStr">
        <is>
          <t>Y</t>
        </is>
      </c>
    </row>
    <row r="193">
      <c r="A193" t="inlineStr">
        <is>
          <t>ASMT_IMP_0168</t>
        </is>
      </c>
      <c r="B193" t="inlineStr">
        <is>
          <t>CLT_DFL001</t>
        </is>
      </c>
      <c r="C193" t="inlineStr">
        <is>
          <t>REL_26C</t>
        </is>
      </c>
      <c r="D193" t="inlineStr">
        <is>
          <t>CHG_IMP_0168</t>
        </is>
      </c>
      <c r="E193" t="inlineStr">
        <is>
          <t>Functional</t>
        </is>
      </c>
      <c r="F193" t="inlineStr">
        <is>
          <t>Configuration</t>
        </is>
      </c>
      <c r="G193" t="inlineStr"/>
      <c r="H193" t="inlineStr">
        <is>
          <t>DFL Human Resources impacted by Oracle 26C change</t>
        </is>
      </c>
      <c r="I193" t="inlineStr">
        <is>
          <t>Y</t>
        </is>
      </c>
      <c r="J193" t="inlineStr">
        <is>
          <t>N</t>
        </is>
      </c>
      <c r="K193" t="inlineStr">
        <is>
          <t>N</t>
        </is>
      </c>
      <c r="L193" t="inlineStr">
        <is>
          <t>N</t>
        </is>
      </c>
      <c r="M193" t="n">
        <v>5</v>
      </c>
      <c r="N193" t="n">
        <v>2</v>
      </c>
      <c r="O193" t="n">
        <v>3</v>
      </c>
      <c r="P193" t="n">
        <v>1</v>
      </c>
      <c r="Q193" t="n">
        <v>3</v>
      </c>
      <c r="R193">
        <f>IFERROR(XLOOKUP(XLOOKUP(D193,tblReleaseChanges[Change_ID],tblReleaseChanges[Oracle_Severity],""),tblSeverityMap[Severity_Text],tblSeverityMap[Score],0),0)</f>
        <v/>
      </c>
      <c r="S193" t="n">
        <v>1</v>
      </c>
      <c r="T193">
        <f>ROUND((M193*0.25)+(N193*0.20)+(O193*0.15)+(P193*0.15)+(Q193*0.10)+(R193*0.10)+(S193*0.05),2)</f>
        <v/>
      </c>
      <c r="U193">
        <f>IF(T193&gt;=4.25,"Critical",IF(T193&gt;=3.5,"High",IF(T193&gt;=2,"Medium","Low")))</f>
        <v/>
      </c>
      <c r="V193" t="inlineStr">
        <is>
          <t>Pending Review</t>
        </is>
      </c>
      <c r="W193" t="inlineStr"/>
      <c r="X193" t="inlineStr"/>
      <c r="Y193" t="inlineStr">
        <is>
          <t>Auto-enabled — no action required</t>
        </is>
      </c>
      <c r="Z193" t="inlineStr">
        <is>
          <t>N</t>
        </is>
      </c>
      <c r="AA193" t="inlineStr">
        <is>
          <t>N</t>
        </is>
      </c>
    </row>
    <row r="194">
      <c r="A194" t="inlineStr">
        <is>
          <t>ASMT_IMP_0169</t>
        </is>
      </c>
      <c r="B194" t="inlineStr">
        <is>
          <t>CLT_DFL001</t>
        </is>
      </c>
      <c r="C194" t="inlineStr">
        <is>
          <t>REL_26C</t>
        </is>
      </c>
      <c r="D194" t="inlineStr">
        <is>
          <t>CHG_IMP_0169</t>
        </is>
      </c>
      <c r="E194" t="inlineStr">
        <is>
          <t>Functional</t>
        </is>
      </c>
      <c r="F194" t="inlineStr">
        <is>
          <t>Configuration</t>
        </is>
      </c>
      <c r="G194" t="inlineStr"/>
      <c r="H194" t="inlineStr">
        <is>
          <t>DFL Human Resources impacted by Oracle 26C change</t>
        </is>
      </c>
      <c r="I194" t="inlineStr">
        <is>
          <t>Y</t>
        </is>
      </c>
      <c r="J194" t="inlineStr">
        <is>
          <t>N</t>
        </is>
      </c>
      <c r="K194" t="inlineStr">
        <is>
          <t>N</t>
        </is>
      </c>
      <c r="L194" t="inlineStr">
        <is>
          <t>N</t>
        </is>
      </c>
      <c r="M194" t="n">
        <v>5</v>
      </c>
      <c r="N194" t="n">
        <v>2</v>
      </c>
      <c r="O194" t="n">
        <v>3</v>
      </c>
      <c r="P194" t="n">
        <v>1</v>
      </c>
      <c r="Q194" t="n">
        <v>3</v>
      </c>
      <c r="R194">
        <f>IFERROR(XLOOKUP(XLOOKUP(D194,tblReleaseChanges[Change_ID],tblReleaseChanges[Oracle_Severity],""),tblSeverityMap[Severity_Text],tblSeverityMap[Score],0),0)</f>
        <v/>
      </c>
      <c r="S194" t="n">
        <v>1</v>
      </c>
      <c r="T194">
        <f>ROUND((M194*0.25)+(N194*0.20)+(O194*0.15)+(P194*0.15)+(Q194*0.10)+(R194*0.10)+(S194*0.05),2)</f>
        <v/>
      </c>
      <c r="U194">
        <f>IF(T194&gt;=4.25,"Critical",IF(T194&gt;=3.5,"High",IF(T194&gt;=2,"Medium","Low")))</f>
        <v/>
      </c>
      <c r="V194" t="inlineStr">
        <is>
          <t>Pending Review</t>
        </is>
      </c>
      <c r="W194" t="inlineStr"/>
      <c r="X194" t="inlineStr"/>
      <c r="Y194" t="inlineStr">
        <is>
          <t>Auto-enabled — no action required</t>
        </is>
      </c>
      <c r="Z194" t="inlineStr">
        <is>
          <t>N</t>
        </is>
      </c>
      <c r="AA194" t="inlineStr">
        <is>
          <t>N</t>
        </is>
      </c>
    </row>
    <row r="195">
      <c r="A195" t="inlineStr">
        <is>
          <t>ASMT_IMP_0170</t>
        </is>
      </c>
      <c r="B195" t="inlineStr">
        <is>
          <t>CLT_DFL001</t>
        </is>
      </c>
      <c r="C195" t="inlineStr">
        <is>
          <t>REL_26C</t>
        </is>
      </c>
      <c r="D195" t="inlineStr">
        <is>
          <t>CHG_IMP_0170</t>
        </is>
      </c>
      <c r="E195" t="inlineStr">
        <is>
          <t>Functional</t>
        </is>
      </c>
      <c r="F195" t="inlineStr">
        <is>
          <t>Configuration</t>
        </is>
      </c>
      <c r="G195" t="inlineStr"/>
      <c r="H195" t="inlineStr">
        <is>
          <t>DFL Human Resources impacted by Oracle 26C change</t>
        </is>
      </c>
      <c r="I195" t="inlineStr">
        <is>
          <t>Y</t>
        </is>
      </c>
      <c r="J195" t="inlineStr">
        <is>
          <t>N</t>
        </is>
      </c>
      <c r="K195" t="inlineStr">
        <is>
          <t>N</t>
        </is>
      </c>
      <c r="L195" t="inlineStr">
        <is>
          <t>N</t>
        </is>
      </c>
      <c r="M195" t="n">
        <v>5</v>
      </c>
      <c r="N195" t="n">
        <v>2</v>
      </c>
      <c r="O195" t="n">
        <v>3</v>
      </c>
      <c r="P195" t="n">
        <v>1</v>
      </c>
      <c r="Q195" t="n">
        <v>3</v>
      </c>
      <c r="R195">
        <f>IFERROR(XLOOKUP(XLOOKUP(D195,tblReleaseChanges[Change_ID],tblReleaseChanges[Oracle_Severity],""),tblSeverityMap[Severity_Text],tblSeverityMap[Score],0),0)</f>
        <v/>
      </c>
      <c r="S195" t="n">
        <v>1</v>
      </c>
      <c r="T195">
        <f>ROUND((M195*0.25)+(N195*0.20)+(O195*0.15)+(P195*0.15)+(Q195*0.10)+(R195*0.10)+(S195*0.05),2)</f>
        <v/>
      </c>
      <c r="U195">
        <f>IF(T195&gt;=4.25,"Critical",IF(T195&gt;=3.5,"High",IF(T195&gt;=2,"Medium","Low")))</f>
        <v/>
      </c>
      <c r="V195" t="inlineStr">
        <is>
          <t>Pending Review</t>
        </is>
      </c>
      <c r="W195" t="inlineStr"/>
      <c r="X195" t="inlineStr"/>
      <c r="Y195" t="inlineStr">
        <is>
          <t>Auto-enabled — no action required</t>
        </is>
      </c>
      <c r="Z195" t="inlineStr">
        <is>
          <t>N</t>
        </is>
      </c>
      <c r="AA195" t="inlineStr">
        <is>
          <t>N</t>
        </is>
      </c>
    </row>
    <row r="196">
      <c r="A196" t="inlineStr">
        <is>
          <t>ASMT_IMP_0171</t>
        </is>
      </c>
      <c r="B196" t="inlineStr">
        <is>
          <t>CLT_DFL001</t>
        </is>
      </c>
      <c r="C196" t="inlineStr">
        <is>
          <t>REL_26C</t>
        </is>
      </c>
      <c r="D196" t="inlineStr">
        <is>
          <t>CHG_IMP_0171</t>
        </is>
      </c>
      <c r="E196" t="inlineStr">
        <is>
          <t>Functional</t>
        </is>
      </c>
      <c r="F196" t="inlineStr">
        <is>
          <t>Configuration</t>
        </is>
      </c>
      <c r="G196" t="inlineStr"/>
      <c r="H196" t="inlineStr">
        <is>
          <t>DFL Human Resources impacted by Oracle 26C change</t>
        </is>
      </c>
      <c r="I196" t="inlineStr">
        <is>
          <t>Y</t>
        </is>
      </c>
      <c r="J196" t="inlineStr">
        <is>
          <t>N</t>
        </is>
      </c>
      <c r="K196" t="inlineStr">
        <is>
          <t>N</t>
        </is>
      </c>
      <c r="L196" t="inlineStr">
        <is>
          <t>N</t>
        </is>
      </c>
      <c r="M196" t="n">
        <v>5</v>
      </c>
      <c r="N196" t="n">
        <v>2</v>
      </c>
      <c r="O196" t="n">
        <v>3</v>
      </c>
      <c r="P196" t="n">
        <v>1</v>
      </c>
      <c r="Q196" t="n">
        <v>3</v>
      </c>
      <c r="R196">
        <f>IFERROR(XLOOKUP(XLOOKUP(D196,tblReleaseChanges[Change_ID],tblReleaseChanges[Oracle_Severity],""),tblSeverityMap[Severity_Text],tblSeverityMap[Score],0),0)</f>
        <v/>
      </c>
      <c r="S196" t="n">
        <v>1</v>
      </c>
      <c r="T196">
        <f>ROUND((M196*0.25)+(N196*0.20)+(O196*0.15)+(P196*0.15)+(Q196*0.10)+(R196*0.10)+(S196*0.05),2)</f>
        <v/>
      </c>
      <c r="U196">
        <f>IF(T196&gt;=4.25,"Critical",IF(T196&gt;=3.5,"High",IF(T196&gt;=2,"Medium","Low")))</f>
        <v/>
      </c>
      <c r="V196" t="inlineStr">
        <is>
          <t>Pending Review</t>
        </is>
      </c>
      <c r="W196" t="inlineStr"/>
      <c r="X196" t="inlineStr"/>
      <c r="Y196" t="inlineStr">
        <is>
          <t>Auto-enabled — no action required</t>
        </is>
      </c>
      <c r="Z196" t="inlineStr">
        <is>
          <t>N</t>
        </is>
      </c>
      <c r="AA196" t="inlineStr">
        <is>
          <t>N</t>
        </is>
      </c>
    </row>
    <row r="197">
      <c r="A197" t="inlineStr">
        <is>
          <t>ASMT_IMP_0172</t>
        </is>
      </c>
      <c r="B197" t="inlineStr">
        <is>
          <t>CLT_DFL001</t>
        </is>
      </c>
      <c r="C197" t="inlineStr">
        <is>
          <t>REL_26C</t>
        </is>
      </c>
      <c r="D197" t="inlineStr">
        <is>
          <t>CHG_IMP_0172</t>
        </is>
      </c>
      <c r="E197" t="inlineStr">
        <is>
          <t>Functional</t>
        </is>
      </c>
      <c r="F197" t="inlineStr">
        <is>
          <t>Configuration</t>
        </is>
      </c>
      <c r="G197" t="inlineStr"/>
      <c r="H197" t="inlineStr">
        <is>
          <t>DFL Human Resources impacted by Oracle 26C change</t>
        </is>
      </c>
      <c r="I197" t="inlineStr">
        <is>
          <t>Y</t>
        </is>
      </c>
      <c r="J197" t="inlineStr">
        <is>
          <t>N</t>
        </is>
      </c>
      <c r="K197" t="inlineStr">
        <is>
          <t>N</t>
        </is>
      </c>
      <c r="L197" t="inlineStr">
        <is>
          <t>N</t>
        </is>
      </c>
      <c r="M197" t="n">
        <v>5</v>
      </c>
      <c r="N197" t="n">
        <v>2</v>
      </c>
      <c r="O197" t="n">
        <v>3</v>
      </c>
      <c r="P197" t="n">
        <v>1</v>
      </c>
      <c r="Q197" t="n">
        <v>3</v>
      </c>
      <c r="R197">
        <f>IFERROR(XLOOKUP(XLOOKUP(D197,tblReleaseChanges[Change_ID],tblReleaseChanges[Oracle_Severity],""),tblSeverityMap[Severity_Text],tblSeverityMap[Score],0),0)</f>
        <v/>
      </c>
      <c r="S197" t="n">
        <v>4</v>
      </c>
      <c r="T197">
        <f>ROUND((M197*0.25)+(N197*0.20)+(O197*0.15)+(P197*0.15)+(Q197*0.10)+(R197*0.10)+(S197*0.05),2)</f>
        <v/>
      </c>
      <c r="U197">
        <f>IF(T197&gt;=4.25,"Critical",IF(T197&gt;=3.5,"High",IF(T197&gt;=2,"Medium","Low")))</f>
        <v/>
      </c>
      <c r="V197" t="inlineStr">
        <is>
          <t>Pending Review</t>
        </is>
      </c>
      <c r="W197" t="inlineStr"/>
      <c r="X197" t="inlineStr"/>
      <c r="Y197" t="inlineStr">
        <is>
          <t>Action type: Steps to Enable. If you want to, you can disable the profile options for the Redwood pages where they're enabled. You can do so by entering **No**in the **Profile Value** field. Follow th</t>
        </is>
      </c>
      <c r="Z197" t="inlineStr">
        <is>
          <t>Y</t>
        </is>
      </c>
      <c r="AA197" t="inlineStr">
        <is>
          <t>Y</t>
        </is>
      </c>
    </row>
    <row r="198">
      <c r="A198" t="inlineStr">
        <is>
          <t>ASMT_IMP_0173</t>
        </is>
      </c>
      <c r="B198" t="inlineStr">
        <is>
          <t>CLT_DFL001</t>
        </is>
      </c>
      <c r="C198" t="inlineStr">
        <is>
          <t>REL_26C</t>
        </is>
      </c>
      <c r="D198" t="inlineStr">
        <is>
          <t>CHG_IMP_0173</t>
        </is>
      </c>
      <c r="E198" t="inlineStr">
        <is>
          <t>Functional</t>
        </is>
      </c>
      <c r="F198" t="inlineStr">
        <is>
          <t>Configuration</t>
        </is>
      </c>
      <c r="G198" t="inlineStr"/>
      <c r="H198" t="inlineStr">
        <is>
          <t>DFL Human Resources impacted by Oracle 26C change</t>
        </is>
      </c>
      <c r="I198" t="inlineStr">
        <is>
          <t>Y</t>
        </is>
      </c>
      <c r="J198" t="inlineStr">
        <is>
          <t>N</t>
        </is>
      </c>
      <c r="K198" t="inlineStr">
        <is>
          <t>N</t>
        </is>
      </c>
      <c r="L198" t="inlineStr">
        <is>
          <t>N</t>
        </is>
      </c>
      <c r="M198" t="n">
        <v>5</v>
      </c>
      <c r="N198" t="n">
        <v>2</v>
      </c>
      <c r="O198" t="n">
        <v>3</v>
      </c>
      <c r="P198" t="n">
        <v>1</v>
      </c>
      <c r="Q198" t="n">
        <v>3</v>
      </c>
      <c r="R198">
        <f>IFERROR(XLOOKUP(XLOOKUP(D198,tblReleaseChanges[Change_ID],tblReleaseChanges[Oracle_Severity],""),tblSeverityMap[Severity_Text],tblSeverityMap[Score],0),0)</f>
        <v/>
      </c>
      <c r="S198" t="n">
        <v>4</v>
      </c>
      <c r="T198">
        <f>ROUND((M198*0.25)+(N198*0.20)+(O198*0.15)+(P198*0.15)+(Q198*0.10)+(R198*0.10)+(S198*0.05),2)</f>
        <v/>
      </c>
      <c r="U198">
        <f>IF(T198&gt;=4.25,"Critical",IF(T198&gt;=3.5,"High",IF(T198&gt;=2,"Medium","Low")))</f>
        <v/>
      </c>
      <c r="V198" t="inlineStr">
        <is>
          <t>Pending Review</t>
        </is>
      </c>
      <c r="W198" t="inlineStr"/>
      <c r="X198" t="inlineStr"/>
      <c r="Y198" t="inlineStr">
        <is>
          <t>Action type: Steps to Enable. If you want to, you can disable the profile options for the Redwood pages where they're enabled. You can do so by entering **No**in the **Profile Value** field. Fo</t>
        </is>
      </c>
      <c r="Z198" t="inlineStr">
        <is>
          <t>Y</t>
        </is>
      </c>
      <c r="AA198" t="inlineStr">
        <is>
          <t>Y</t>
        </is>
      </c>
    </row>
    <row r="199">
      <c r="A199" t="inlineStr">
        <is>
          <t>ASMT_IMP_0174</t>
        </is>
      </c>
      <c r="B199" t="inlineStr">
        <is>
          <t>CLT_DFL001</t>
        </is>
      </c>
      <c r="C199" t="inlineStr">
        <is>
          <t>REL_26C</t>
        </is>
      </c>
      <c r="D199" t="inlineStr">
        <is>
          <t>CHG_IMP_0174</t>
        </is>
      </c>
      <c r="E199" t="inlineStr">
        <is>
          <t>Functional</t>
        </is>
      </c>
      <c r="F199" t="inlineStr">
        <is>
          <t>Configuration</t>
        </is>
      </c>
      <c r="G199" t="inlineStr"/>
      <c r="H199" t="inlineStr">
        <is>
          <t>DFL Human Resources impacted by Oracle 26C change</t>
        </is>
      </c>
      <c r="I199" t="inlineStr">
        <is>
          <t>Y</t>
        </is>
      </c>
      <c r="J199" t="inlineStr">
        <is>
          <t>N</t>
        </is>
      </c>
      <c r="K199" t="inlineStr">
        <is>
          <t>N</t>
        </is>
      </c>
      <c r="L199" t="inlineStr">
        <is>
          <t>N</t>
        </is>
      </c>
      <c r="M199" t="n">
        <v>5</v>
      </c>
      <c r="N199" t="n">
        <v>2</v>
      </c>
      <c r="O199" t="n">
        <v>3</v>
      </c>
      <c r="P199" t="n">
        <v>1</v>
      </c>
      <c r="Q199" t="n">
        <v>3</v>
      </c>
      <c r="R199">
        <f>IFERROR(XLOOKUP(XLOOKUP(D199,tblReleaseChanges[Change_ID],tblReleaseChanges[Oracle_Severity],""),tblSeverityMap[Severity_Text],tblSeverityMap[Score],0),0)</f>
        <v/>
      </c>
      <c r="S199" t="n">
        <v>1</v>
      </c>
      <c r="T199">
        <f>ROUND((M199*0.25)+(N199*0.20)+(O199*0.15)+(P199*0.15)+(Q199*0.10)+(R199*0.10)+(S199*0.05),2)</f>
        <v/>
      </c>
      <c r="U199">
        <f>IF(T199&gt;=4.25,"Critical",IF(T199&gt;=3.5,"High",IF(T199&gt;=2,"Medium","Low")))</f>
        <v/>
      </c>
      <c r="V199" t="inlineStr">
        <is>
          <t>Pending Review</t>
        </is>
      </c>
      <c r="W199" t="inlineStr"/>
      <c r="X199" t="inlineStr"/>
      <c r="Y199" t="inlineStr">
        <is>
          <t>Auto-enabled — no action required</t>
        </is>
      </c>
      <c r="Z199" t="inlineStr">
        <is>
          <t>N</t>
        </is>
      </c>
      <c r="AA199" t="inlineStr">
        <is>
          <t>N</t>
        </is>
      </c>
    </row>
    <row r="200">
      <c r="A200" t="inlineStr">
        <is>
          <t>ASMT_IMP_0175</t>
        </is>
      </c>
      <c r="B200" t="inlineStr">
        <is>
          <t>CLT_DFL001</t>
        </is>
      </c>
      <c r="C200" t="inlineStr">
        <is>
          <t>REL_26C</t>
        </is>
      </c>
      <c r="D200" t="inlineStr">
        <is>
          <t>CHG_IMP_0175</t>
        </is>
      </c>
      <c r="E200" t="inlineStr">
        <is>
          <t>Functional</t>
        </is>
      </c>
      <c r="F200" t="inlineStr">
        <is>
          <t>Configuration</t>
        </is>
      </c>
      <c r="G200" t="inlineStr"/>
      <c r="H200" t="inlineStr">
        <is>
          <t>DFL Human Resources impacted by Oracle 26C change</t>
        </is>
      </c>
      <c r="I200" t="inlineStr">
        <is>
          <t>Y</t>
        </is>
      </c>
      <c r="J200" t="inlineStr">
        <is>
          <t>N</t>
        </is>
      </c>
      <c r="K200" t="inlineStr">
        <is>
          <t>N</t>
        </is>
      </c>
      <c r="L200" t="inlineStr">
        <is>
          <t>N</t>
        </is>
      </c>
      <c r="M200" t="n">
        <v>5</v>
      </c>
      <c r="N200" t="n">
        <v>2</v>
      </c>
      <c r="O200" t="n">
        <v>3</v>
      </c>
      <c r="P200" t="n">
        <v>1</v>
      </c>
      <c r="Q200" t="n">
        <v>3</v>
      </c>
      <c r="R200">
        <f>IFERROR(XLOOKUP(XLOOKUP(D200,tblReleaseChanges[Change_ID],tblReleaseChanges[Oracle_Severity],""),tblSeverityMap[Severity_Text],tblSeverityMap[Score],0),0)</f>
        <v/>
      </c>
      <c r="S200" t="n">
        <v>4</v>
      </c>
      <c r="T200">
        <f>ROUND((M200*0.25)+(N200*0.20)+(O200*0.15)+(P200*0.15)+(Q200*0.10)+(R200*0.10)+(S200*0.05),2)</f>
        <v/>
      </c>
      <c r="U200">
        <f>IF(T200&gt;=4.25,"Critical",IF(T200&gt;=3.5,"High",IF(T200&gt;=2,"Medium","Low")))</f>
        <v/>
      </c>
      <c r="V200" t="inlineStr">
        <is>
          <t>Pending Review</t>
        </is>
      </c>
      <c r="W200" t="inlineStr"/>
      <c r="X200" t="inlineStr"/>
      <c r="Y200" t="inlineStr">
        <is>
          <t xml:space="preserve">Action type: Steps to Enable. To use the Redwood Mass Legal Employer Change Process page, you must first enable the following profile options. They're all disabled by default. Profile Option | </t>
        </is>
      </c>
      <c r="Z200" t="inlineStr">
        <is>
          <t>Y</t>
        </is>
      </c>
      <c r="AA200" t="inlineStr">
        <is>
          <t>Y</t>
        </is>
      </c>
    </row>
    <row r="201">
      <c r="A201" t="inlineStr">
        <is>
          <t>ASMT_IMP_0176</t>
        </is>
      </c>
      <c r="B201" t="inlineStr">
        <is>
          <t>CLT_DFL001</t>
        </is>
      </c>
      <c r="C201" t="inlineStr">
        <is>
          <t>REL_26C</t>
        </is>
      </c>
      <c r="D201" t="inlineStr">
        <is>
          <t>CHG_IMP_0176</t>
        </is>
      </c>
      <c r="E201" t="inlineStr">
        <is>
          <t>Functional</t>
        </is>
      </c>
      <c r="F201" t="inlineStr">
        <is>
          <t>Configuration</t>
        </is>
      </c>
      <c r="G201" t="inlineStr"/>
      <c r="H201" t="inlineStr">
        <is>
          <t>DFL Human Resources impacted by Oracle 26C change</t>
        </is>
      </c>
      <c r="I201" t="inlineStr">
        <is>
          <t>Y</t>
        </is>
      </c>
      <c r="J201" t="inlineStr">
        <is>
          <t>N</t>
        </is>
      </c>
      <c r="K201" t="inlineStr">
        <is>
          <t>N</t>
        </is>
      </c>
      <c r="L201" t="inlineStr">
        <is>
          <t>N</t>
        </is>
      </c>
      <c r="M201" t="n">
        <v>5</v>
      </c>
      <c r="N201" t="n">
        <v>2</v>
      </c>
      <c r="O201" t="n">
        <v>3</v>
      </c>
      <c r="P201" t="n">
        <v>1</v>
      </c>
      <c r="Q201" t="n">
        <v>3</v>
      </c>
      <c r="R201">
        <f>IFERROR(XLOOKUP(XLOOKUP(D201,tblReleaseChanges[Change_ID],tblReleaseChanges[Oracle_Severity],""),tblSeverityMap[Severity_Text],tblSeverityMap[Score],0),0)</f>
        <v/>
      </c>
      <c r="S201" t="n">
        <v>4</v>
      </c>
      <c r="T201">
        <f>ROUND((M201*0.25)+(N201*0.20)+(O201*0.15)+(P201*0.15)+(Q201*0.10)+(R201*0.10)+(S201*0.05),2)</f>
        <v/>
      </c>
      <c r="U201">
        <f>IF(T201&gt;=4.25,"Critical",IF(T201&gt;=3.5,"High",IF(T201&gt;=2,"Medium","Low")))</f>
        <v/>
      </c>
      <c r="V201" t="inlineStr">
        <is>
          <t>Pending Review</t>
        </is>
      </c>
      <c r="W201" t="inlineStr"/>
      <c r="X201" t="inlineStr"/>
      <c r="Y201" t="inlineStr">
        <is>
          <t>Action type: Steps to Enable. You need to ensure that: • You have access to Oracle Corporate Citizenship. • Your administrator has enabled Wellness Administration features for your role. Some function</t>
        </is>
      </c>
      <c r="Z201" t="inlineStr">
        <is>
          <t>Y</t>
        </is>
      </c>
      <c r="AA201" t="inlineStr">
        <is>
          <t>Y</t>
        </is>
      </c>
    </row>
    <row r="202">
      <c r="A202" t="inlineStr">
        <is>
          <t>ASMT_IMP_0177</t>
        </is>
      </c>
      <c r="B202" t="inlineStr">
        <is>
          <t>CLT_DFL001</t>
        </is>
      </c>
      <c r="C202" t="inlineStr">
        <is>
          <t>REL_26C</t>
        </is>
      </c>
      <c r="D202" t="inlineStr">
        <is>
          <t>CHG_IMP_0177</t>
        </is>
      </c>
      <c r="E202" t="inlineStr">
        <is>
          <t>Functional</t>
        </is>
      </c>
      <c r="F202" t="inlineStr">
        <is>
          <t>Configuration</t>
        </is>
      </c>
      <c r="G202" t="inlineStr"/>
      <c r="H202" t="inlineStr">
        <is>
          <t>DFL Human Resources impacted by Oracle 26C change</t>
        </is>
      </c>
      <c r="I202" t="inlineStr">
        <is>
          <t>Y</t>
        </is>
      </c>
      <c r="J202" t="inlineStr">
        <is>
          <t>N</t>
        </is>
      </c>
      <c r="K202" t="inlineStr">
        <is>
          <t>N</t>
        </is>
      </c>
      <c r="L202" t="inlineStr">
        <is>
          <t>N</t>
        </is>
      </c>
      <c r="M202" t="n">
        <v>5</v>
      </c>
      <c r="N202" t="n">
        <v>2</v>
      </c>
      <c r="O202" t="n">
        <v>3</v>
      </c>
      <c r="P202" t="n">
        <v>1</v>
      </c>
      <c r="Q202" t="n">
        <v>3</v>
      </c>
      <c r="R202">
        <f>IFERROR(XLOOKUP(XLOOKUP(D202,tblReleaseChanges[Change_ID],tblReleaseChanges[Oracle_Severity],""),tblSeverityMap[Severity_Text],tblSeverityMap[Score],0),0)</f>
        <v/>
      </c>
      <c r="S202" t="n">
        <v>1</v>
      </c>
      <c r="T202">
        <f>ROUND((M202*0.25)+(N202*0.20)+(O202*0.15)+(P202*0.15)+(Q202*0.10)+(R202*0.10)+(S202*0.05),2)</f>
        <v/>
      </c>
      <c r="U202">
        <f>IF(T202&gt;=4.25,"Critical",IF(T202&gt;=3.5,"High",IF(T202&gt;=2,"Medium","Low")))</f>
        <v/>
      </c>
      <c r="V202" t="inlineStr">
        <is>
          <t>Pending Review</t>
        </is>
      </c>
      <c r="W202" t="inlineStr"/>
      <c r="X202" t="inlineStr"/>
      <c r="Y202" t="inlineStr">
        <is>
          <t>Auto-enabled — no action required</t>
        </is>
      </c>
      <c r="Z202" t="inlineStr">
        <is>
          <t>N</t>
        </is>
      </c>
      <c r="AA202" t="inlineStr">
        <is>
          <t>N</t>
        </is>
      </c>
    </row>
    <row r="203">
      <c r="A203" t="inlineStr">
        <is>
          <t>ASMT_IMP_0178</t>
        </is>
      </c>
      <c r="B203" t="inlineStr">
        <is>
          <t>CLT_DFL001</t>
        </is>
      </c>
      <c r="C203" t="inlineStr">
        <is>
          <t>REL_26C</t>
        </is>
      </c>
      <c r="D203" t="inlineStr">
        <is>
          <t>CHG_IMP_0178</t>
        </is>
      </c>
      <c r="E203" t="inlineStr">
        <is>
          <t>Functional</t>
        </is>
      </c>
      <c r="F203" t="inlineStr">
        <is>
          <t>Configuration</t>
        </is>
      </c>
      <c r="G203" t="inlineStr"/>
      <c r="H203" t="inlineStr">
        <is>
          <t>DFL Human Resources impacted by Oracle 26C change</t>
        </is>
      </c>
      <c r="I203" t="inlineStr">
        <is>
          <t>Y</t>
        </is>
      </c>
      <c r="J203" t="inlineStr">
        <is>
          <t>N</t>
        </is>
      </c>
      <c r="K203" t="inlineStr">
        <is>
          <t>N</t>
        </is>
      </c>
      <c r="L203" t="inlineStr">
        <is>
          <t>N</t>
        </is>
      </c>
      <c r="M203" t="n">
        <v>5</v>
      </c>
      <c r="N203" t="n">
        <v>2</v>
      </c>
      <c r="O203" t="n">
        <v>3</v>
      </c>
      <c r="P203" t="n">
        <v>1</v>
      </c>
      <c r="Q203" t="n">
        <v>3</v>
      </c>
      <c r="R203">
        <f>IFERROR(XLOOKUP(XLOOKUP(D203,tblReleaseChanges[Change_ID],tblReleaseChanges[Oracle_Severity],""),tblSeverityMap[Severity_Text],tblSeverityMap[Score],0),0)</f>
        <v/>
      </c>
      <c r="S203" t="n">
        <v>1</v>
      </c>
      <c r="T203">
        <f>ROUND((M203*0.25)+(N203*0.20)+(O203*0.15)+(P203*0.15)+(Q203*0.10)+(R203*0.10)+(S203*0.05),2)</f>
        <v/>
      </c>
      <c r="U203">
        <f>IF(T203&gt;=4.25,"Critical",IF(T203&gt;=3.5,"High",IF(T203&gt;=2,"Medium","Low")))</f>
        <v/>
      </c>
      <c r="V203" t="inlineStr">
        <is>
          <t>Pending Review</t>
        </is>
      </c>
      <c r="W203" t="inlineStr"/>
      <c r="X203" t="inlineStr"/>
      <c r="Y203" t="inlineStr">
        <is>
          <t>Auto-enabled — no action required</t>
        </is>
      </c>
      <c r="Z203" t="inlineStr">
        <is>
          <t>N</t>
        </is>
      </c>
      <c r="AA203" t="inlineStr">
        <is>
          <t>N</t>
        </is>
      </c>
    </row>
    <row r="204">
      <c r="A204" t="inlineStr">
        <is>
          <t>ASMT_IMP_0179</t>
        </is>
      </c>
      <c r="B204" t="inlineStr">
        <is>
          <t>CLT_DFL001</t>
        </is>
      </c>
      <c r="C204" t="inlineStr">
        <is>
          <t>REL_26C</t>
        </is>
      </c>
      <c r="D204" t="inlineStr">
        <is>
          <t>CHG_IMP_0179</t>
        </is>
      </c>
      <c r="E204" t="inlineStr">
        <is>
          <t>Functional</t>
        </is>
      </c>
      <c r="F204" t="inlineStr">
        <is>
          <t>Configuration</t>
        </is>
      </c>
      <c r="G204" t="inlineStr"/>
      <c r="H204" t="inlineStr">
        <is>
          <t>DFL Human Resources impacted by Oracle 26C change</t>
        </is>
      </c>
      <c r="I204" t="inlineStr">
        <is>
          <t>Y</t>
        </is>
      </c>
      <c r="J204" t="inlineStr">
        <is>
          <t>N</t>
        </is>
      </c>
      <c r="K204" t="inlineStr">
        <is>
          <t>N</t>
        </is>
      </c>
      <c r="L204" t="inlineStr">
        <is>
          <t>N</t>
        </is>
      </c>
      <c r="M204" t="n">
        <v>5</v>
      </c>
      <c r="N204" t="n">
        <v>2</v>
      </c>
      <c r="O204" t="n">
        <v>3</v>
      </c>
      <c r="P204" t="n">
        <v>1</v>
      </c>
      <c r="Q204" t="n">
        <v>3</v>
      </c>
      <c r="R204">
        <f>IFERROR(XLOOKUP(XLOOKUP(D204,tblReleaseChanges[Change_ID],tblReleaseChanges[Oracle_Severity],""),tblSeverityMap[Severity_Text],tblSeverityMap[Score],0),0)</f>
        <v/>
      </c>
      <c r="S204" t="n">
        <v>4</v>
      </c>
      <c r="T204">
        <f>ROUND((M204*0.25)+(N204*0.20)+(O204*0.15)+(P204*0.15)+(Q204*0.10)+(R204*0.10)+(S204*0.05),2)</f>
        <v/>
      </c>
      <c r="U204">
        <f>IF(T204&gt;=4.25,"Critical",IF(T204&gt;=3.5,"High",IF(T204&gt;=2,"Medium","Low")))</f>
        <v/>
      </c>
      <c r="V204" t="inlineStr">
        <is>
          <t>Pending Review</t>
        </is>
      </c>
      <c r="W204" t="inlineStr"/>
      <c r="X204" t="inlineStr"/>
      <c r="Y204" t="inlineStr">
        <is>
          <t>Action type: Steps to Enable. For more information about setting up Oracle Search for List of Values (LOVs), see the Set Up Oracle Search for List of Values chapter in the Oracle</t>
        </is>
      </c>
      <c r="Z204" t="inlineStr">
        <is>
          <t>Y</t>
        </is>
      </c>
      <c r="AA204" t="inlineStr">
        <is>
          <t>Y</t>
        </is>
      </c>
    </row>
    <row r="205">
      <c r="A205" t="inlineStr">
        <is>
          <t>ASMT_IMP_0180</t>
        </is>
      </c>
      <c r="B205" t="inlineStr">
        <is>
          <t>CLT_DFL001</t>
        </is>
      </c>
      <c r="C205" t="inlineStr">
        <is>
          <t>REL_26C</t>
        </is>
      </c>
      <c r="D205" t="inlineStr">
        <is>
          <t>CHG_IMP_0180</t>
        </is>
      </c>
      <c r="E205" t="inlineStr">
        <is>
          <t>Functional</t>
        </is>
      </c>
      <c r="F205" t="inlineStr">
        <is>
          <t>Configuration</t>
        </is>
      </c>
      <c r="G205" t="inlineStr"/>
      <c r="H205" t="inlineStr">
        <is>
          <t>DFL Human Resources impacted by Oracle 26C change</t>
        </is>
      </c>
      <c r="I205" t="inlineStr">
        <is>
          <t>Y</t>
        </is>
      </c>
      <c r="J205" t="inlineStr">
        <is>
          <t>N</t>
        </is>
      </c>
      <c r="K205" t="inlineStr">
        <is>
          <t>N</t>
        </is>
      </c>
      <c r="L205" t="inlineStr">
        <is>
          <t>N</t>
        </is>
      </c>
      <c r="M205" t="n">
        <v>5</v>
      </c>
      <c r="N205" t="n">
        <v>2</v>
      </c>
      <c r="O205" t="n">
        <v>3</v>
      </c>
      <c r="P205" t="n">
        <v>1</v>
      </c>
      <c r="Q205" t="n">
        <v>3</v>
      </c>
      <c r="R205">
        <f>IFERROR(XLOOKUP(XLOOKUP(D205,tblReleaseChanges[Change_ID],tblReleaseChanges[Oracle_Severity],""),tblSeverityMap[Severity_Text],tblSeverityMap[Score],0),0)</f>
        <v/>
      </c>
      <c r="S205" t="n">
        <v>4</v>
      </c>
      <c r="T205">
        <f>ROUND((M205*0.25)+(N205*0.20)+(O205*0.15)+(P205*0.15)+(Q205*0.10)+(R205*0.10)+(S205*0.05),2)</f>
        <v/>
      </c>
      <c r="U205">
        <f>IF(T205&gt;=4.25,"Critical",IF(T205&gt;=3.5,"High",IF(T205&gt;=2,"Medium","Low")))</f>
        <v/>
      </c>
      <c r="V205" t="inlineStr">
        <is>
          <t>Pending Review</t>
        </is>
      </c>
      <c r="W205" t="inlineStr"/>
      <c r="X205" t="inlineStr"/>
      <c r="Y205" t="inlineStr">
        <is>
          <t>Action type: Steps to Enable. • Your environment must have certain necessary configurations. Ask your help desk to contact Oracle Support, who can verify what your environment has an</t>
        </is>
      </c>
      <c r="Z205" t="inlineStr">
        <is>
          <t>Y</t>
        </is>
      </c>
      <c r="AA205" t="inlineStr">
        <is>
          <t>Y</t>
        </is>
      </c>
    </row>
    <row r="206">
      <c r="A206" t="inlineStr">
        <is>
          <t>ASMT_IMP_0181</t>
        </is>
      </c>
      <c r="B206" t="inlineStr">
        <is>
          <t>CLT_DFL001</t>
        </is>
      </c>
      <c r="C206" t="inlineStr">
        <is>
          <t>REL_26C</t>
        </is>
      </c>
      <c r="D206" t="inlineStr">
        <is>
          <t>CHG_IMP_0181</t>
        </is>
      </c>
      <c r="E206" t="inlineStr">
        <is>
          <t>Functional</t>
        </is>
      </c>
      <c r="F206" t="inlineStr">
        <is>
          <t>Configuration</t>
        </is>
      </c>
      <c r="G206" t="inlineStr"/>
      <c r="H206" t="inlineStr">
        <is>
          <t>DFL Human Resources impacted by Oracle 26C change</t>
        </is>
      </c>
      <c r="I206" t="inlineStr">
        <is>
          <t>Y</t>
        </is>
      </c>
      <c r="J206" t="inlineStr">
        <is>
          <t>N</t>
        </is>
      </c>
      <c r="K206" t="inlineStr">
        <is>
          <t>N</t>
        </is>
      </c>
      <c r="L206" t="inlineStr">
        <is>
          <t>N</t>
        </is>
      </c>
      <c r="M206" t="n">
        <v>5</v>
      </c>
      <c r="N206" t="n">
        <v>2</v>
      </c>
      <c r="O206" t="n">
        <v>3</v>
      </c>
      <c r="P206" t="n">
        <v>1</v>
      </c>
      <c r="Q206" t="n">
        <v>3</v>
      </c>
      <c r="R206">
        <f>IFERROR(XLOOKUP(XLOOKUP(D206,tblReleaseChanges[Change_ID],tblReleaseChanges[Oracle_Severity],""),tblSeverityMap[Severity_Text],tblSeverityMap[Score],0),0)</f>
        <v/>
      </c>
      <c r="S206" t="n">
        <v>4</v>
      </c>
      <c r="T206">
        <f>ROUND((M206*0.25)+(N206*0.20)+(O206*0.15)+(P206*0.15)+(Q206*0.10)+(R206*0.10)+(S206*0.05),2)</f>
        <v/>
      </c>
      <c r="U206">
        <f>IF(T206&gt;=4.25,"Critical",IF(T206&gt;=3.5,"High",IF(T206&gt;=2,"Medium","Low")))</f>
        <v/>
      </c>
      <c r="V206" t="inlineStr">
        <is>
          <t>Pending Review</t>
        </is>
      </c>
      <c r="W206" t="inlineStr"/>
      <c r="X206" t="inlineStr"/>
      <c r="Y206" t="inlineStr">
        <is>
          <t>Action type: Steps to Enable. For more information, see this topic: Add Multiple Performers in Journey Task</t>
        </is>
      </c>
      <c r="Z206" t="inlineStr">
        <is>
          <t>Y</t>
        </is>
      </c>
      <c r="AA206" t="inlineStr">
        <is>
          <t>Y</t>
        </is>
      </c>
    </row>
    <row r="207">
      <c r="A207" t="inlineStr">
        <is>
          <t>ASMT_IMP_0182</t>
        </is>
      </c>
      <c r="B207" t="inlineStr">
        <is>
          <t>CLT_DFL001</t>
        </is>
      </c>
      <c r="C207" t="inlineStr">
        <is>
          <t>REL_26C</t>
        </is>
      </c>
      <c r="D207" t="inlineStr">
        <is>
          <t>CHG_IMP_0182</t>
        </is>
      </c>
      <c r="E207" t="inlineStr">
        <is>
          <t>Functional</t>
        </is>
      </c>
      <c r="F207" t="inlineStr">
        <is>
          <t>Configuration</t>
        </is>
      </c>
      <c r="G207" t="inlineStr"/>
      <c r="H207" t="inlineStr">
        <is>
          <t>DFL Human Resources impacted by Oracle 26C change</t>
        </is>
      </c>
      <c r="I207" t="inlineStr">
        <is>
          <t>Y</t>
        </is>
      </c>
      <c r="J207" t="inlineStr">
        <is>
          <t>N</t>
        </is>
      </c>
      <c r="K207" t="inlineStr">
        <is>
          <t>N</t>
        </is>
      </c>
      <c r="L207" t="inlineStr">
        <is>
          <t>N</t>
        </is>
      </c>
      <c r="M207" t="n">
        <v>5</v>
      </c>
      <c r="N207" t="n">
        <v>2</v>
      </c>
      <c r="O207" t="n">
        <v>3</v>
      </c>
      <c r="P207" t="n">
        <v>1</v>
      </c>
      <c r="Q207" t="n">
        <v>3</v>
      </c>
      <c r="R207">
        <f>IFERROR(XLOOKUP(XLOOKUP(D207,tblReleaseChanges[Change_ID],tblReleaseChanges[Oracle_Severity],""),tblSeverityMap[Severity_Text],tblSeverityMap[Score],0),0)</f>
        <v/>
      </c>
      <c r="S207" t="n">
        <v>1</v>
      </c>
      <c r="T207">
        <f>ROUND((M207*0.25)+(N207*0.20)+(O207*0.15)+(P207*0.15)+(Q207*0.10)+(R207*0.10)+(S207*0.05),2)</f>
        <v/>
      </c>
      <c r="U207">
        <f>IF(T207&gt;=4.25,"Critical",IF(T207&gt;=3.5,"High",IF(T207&gt;=2,"Medium","Low")))</f>
        <v/>
      </c>
      <c r="V207" t="inlineStr">
        <is>
          <t>Pending Review</t>
        </is>
      </c>
      <c r="W207" t="inlineStr"/>
      <c r="X207" t="inlineStr"/>
      <c r="Y207" t="inlineStr">
        <is>
          <t>Auto-enabled — no action required</t>
        </is>
      </c>
      <c r="Z207" t="inlineStr">
        <is>
          <t>N</t>
        </is>
      </c>
      <c r="AA207" t="inlineStr">
        <is>
          <t>N</t>
        </is>
      </c>
    </row>
    <row r="208">
      <c r="A208" t="inlineStr">
        <is>
          <t>ASMT_IMP_0183</t>
        </is>
      </c>
      <c r="B208" t="inlineStr">
        <is>
          <t>CLT_DFL001</t>
        </is>
      </c>
      <c r="C208" t="inlineStr">
        <is>
          <t>REL_26C</t>
        </is>
      </c>
      <c r="D208" t="inlineStr">
        <is>
          <t>CHG_IMP_0183</t>
        </is>
      </c>
      <c r="E208" t="inlineStr">
        <is>
          <t>Functional</t>
        </is>
      </c>
      <c r="F208" t="inlineStr">
        <is>
          <t>Configuration</t>
        </is>
      </c>
      <c r="G208" t="inlineStr"/>
      <c r="H208" t="inlineStr">
        <is>
          <t>DFL Human Resources impacted by Oracle 26C change</t>
        </is>
      </c>
      <c r="I208" t="inlineStr">
        <is>
          <t>Y</t>
        </is>
      </c>
      <c r="J208" t="inlineStr">
        <is>
          <t>N</t>
        </is>
      </c>
      <c r="K208" t="inlineStr">
        <is>
          <t>N</t>
        </is>
      </c>
      <c r="L208" t="inlineStr">
        <is>
          <t>N</t>
        </is>
      </c>
      <c r="M208" t="n">
        <v>5</v>
      </c>
      <c r="N208" t="n">
        <v>2</v>
      </c>
      <c r="O208" t="n">
        <v>3</v>
      </c>
      <c r="P208" t="n">
        <v>1</v>
      </c>
      <c r="Q208" t="n">
        <v>3</v>
      </c>
      <c r="R208">
        <f>IFERROR(XLOOKUP(XLOOKUP(D208,tblReleaseChanges[Change_ID],tblReleaseChanges[Oracle_Severity],""),tblSeverityMap[Severity_Text],tblSeverityMap[Score],0),0)</f>
        <v/>
      </c>
      <c r="S208" t="n">
        <v>4</v>
      </c>
      <c r="T208">
        <f>ROUND((M208*0.25)+(N208*0.20)+(O208*0.15)+(P208*0.15)+(Q208*0.10)+(R208*0.10)+(S208*0.05),2)</f>
        <v/>
      </c>
      <c r="U208">
        <f>IF(T208&gt;=4.25,"Critical",IF(T208&gt;=3.5,"High",IF(T208&gt;=2,"Medium","Low")))</f>
        <v/>
      </c>
      <c r="V208" t="inlineStr">
        <is>
          <t>Pending Review</t>
        </is>
      </c>
      <c r="W208" t="inlineStr"/>
      <c r="X208" t="inlineStr"/>
      <c r="Y208" t="inlineStr">
        <is>
          <t>Action type: Steps to Enable. Position Additional Settings • Associate the new additional position synchronization settings contexts with the Enterpris</t>
        </is>
      </c>
      <c r="Z208" t="inlineStr">
        <is>
          <t>Y</t>
        </is>
      </c>
      <c r="AA208" t="inlineStr">
        <is>
          <t>Y</t>
        </is>
      </c>
    </row>
    <row r="209">
      <c r="A209" t="inlineStr">
        <is>
          <t>ASMT_IMP_0184</t>
        </is>
      </c>
      <c r="B209" t="inlineStr">
        <is>
          <t>CLT_DFL001</t>
        </is>
      </c>
      <c r="C209" t="inlineStr">
        <is>
          <t>REL_26C</t>
        </is>
      </c>
      <c r="D209" t="inlineStr">
        <is>
          <t>CHG_IMP_0184</t>
        </is>
      </c>
      <c r="E209" t="inlineStr">
        <is>
          <t>Functional</t>
        </is>
      </c>
      <c r="F209" t="inlineStr">
        <is>
          <t>Configuration</t>
        </is>
      </c>
      <c r="G209" t="inlineStr"/>
      <c r="H209" t="inlineStr">
        <is>
          <t>DFL Human Resources impacted by Oracle 26C change</t>
        </is>
      </c>
      <c r="I209" t="inlineStr">
        <is>
          <t>Y</t>
        </is>
      </c>
      <c r="J209" t="inlineStr">
        <is>
          <t>N</t>
        </is>
      </c>
      <c r="K209" t="inlineStr">
        <is>
          <t>N</t>
        </is>
      </c>
      <c r="L209" t="inlineStr">
        <is>
          <t>N</t>
        </is>
      </c>
      <c r="M209" t="n">
        <v>5</v>
      </c>
      <c r="N209" t="n">
        <v>2</v>
      </c>
      <c r="O209" t="n">
        <v>3</v>
      </c>
      <c r="P209" t="n">
        <v>1</v>
      </c>
      <c r="Q209" t="n">
        <v>3</v>
      </c>
      <c r="R209">
        <f>IFERROR(XLOOKUP(XLOOKUP(D209,tblReleaseChanges[Change_ID],tblReleaseChanges[Oracle_Severity],""),tblSeverityMap[Severity_Text],tblSeverityMap[Score],0),0)</f>
        <v/>
      </c>
      <c r="S209" t="n">
        <v>4</v>
      </c>
      <c r="T209">
        <f>ROUND((M209*0.25)+(N209*0.20)+(O209*0.15)+(P209*0.15)+(Q209*0.10)+(R209*0.10)+(S209*0.05),2)</f>
        <v/>
      </c>
      <c r="U209">
        <f>IF(T209&gt;=4.25,"Critical",IF(T209&gt;=3.5,"High",IF(T209&gt;=2,"Medium","Low")))</f>
        <v/>
      </c>
      <c r="V209" t="inlineStr">
        <is>
          <t>Pending Review</t>
        </is>
      </c>
      <c r="W209" t="inlineStr"/>
      <c r="X209" t="inlineStr"/>
      <c r="Y209" t="inlineStr">
        <is>
          <t>Action type: Steps to Enable. For more information, see Translate Job Name in Multiple Installed Languages in Redwood.</t>
        </is>
      </c>
      <c r="Z209" t="inlineStr">
        <is>
          <t>Y</t>
        </is>
      </c>
      <c r="AA209" t="inlineStr">
        <is>
          <t>Y</t>
        </is>
      </c>
    </row>
    <row r="210">
      <c r="A210" t="inlineStr">
        <is>
          <t>ASMT_IMP_0185</t>
        </is>
      </c>
      <c r="B210" t="inlineStr">
        <is>
          <t>CLT_DFL001</t>
        </is>
      </c>
      <c r="C210" t="inlineStr">
        <is>
          <t>REL_26C</t>
        </is>
      </c>
      <c r="D210" t="inlineStr">
        <is>
          <t>CHG_IMP_0185</t>
        </is>
      </c>
      <c r="E210" t="inlineStr">
        <is>
          <t>AI Feature</t>
        </is>
      </c>
      <c r="F210" t="inlineStr">
        <is>
          <t>Configuration</t>
        </is>
      </c>
      <c r="G210" t="inlineStr"/>
      <c r="H210" t="inlineStr">
        <is>
          <t>DFL Human Resources impacted by Oracle 26C change</t>
        </is>
      </c>
      <c r="I210" t="inlineStr">
        <is>
          <t>Y</t>
        </is>
      </c>
      <c r="J210" t="inlineStr">
        <is>
          <t>N</t>
        </is>
      </c>
      <c r="K210" t="inlineStr">
        <is>
          <t>N</t>
        </is>
      </c>
      <c r="L210" t="inlineStr">
        <is>
          <t>N</t>
        </is>
      </c>
      <c r="M210" t="n">
        <v>5</v>
      </c>
      <c r="N210" t="n">
        <v>2</v>
      </c>
      <c r="O210" t="n">
        <v>3</v>
      </c>
      <c r="P210" t="n">
        <v>3</v>
      </c>
      <c r="Q210" t="n">
        <v>3</v>
      </c>
      <c r="R210">
        <f>IFERROR(XLOOKUP(XLOOKUP(D210,tblReleaseChanges[Change_ID],tblReleaseChanges[Oracle_Severity],""),tblSeverityMap[Severity_Text],tblSeverityMap[Score],0),0)</f>
        <v/>
      </c>
      <c r="S210" t="n">
        <v>4</v>
      </c>
      <c r="T210">
        <f>ROUND((M210*0.25)+(N210*0.20)+(O210*0.15)+(P210*0.15)+(Q210*0.10)+(R210*0.10)+(S210*0.05),2)</f>
        <v/>
      </c>
      <c r="U210">
        <f>IF(T210&gt;=4.25,"Critical",IF(T210&gt;=3.5,"High",IF(T210&gt;=2,"Medium","Low")))</f>
        <v/>
      </c>
      <c r="V210" t="inlineStr">
        <is>
          <t>Pending Review</t>
        </is>
      </c>
      <c r="W210" t="inlineStr"/>
      <c r="X210" t="inlineStr"/>
      <c r="Y210" t="inlineStr">
        <is>
          <t>Action type: Steps to Enable. • Ensure that you have access to Visual Builder Studio (VB Studio). Instances and workspaces should have been correctly set as well. • The Generate butt</t>
        </is>
      </c>
      <c r="Z210" t="inlineStr">
        <is>
          <t>Y</t>
        </is>
      </c>
      <c r="AA210" t="inlineStr">
        <is>
          <t>Y</t>
        </is>
      </c>
    </row>
    <row r="211">
      <c r="A211" t="inlineStr">
        <is>
          <t>ASMT_IMP_0186</t>
        </is>
      </c>
      <c r="B211" t="inlineStr">
        <is>
          <t>CLT_DFL001</t>
        </is>
      </c>
      <c r="C211" t="inlineStr">
        <is>
          <t>REL_26C</t>
        </is>
      </c>
      <c r="D211" t="inlineStr">
        <is>
          <t>CHG_IMP_0186</t>
        </is>
      </c>
      <c r="E211" t="inlineStr">
        <is>
          <t>AI Feature</t>
        </is>
      </c>
      <c r="F211" t="inlineStr">
        <is>
          <t>Configuration</t>
        </is>
      </c>
      <c r="G211" t="inlineStr"/>
      <c r="H211" t="inlineStr">
        <is>
          <t>DFL Human Resources impacted by Oracle 26C change</t>
        </is>
      </c>
      <c r="I211" t="inlineStr">
        <is>
          <t>Y</t>
        </is>
      </c>
      <c r="J211" t="inlineStr">
        <is>
          <t>N</t>
        </is>
      </c>
      <c r="K211" t="inlineStr">
        <is>
          <t>N</t>
        </is>
      </c>
      <c r="L211" t="inlineStr">
        <is>
          <t>N</t>
        </is>
      </c>
      <c r="M211" t="n">
        <v>5</v>
      </c>
      <c r="N211" t="n">
        <v>2</v>
      </c>
      <c r="O211" t="n">
        <v>3</v>
      </c>
      <c r="P211" t="n">
        <v>3</v>
      </c>
      <c r="Q211" t="n">
        <v>3</v>
      </c>
      <c r="R211">
        <f>IFERROR(XLOOKUP(XLOOKUP(D211,tblReleaseChanges[Change_ID],tblReleaseChanges[Oracle_Severity],""),tblSeverityMap[Severity_Text],tblSeverityMap[Score],0),0)</f>
        <v/>
      </c>
      <c r="S211" t="n">
        <v>4</v>
      </c>
      <c r="T211">
        <f>ROUND((M211*0.25)+(N211*0.20)+(O211*0.15)+(P211*0.15)+(Q211*0.10)+(R211*0.10)+(S211*0.05),2)</f>
        <v/>
      </c>
      <c r="U211">
        <f>IF(T211&gt;=4.25,"Critical",IF(T211&gt;=3.5,"High",IF(T211&gt;=2,"Medium","Low")))</f>
        <v/>
      </c>
      <c r="V211" t="inlineStr">
        <is>
          <t>Pending Review</t>
        </is>
      </c>
      <c r="W211" t="inlineStr"/>
      <c r="X211" t="inlineStr"/>
      <c r="Y211" t="inlineStr">
        <is>
          <t>Action type: Steps to Enable. • Ensure that you have access to Visual Builder Studio (VB Studio). Instances and workspaces should have been correctly set as well. • The Genera</t>
        </is>
      </c>
      <c r="Z211" t="inlineStr">
        <is>
          <t>Y</t>
        </is>
      </c>
      <c r="AA211" t="inlineStr">
        <is>
          <t>Y</t>
        </is>
      </c>
    </row>
    <row r="212">
      <c r="A212" t="inlineStr">
        <is>
          <t>ASMT_IMP_0187</t>
        </is>
      </c>
      <c r="B212" t="inlineStr">
        <is>
          <t>CLT_DFL001</t>
        </is>
      </c>
      <c r="C212" t="inlineStr">
        <is>
          <t>REL_26C</t>
        </is>
      </c>
      <c r="D212" t="inlineStr">
        <is>
          <t>CHG_IMP_0187</t>
        </is>
      </c>
      <c r="E212" t="inlineStr">
        <is>
          <t>AI Feature</t>
        </is>
      </c>
      <c r="F212" t="inlineStr">
        <is>
          <t>Configuration</t>
        </is>
      </c>
      <c r="G212" t="inlineStr"/>
      <c r="H212" t="inlineStr">
        <is>
          <t>DFL Human Resources impacted by Oracle 26C change</t>
        </is>
      </c>
      <c r="I212" t="inlineStr">
        <is>
          <t>Y</t>
        </is>
      </c>
      <c r="J212" t="inlineStr">
        <is>
          <t>N</t>
        </is>
      </c>
      <c r="K212" t="inlineStr">
        <is>
          <t>N</t>
        </is>
      </c>
      <c r="L212" t="inlineStr">
        <is>
          <t>N</t>
        </is>
      </c>
      <c r="M212" t="n">
        <v>5</v>
      </c>
      <c r="N212" t="n">
        <v>2</v>
      </c>
      <c r="O212" t="n">
        <v>3</v>
      </c>
      <c r="P212" t="n">
        <v>3</v>
      </c>
      <c r="Q212" t="n">
        <v>3</v>
      </c>
      <c r="R212">
        <f>IFERROR(XLOOKUP(XLOOKUP(D212,tblReleaseChanges[Change_ID],tblReleaseChanges[Oracle_Severity],""),tblSeverityMap[Severity_Text],tblSeverityMap[Score],0),0)</f>
        <v/>
      </c>
      <c r="S212" t="n">
        <v>4</v>
      </c>
      <c r="T212">
        <f>ROUND((M212*0.25)+(N212*0.20)+(O212*0.15)+(P212*0.15)+(Q212*0.10)+(R212*0.10)+(S212*0.05),2)</f>
        <v/>
      </c>
      <c r="U212">
        <f>IF(T212&gt;=4.25,"Critical",IF(T212&gt;=3.5,"High",IF(T212&gt;=2,"Medium","Low")))</f>
        <v/>
      </c>
      <c r="V212" t="inlineStr">
        <is>
          <t>Pending Review</t>
        </is>
      </c>
      <c r="W212" t="inlineStr"/>
      <c r="X212" t="inlineStr"/>
      <c r="Y212" t="inlineStr">
        <is>
          <t>Action type: Steps to Enable. • Ensure that you have access to VB Studio. Instances and workspaces should have been correctly set as well. • The Generate button isn't displayed by</t>
        </is>
      </c>
      <c r="Z212" t="inlineStr">
        <is>
          <t>Y</t>
        </is>
      </c>
      <c r="AA212" t="inlineStr">
        <is>
          <t>Y</t>
        </is>
      </c>
    </row>
    <row r="213">
      <c r="A213" t="inlineStr">
        <is>
          <t>ASMT_IMP_0188</t>
        </is>
      </c>
      <c r="B213" t="inlineStr">
        <is>
          <t>CLT_DFL001</t>
        </is>
      </c>
      <c r="C213" t="inlineStr">
        <is>
          <t>REL_26C</t>
        </is>
      </c>
      <c r="D213" t="inlineStr">
        <is>
          <t>CHG_IMP_0188</t>
        </is>
      </c>
      <c r="E213" t="inlineStr">
        <is>
          <t>AI Feature</t>
        </is>
      </c>
      <c r="F213" t="inlineStr">
        <is>
          <t>Configuration</t>
        </is>
      </c>
      <c r="G213" t="inlineStr"/>
      <c r="H213" t="inlineStr">
        <is>
          <t>DFL Human Resources impacted by Oracle 26C change</t>
        </is>
      </c>
      <c r="I213" t="inlineStr">
        <is>
          <t>Y</t>
        </is>
      </c>
      <c r="J213" t="inlineStr">
        <is>
          <t>N</t>
        </is>
      </c>
      <c r="K213" t="inlineStr">
        <is>
          <t>N</t>
        </is>
      </c>
      <c r="L213" t="inlineStr">
        <is>
          <t>N</t>
        </is>
      </c>
      <c r="M213" t="n">
        <v>5</v>
      </c>
      <c r="N213" t="n">
        <v>2</v>
      </c>
      <c r="O213" t="n">
        <v>3</v>
      </c>
      <c r="P213" t="n">
        <v>3</v>
      </c>
      <c r="Q213" t="n">
        <v>3</v>
      </c>
      <c r="R213">
        <f>IFERROR(XLOOKUP(XLOOKUP(D213,tblReleaseChanges[Change_ID],tblReleaseChanges[Oracle_Severity],""),tblSeverityMap[Severity_Text],tblSeverityMap[Score],0),0)</f>
        <v/>
      </c>
      <c r="S213" t="n">
        <v>4</v>
      </c>
      <c r="T213">
        <f>ROUND((M213*0.25)+(N213*0.20)+(O213*0.15)+(P213*0.15)+(Q213*0.10)+(R213*0.10)+(S213*0.05),2)</f>
        <v/>
      </c>
      <c r="U213">
        <f>IF(T213&gt;=4.25,"Critical",IF(T213&gt;=3.5,"High",IF(T213&gt;=2,"Medium","Low")))</f>
        <v/>
      </c>
      <c r="V213" t="inlineStr">
        <is>
          <t>Pending Review</t>
        </is>
      </c>
      <c r="W213" t="inlineStr"/>
      <c r="X213" t="inlineStr"/>
      <c r="Y213" t="inlineStr">
        <is>
          <t>Action type: Steps to Enable. • Ensure that you have access to Visual Builder Studio (VB Studio). Instances and workspaces should have been correctly set as well. • The Generat</t>
        </is>
      </c>
      <c r="Z213" t="inlineStr">
        <is>
          <t>Y</t>
        </is>
      </c>
      <c r="AA213" t="inlineStr">
        <is>
          <t>Y</t>
        </is>
      </c>
    </row>
    <row r="214">
      <c r="A214" t="inlineStr">
        <is>
          <t>ASMT_IMP_0189</t>
        </is>
      </c>
      <c r="B214" t="inlineStr">
        <is>
          <t>CLT_DFL001</t>
        </is>
      </c>
      <c r="C214" t="inlineStr">
        <is>
          <t>REL_26C</t>
        </is>
      </c>
      <c r="D214" t="inlineStr">
        <is>
          <t>CHG_IMP_0189</t>
        </is>
      </c>
      <c r="E214" t="inlineStr">
        <is>
          <t>Functional</t>
        </is>
      </c>
      <c r="F214" t="inlineStr">
        <is>
          <t>Configuration</t>
        </is>
      </c>
      <c r="G214" t="inlineStr"/>
      <c r="H214" t="inlineStr">
        <is>
          <t>DFL Learning and Development impacted by Oracle 26C change</t>
        </is>
      </c>
      <c r="I214" t="inlineStr">
        <is>
          <t>Y</t>
        </is>
      </c>
      <c r="J214" t="inlineStr">
        <is>
          <t>N</t>
        </is>
      </c>
      <c r="K214" t="inlineStr">
        <is>
          <t>N</t>
        </is>
      </c>
      <c r="L214" t="inlineStr">
        <is>
          <t>N</t>
        </is>
      </c>
      <c r="M214" t="n">
        <v>3</v>
      </c>
      <c r="N214" t="n">
        <v>2</v>
      </c>
      <c r="O214" t="n">
        <v>1</v>
      </c>
      <c r="P214" t="n">
        <v>1</v>
      </c>
      <c r="Q214" t="n">
        <v>3</v>
      </c>
      <c r="R214">
        <f>IFERROR(XLOOKUP(XLOOKUP(D214,tblReleaseChanges[Change_ID],tblReleaseChanges[Oracle_Severity],""),tblSeverityMap[Severity_Text],tblSeverityMap[Score],0),0)</f>
        <v/>
      </c>
      <c r="S214" t="n">
        <v>1</v>
      </c>
      <c r="T214">
        <f>ROUND((M214*0.25)+(N214*0.20)+(O214*0.15)+(P214*0.15)+(Q214*0.10)+(R214*0.10)+(S214*0.05),2)</f>
        <v/>
      </c>
      <c r="U214">
        <f>IF(T214&gt;=4.25,"Critical",IF(T214&gt;=3.5,"High",IF(T214&gt;=2,"Medium","Low")))</f>
        <v/>
      </c>
      <c r="V214" t="inlineStr">
        <is>
          <t>Pending Review</t>
        </is>
      </c>
      <c r="W214" t="inlineStr"/>
      <c r="X214" t="inlineStr"/>
      <c r="Y214" t="inlineStr">
        <is>
          <t>Auto-enabled — no action required</t>
        </is>
      </c>
      <c r="Z214" t="inlineStr">
        <is>
          <t>N</t>
        </is>
      </c>
      <c r="AA214" t="inlineStr">
        <is>
          <t>N</t>
        </is>
      </c>
    </row>
    <row r="215">
      <c r="A215" t="inlineStr">
        <is>
          <t>ASMT_IMP_0190</t>
        </is>
      </c>
      <c r="B215" t="inlineStr">
        <is>
          <t>CLT_DFL001</t>
        </is>
      </c>
      <c r="C215" t="inlineStr">
        <is>
          <t>REL_26C</t>
        </is>
      </c>
      <c r="D215" t="inlineStr">
        <is>
          <t>CHG_IMP_0190</t>
        </is>
      </c>
      <c r="E215" t="inlineStr">
        <is>
          <t>Functional</t>
        </is>
      </c>
      <c r="F215" t="inlineStr">
        <is>
          <t>Configuration</t>
        </is>
      </c>
      <c r="G215" t="inlineStr"/>
      <c r="H215" t="inlineStr">
        <is>
          <t>DFL Learning and Development impacted by Oracle 26C change</t>
        </is>
      </c>
      <c r="I215" t="inlineStr">
        <is>
          <t>Y</t>
        </is>
      </c>
      <c r="J215" t="inlineStr">
        <is>
          <t>N</t>
        </is>
      </c>
      <c r="K215" t="inlineStr">
        <is>
          <t>N</t>
        </is>
      </c>
      <c r="L215" t="inlineStr">
        <is>
          <t>N</t>
        </is>
      </c>
      <c r="M215" t="n">
        <v>3</v>
      </c>
      <c r="N215" t="n">
        <v>2</v>
      </c>
      <c r="O215" t="n">
        <v>1</v>
      </c>
      <c r="P215" t="n">
        <v>1</v>
      </c>
      <c r="Q215" t="n">
        <v>3</v>
      </c>
      <c r="R215">
        <f>IFERROR(XLOOKUP(XLOOKUP(D215,tblReleaseChanges[Change_ID],tblReleaseChanges[Oracle_Severity],""),tblSeverityMap[Severity_Text],tblSeverityMap[Score],0),0)</f>
        <v/>
      </c>
      <c r="S215" t="n">
        <v>2</v>
      </c>
      <c r="T215">
        <f>ROUND((M215*0.25)+(N215*0.20)+(O215*0.15)+(P215*0.15)+(Q215*0.10)+(R215*0.10)+(S215*0.05),2)</f>
        <v/>
      </c>
      <c r="U215">
        <f>IF(T215&gt;=4.25,"Critical",IF(T215&gt;=3.5,"High",IF(T215&gt;=2,"Medium","Low")))</f>
        <v/>
      </c>
      <c r="V215" t="inlineStr">
        <is>
          <t>Pending Review</t>
        </is>
      </c>
      <c r="W215" t="inlineStr"/>
      <c r="X215" t="inlineStr"/>
      <c r="Y215" t="inlineStr">
        <is>
          <t>Action type: Steps to Enable. If you haven't already, enable Redwood Assignment Management to use this feature.</t>
        </is>
      </c>
      <c r="Z215" t="inlineStr">
        <is>
          <t>Y</t>
        </is>
      </c>
      <c r="AA215" t="inlineStr">
        <is>
          <t>N</t>
        </is>
      </c>
    </row>
    <row r="216">
      <c r="A216" t="inlineStr">
        <is>
          <t>ASMT_IMP_0191</t>
        </is>
      </c>
      <c r="B216" t="inlineStr">
        <is>
          <t>CLT_DFL001</t>
        </is>
      </c>
      <c r="C216" t="inlineStr">
        <is>
          <t>REL_26C</t>
        </is>
      </c>
      <c r="D216" t="inlineStr">
        <is>
          <t>CHG_IMP_0191</t>
        </is>
      </c>
      <c r="E216" t="inlineStr">
        <is>
          <t>Functional</t>
        </is>
      </c>
      <c r="F216" t="inlineStr">
        <is>
          <t>Configuration</t>
        </is>
      </c>
      <c r="G216" t="inlineStr"/>
      <c r="H216" t="inlineStr">
        <is>
          <t>DFL Learning and Development impacted by Oracle 26C change</t>
        </is>
      </c>
      <c r="I216" t="inlineStr">
        <is>
          <t>Y</t>
        </is>
      </c>
      <c r="J216" t="inlineStr">
        <is>
          <t>N</t>
        </is>
      </c>
      <c r="K216" t="inlineStr">
        <is>
          <t>N</t>
        </is>
      </c>
      <c r="L216" t="inlineStr">
        <is>
          <t>N</t>
        </is>
      </c>
      <c r="M216" t="n">
        <v>3</v>
      </c>
      <c r="N216" t="n">
        <v>2</v>
      </c>
      <c r="O216" t="n">
        <v>1</v>
      </c>
      <c r="P216" t="n">
        <v>1</v>
      </c>
      <c r="Q216" t="n">
        <v>3</v>
      </c>
      <c r="R216">
        <f>IFERROR(XLOOKUP(XLOOKUP(D216,tblReleaseChanges[Change_ID],tblReleaseChanges[Oracle_Severity],""),tblSeverityMap[Severity_Text],tblSeverityMap[Score],0),0)</f>
        <v/>
      </c>
      <c r="S216" t="n">
        <v>2</v>
      </c>
      <c r="T216">
        <f>ROUND((M216*0.25)+(N216*0.20)+(O216*0.15)+(P216*0.15)+(Q216*0.10)+(R216*0.10)+(S216*0.05),2)</f>
        <v/>
      </c>
      <c r="U216">
        <f>IF(T216&gt;=4.25,"Critical",IF(T216&gt;=3.5,"High",IF(T216&gt;=2,"Medium","Low")))</f>
        <v/>
      </c>
      <c r="V216" t="inlineStr">
        <is>
          <t>Pending Review</t>
        </is>
      </c>
      <c r="W216" t="inlineStr"/>
      <c r="X216" t="inlineStr"/>
      <c r="Y216" t="inlineStr">
        <is>
          <t xml:space="preserve">Action type: Steps to Enable. This feature is enabled by default. The buttons can be shown or hidden using the Visual Studio page property, **Show Make Public Make It Private Buttons**. For details </t>
        </is>
      </c>
      <c r="Z216" t="inlineStr">
        <is>
          <t>Y</t>
        </is>
      </c>
      <c r="AA216" t="inlineStr">
        <is>
          <t>N</t>
        </is>
      </c>
    </row>
    <row r="217">
      <c r="A217" t="inlineStr">
        <is>
          <t>ASMT_IMP_0192</t>
        </is>
      </c>
      <c r="B217" t="inlineStr">
        <is>
          <t>CLT_DFL001</t>
        </is>
      </c>
      <c r="C217" t="inlineStr">
        <is>
          <t>REL_26C</t>
        </is>
      </c>
      <c r="D217" t="inlineStr">
        <is>
          <t>CHG_IMP_0192</t>
        </is>
      </c>
      <c r="E217" t="inlineStr">
        <is>
          <t>Functional</t>
        </is>
      </c>
      <c r="F217" t="inlineStr">
        <is>
          <t>Configuration</t>
        </is>
      </c>
      <c r="G217" t="inlineStr"/>
      <c r="H217" t="inlineStr">
        <is>
          <t>DFL Learning and Development impacted by Oracle 26C change</t>
        </is>
      </c>
      <c r="I217" t="inlineStr">
        <is>
          <t>Y</t>
        </is>
      </c>
      <c r="J217" t="inlineStr">
        <is>
          <t>N</t>
        </is>
      </c>
      <c r="K217" t="inlineStr">
        <is>
          <t>N</t>
        </is>
      </c>
      <c r="L217" t="inlineStr">
        <is>
          <t>N</t>
        </is>
      </c>
      <c r="M217" t="n">
        <v>3</v>
      </c>
      <c r="N217" t="n">
        <v>2</v>
      </c>
      <c r="O217" t="n">
        <v>1</v>
      </c>
      <c r="P217" t="n">
        <v>1</v>
      </c>
      <c r="Q217" t="n">
        <v>3</v>
      </c>
      <c r="R217">
        <f>IFERROR(XLOOKUP(XLOOKUP(D217,tblReleaseChanges[Change_ID],tblReleaseChanges[Oracle_Severity],""),tblSeverityMap[Severity_Text],tblSeverityMap[Score],0),0)</f>
        <v/>
      </c>
      <c r="S217" t="n">
        <v>2</v>
      </c>
      <c r="T217">
        <f>ROUND((M217*0.25)+(N217*0.20)+(O217*0.15)+(P217*0.15)+(Q217*0.10)+(R217*0.10)+(S217*0.05),2)</f>
        <v/>
      </c>
      <c r="U217">
        <f>IF(T217&gt;=4.25,"Critical",IF(T217&gt;=3.5,"High",IF(T217&gt;=2,"Medium","Low")))</f>
        <v/>
      </c>
      <c r="V217" t="inlineStr">
        <is>
          <t>Pending Review</t>
        </is>
      </c>
      <c r="W217" t="inlineStr"/>
      <c r="X217" t="inlineStr"/>
      <c r="Y217" t="inlineStr">
        <is>
          <t>Action type: Steps to Enable. This feature is disabled by default. 1. In Visual Builder Studio, set the Show Enroll on Primary Actions Menu for Course Details Pages page property to **True**.</t>
        </is>
      </c>
      <c r="Z217" t="inlineStr">
        <is>
          <t>Y</t>
        </is>
      </c>
      <c r="AA217" t="inlineStr">
        <is>
          <t>N</t>
        </is>
      </c>
    </row>
    <row r="218">
      <c r="A218" t="inlineStr">
        <is>
          <t>ASMT_IMP_0193</t>
        </is>
      </c>
      <c r="B218" t="inlineStr">
        <is>
          <t>CLT_DFL001</t>
        </is>
      </c>
      <c r="C218" t="inlineStr">
        <is>
          <t>REL_26C</t>
        </is>
      </c>
      <c r="D218" t="inlineStr">
        <is>
          <t>CHG_IMP_0193</t>
        </is>
      </c>
      <c r="E218" t="inlineStr">
        <is>
          <t>Functional</t>
        </is>
      </c>
      <c r="F218" t="inlineStr">
        <is>
          <t>Configuration</t>
        </is>
      </c>
      <c r="G218" t="inlineStr"/>
      <c r="H218" t="inlineStr">
        <is>
          <t>DFL Learning and Development impacted by Oracle 26C change</t>
        </is>
      </c>
      <c r="I218" t="inlineStr">
        <is>
          <t>Y</t>
        </is>
      </c>
      <c r="J218" t="inlineStr">
        <is>
          <t>N</t>
        </is>
      </c>
      <c r="K218" t="inlineStr">
        <is>
          <t>N</t>
        </is>
      </c>
      <c r="L218" t="inlineStr">
        <is>
          <t>N</t>
        </is>
      </c>
      <c r="M218" t="n">
        <v>3</v>
      </c>
      <c r="N218" t="n">
        <v>2</v>
      </c>
      <c r="O218" t="n">
        <v>1</v>
      </c>
      <c r="P218" t="n">
        <v>1</v>
      </c>
      <c r="Q218" t="n">
        <v>3</v>
      </c>
      <c r="R218">
        <f>IFERROR(XLOOKUP(XLOOKUP(D218,tblReleaseChanges[Change_ID],tblReleaseChanges[Oracle_Severity],""),tblSeverityMap[Severity_Text],tblSeverityMap[Score],0),0)</f>
        <v/>
      </c>
      <c r="S218" t="n">
        <v>1</v>
      </c>
      <c r="T218">
        <f>ROUND((M218*0.25)+(N218*0.20)+(O218*0.15)+(P218*0.15)+(Q218*0.10)+(R218*0.10)+(S218*0.05),2)</f>
        <v/>
      </c>
      <c r="U218">
        <f>IF(T218&gt;=4.25,"Critical",IF(T218&gt;=3.5,"High",IF(T218&gt;=2,"Medium","Low")))</f>
        <v/>
      </c>
      <c r="V218" t="inlineStr">
        <is>
          <t>Pending Review</t>
        </is>
      </c>
      <c r="W218" t="inlineStr"/>
      <c r="X218" t="inlineStr"/>
      <c r="Y218" t="inlineStr">
        <is>
          <t>Auto-enabled — no action required</t>
        </is>
      </c>
      <c r="Z218" t="inlineStr">
        <is>
          <t>N</t>
        </is>
      </c>
      <c r="AA218" t="inlineStr">
        <is>
          <t>N</t>
        </is>
      </c>
    </row>
    <row r="219">
      <c r="A219" t="inlineStr">
        <is>
          <t>ASMT_IMP_0194</t>
        </is>
      </c>
      <c r="B219" t="inlineStr">
        <is>
          <t>CLT_DFL001</t>
        </is>
      </c>
      <c r="C219" t="inlineStr">
        <is>
          <t>REL_26C</t>
        </is>
      </c>
      <c r="D219" t="inlineStr">
        <is>
          <t>CHG_IMP_0194</t>
        </is>
      </c>
      <c r="E219" t="inlineStr">
        <is>
          <t>Functional</t>
        </is>
      </c>
      <c r="F219" t="inlineStr">
        <is>
          <t>Configuration</t>
        </is>
      </c>
      <c r="G219" t="inlineStr"/>
      <c r="H219" t="inlineStr">
        <is>
          <t>DFL Learning and Development impacted by Oracle 26C change</t>
        </is>
      </c>
      <c r="I219" t="inlineStr">
        <is>
          <t>Y</t>
        </is>
      </c>
      <c r="J219" t="inlineStr">
        <is>
          <t>N</t>
        </is>
      </c>
      <c r="K219" t="inlineStr">
        <is>
          <t>N</t>
        </is>
      </c>
      <c r="L219" t="inlineStr">
        <is>
          <t>N</t>
        </is>
      </c>
      <c r="M219" t="n">
        <v>3</v>
      </c>
      <c r="N219" t="n">
        <v>2</v>
      </c>
      <c r="O219" t="n">
        <v>1</v>
      </c>
      <c r="P219" t="n">
        <v>1</v>
      </c>
      <c r="Q219" t="n">
        <v>3</v>
      </c>
      <c r="R219">
        <f>IFERROR(XLOOKUP(XLOOKUP(D219,tblReleaseChanges[Change_ID],tblReleaseChanges[Oracle_Severity],""),tblSeverityMap[Severity_Text],tblSeverityMap[Score],0),0)</f>
        <v/>
      </c>
      <c r="S219" t="n">
        <v>2</v>
      </c>
      <c r="T219">
        <f>ROUND((M219*0.25)+(N219*0.20)+(O219*0.15)+(P219*0.15)+(Q219*0.10)+(R219*0.10)+(S219*0.05),2)</f>
        <v/>
      </c>
      <c r="U219">
        <f>IF(T219&gt;=4.25,"Critical",IF(T219&gt;=3.5,"High",IF(T219&gt;=2,"Medium","Low")))</f>
        <v/>
      </c>
      <c r="V219" t="inlineStr">
        <is>
          <t>Pending Review</t>
        </is>
      </c>
      <c r="W219" t="inlineStr"/>
      <c r="X219" t="inlineStr"/>
      <c r="Y219" t="inlineStr">
        <is>
          <t>Action type: Steps to Enable. Set Up Harvard Business Impact Integration with Oracle Learning.</t>
        </is>
      </c>
      <c r="Z219" t="inlineStr">
        <is>
          <t>Y</t>
        </is>
      </c>
      <c r="AA219" t="inlineStr">
        <is>
          <t>N</t>
        </is>
      </c>
    </row>
    <row r="220">
      <c r="A220" t="inlineStr">
        <is>
          <t>ASMT_IMP_0195</t>
        </is>
      </c>
      <c r="B220" t="inlineStr">
        <is>
          <t>CLT_DFL001</t>
        </is>
      </c>
      <c r="C220" t="inlineStr">
        <is>
          <t>REL_26C</t>
        </is>
      </c>
      <c r="D220" t="inlineStr">
        <is>
          <t>CHG_IMP_0195</t>
        </is>
      </c>
      <c r="E220" t="inlineStr">
        <is>
          <t>Functional</t>
        </is>
      </c>
      <c r="F220" t="inlineStr">
        <is>
          <t>Configuration</t>
        </is>
      </c>
      <c r="G220" t="inlineStr"/>
      <c r="H220" t="inlineStr">
        <is>
          <t>DFL Learning and Development impacted by Oracle 26C change</t>
        </is>
      </c>
      <c r="I220" t="inlineStr">
        <is>
          <t>Y</t>
        </is>
      </c>
      <c r="J220" t="inlineStr">
        <is>
          <t>N</t>
        </is>
      </c>
      <c r="K220" t="inlineStr">
        <is>
          <t>N</t>
        </is>
      </c>
      <c r="L220" t="inlineStr">
        <is>
          <t>N</t>
        </is>
      </c>
      <c r="M220" t="n">
        <v>3</v>
      </c>
      <c r="N220" t="n">
        <v>2</v>
      </c>
      <c r="O220" t="n">
        <v>1</v>
      </c>
      <c r="P220" t="n">
        <v>1</v>
      </c>
      <c r="Q220" t="n">
        <v>3</v>
      </c>
      <c r="R220">
        <f>IFERROR(XLOOKUP(XLOOKUP(D220,tblReleaseChanges[Change_ID],tblReleaseChanges[Oracle_Severity],""),tblSeverityMap[Severity_Text],tblSeverityMap[Score],0),0)</f>
        <v/>
      </c>
      <c r="S220" t="n">
        <v>2</v>
      </c>
      <c r="T220">
        <f>ROUND((M220*0.25)+(N220*0.20)+(O220*0.15)+(P220*0.15)+(Q220*0.10)+(R220*0.10)+(S220*0.05),2)</f>
        <v/>
      </c>
      <c r="U220">
        <f>IF(T220&gt;=4.25,"Critical",IF(T220&gt;=3.5,"High",IF(T220&gt;=2,"Medium","Low")))</f>
        <v/>
      </c>
      <c r="V220" t="inlineStr">
        <is>
          <t>Pending Review</t>
        </is>
      </c>
      <c r="W220" t="inlineStr"/>
      <c r="X220" t="inlineStr"/>
      <c r="Y220" t="inlineStr">
        <is>
          <t>Action type: Steps to Enable. 1. Submit the **ESS job to create index definition and perform initial ingest to OSCS** process with the **fa-hcm-learningrecordtask** input parameter. Go to Tools &gt; Sche</t>
        </is>
      </c>
      <c r="Z220" t="inlineStr">
        <is>
          <t>Y</t>
        </is>
      </c>
      <c r="AA220" t="inlineStr">
        <is>
          <t>N</t>
        </is>
      </c>
    </row>
    <row r="221">
      <c r="A221" t="inlineStr">
        <is>
          <t>ASMT_IMP_0196</t>
        </is>
      </c>
      <c r="B221" t="inlineStr">
        <is>
          <t>CLT_DFL001</t>
        </is>
      </c>
      <c r="C221" t="inlineStr">
        <is>
          <t>REL_26C</t>
        </is>
      </c>
      <c r="D221" t="inlineStr">
        <is>
          <t>CHG_IMP_0196</t>
        </is>
      </c>
      <c r="E221" t="inlineStr">
        <is>
          <t>Functional</t>
        </is>
      </c>
      <c r="F221" t="inlineStr">
        <is>
          <t>Configuration</t>
        </is>
      </c>
      <c r="G221" t="inlineStr"/>
      <c r="H221" t="inlineStr">
        <is>
          <t>DFL Learning and Development impacted by Oracle 26C change</t>
        </is>
      </c>
      <c r="I221" t="inlineStr">
        <is>
          <t>Y</t>
        </is>
      </c>
      <c r="J221" t="inlineStr">
        <is>
          <t>N</t>
        </is>
      </c>
      <c r="K221" t="inlineStr">
        <is>
          <t>N</t>
        </is>
      </c>
      <c r="L221" t="inlineStr">
        <is>
          <t>N</t>
        </is>
      </c>
      <c r="M221" t="n">
        <v>3</v>
      </c>
      <c r="N221" t="n">
        <v>2</v>
      </c>
      <c r="O221" t="n">
        <v>1</v>
      </c>
      <c r="P221" t="n">
        <v>1</v>
      </c>
      <c r="Q221" t="n">
        <v>3</v>
      </c>
      <c r="R221">
        <f>IFERROR(XLOOKUP(XLOOKUP(D221,tblReleaseChanges[Change_ID],tblReleaseChanges[Oracle_Severity],""),tblSeverityMap[Severity_Text],tblSeverityMap[Score],0),0)</f>
        <v/>
      </c>
      <c r="S221" t="n">
        <v>2</v>
      </c>
      <c r="T221">
        <f>ROUND((M221*0.25)+(N221*0.20)+(O221*0.15)+(P221*0.15)+(Q221*0.10)+(R221*0.10)+(S221*0.05),2)</f>
        <v/>
      </c>
      <c r="U221">
        <f>IF(T221&gt;=4.25,"Critical",IF(T221&gt;=3.5,"High",IF(T221&gt;=2,"Medium","Low")))</f>
        <v/>
      </c>
      <c r="V221" t="inlineStr">
        <is>
          <t>Pending Review</t>
        </is>
      </c>
      <c r="W221" t="inlineStr"/>
      <c r="X221" t="inlineStr"/>
      <c r="Y221" t="inlineStr">
        <is>
          <t>Action type: Steps to Enable. 1. Sign in to AI Agent Studio. 2. Deploy the AI agent team using the delivered template. 1. Find the **Business Ethics Example Agentic Course** template. 2. Copy the temp</t>
        </is>
      </c>
      <c r="Z221" t="inlineStr">
        <is>
          <t>Y</t>
        </is>
      </c>
      <c r="AA221" t="inlineStr">
        <is>
          <t>N</t>
        </is>
      </c>
    </row>
    <row r="222">
      <c r="A222" t="inlineStr">
        <is>
          <t>ASMT_IMP_0197</t>
        </is>
      </c>
      <c r="B222" t="inlineStr">
        <is>
          <t>CLT_DFL001</t>
        </is>
      </c>
      <c r="C222" t="inlineStr">
        <is>
          <t>REL_26C</t>
        </is>
      </c>
      <c r="D222" t="inlineStr">
        <is>
          <t>CHG_IMP_0197</t>
        </is>
      </c>
      <c r="E222" t="inlineStr">
        <is>
          <t>Functional</t>
        </is>
      </c>
      <c r="F222" t="inlineStr">
        <is>
          <t>Configuration</t>
        </is>
      </c>
      <c r="G222" t="inlineStr"/>
      <c r="H222" t="inlineStr">
        <is>
          <t>DFL Learning and Development impacted by Oracle 26C change</t>
        </is>
      </c>
      <c r="I222" t="inlineStr">
        <is>
          <t>Y</t>
        </is>
      </c>
      <c r="J222" t="inlineStr">
        <is>
          <t>N</t>
        </is>
      </c>
      <c r="K222" t="inlineStr">
        <is>
          <t>N</t>
        </is>
      </c>
      <c r="L222" t="inlineStr">
        <is>
          <t>N</t>
        </is>
      </c>
      <c r="M222" t="n">
        <v>3</v>
      </c>
      <c r="N222" t="n">
        <v>2</v>
      </c>
      <c r="O222" t="n">
        <v>1</v>
      </c>
      <c r="P222" t="n">
        <v>1</v>
      </c>
      <c r="Q222" t="n">
        <v>3</v>
      </c>
      <c r="R222">
        <f>IFERROR(XLOOKUP(XLOOKUP(D222,tblReleaseChanges[Change_ID],tblReleaseChanges[Oracle_Severity],""),tblSeverityMap[Severity_Text],tblSeverityMap[Score],0),0)</f>
        <v/>
      </c>
      <c r="S222" t="n">
        <v>2</v>
      </c>
      <c r="T222">
        <f>ROUND((M222*0.25)+(N222*0.20)+(O222*0.15)+(P222*0.15)+(Q222*0.10)+(R222*0.10)+(S222*0.05),2)</f>
        <v/>
      </c>
      <c r="U222">
        <f>IF(T222&gt;=4.25,"Critical",IF(T222&gt;=3.5,"High",IF(T222&gt;=2,"Medium","Low")))</f>
        <v/>
      </c>
      <c r="V222" t="inlineStr">
        <is>
          <t>Pending Review</t>
        </is>
      </c>
      <c r="W222" t="inlineStr"/>
      <c r="X222" t="inlineStr"/>
      <c r="Y222" t="inlineStr">
        <is>
          <t>Action type: Steps to Enable. If you already enabled **Update Assignments** button for learning events, you don't need to do anything for events. You do need to enable it for all other r</t>
        </is>
      </c>
      <c r="Z222" t="inlineStr">
        <is>
          <t>Y</t>
        </is>
      </c>
      <c r="AA222" t="inlineStr">
        <is>
          <t>N</t>
        </is>
      </c>
    </row>
    <row r="223">
      <c r="A223" t="inlineStr">
        <is>
          <t>ASMT_IMP_0198</t>
        </is>
      </c>
      <c r="B223" t="inlineStr">
        <is>
          <t>CLT_DFL001</t>
        </is>
      </c>
      <c r="C223" t="inlineStr">
        <is>
          <t>REL_26C</t>
        </is>
      </c>
      <c r="D223" t="inlineStr">
        <is>
          <t>CHG_IMP_0198</t>
        </is>
      </c>
      <c r="E223" t="inlineStr">
        <is>
          <t>Functional</t>
        </is>
      </c>
      <c r="F223" t="inlineStr">
        <is>
          <t>Configuration</t>
        </is>
      </c>
      <c r="G223" t="inlineStr"/>
      <c r="H223" t="inlineStr">
        <is>
          <t>DFL Learning and Development impacted by Oracle 26C change</t>
        </is>
      </c>
      <c r="I223" t="inlineStr">
        <is>
          <t>Y</t>
        </is>
      </c>
      <c r="J223" t="inlineStr">
        <is>
          <t>N</t>
        </is>
      </c>
      <c r="K223" t="inlineStr">
        <is>
          <t>N</t>
        </is>
      </c>
      <c r="L223" t="inlineStr">
        <is>
          <t>N</t>
        </is>
      </c>
      <c r="M223" t="n">
        <v>3</v>
      </c>
      <c r="N223" t="n">
        <v>2</v>
      </c>
      <c r="O223" t="n">
        <v>1</v>
      </c>
      <c r="P223" t="n">
        <v>1</v>
      </c>
      <c r="Q223" t="n">
        <v>3</v>
      </c>
      <c r="R223">
        <f>IFERROR(XLOOKUP(XLOOKUP(D223,tblReleaseChanges[Change_ID],tblReleaseChanges[Oracle_Severity],""),tblSeverityMap[Severity_Text],tblSeverityMap[Score],0),0)</f>
        <v/>
      </c>
      <c r="S223" t="n">
        <v>2</v>
      </c>
      <c r="T223">
        <f>ROUND((M223*0.25)+(N223*0.20)+(O223*0.15)+(P223*0.15)+(Q223*0.10)+(R223*0.10)+(S223*0.05),2)</f>
        <v/>
      </c>
      <c r="U223">
        <f>IF(T223&gt;=4.25,"Critical",IF(T223&gt;=3.5,"High",IF(T223&gt;=2,"Medium","Low")))</f>
        <v/>
      </c>
      <c r="V223" t="inlineStr">
        <is>
          <t>Pending Review</t>
        </is>
      </c>
      <c r="W223" t="inlineStr"/>
      <c r="X223" t="inlineStr"/>
      <c r="Y223" t="inlineStr">
        <is>
          <t>Action type: Steps to Enable. 1. Submit the ESS job to create the index definition and perform the initial ingest to OSCS process using this input parameter: fa-hcm-learningrecordtask Go to Tools &gt; Sc</t>
        </is>
      </c>
      <c r="Z223" t="inlineStr">
        <is>
          <t>Y</t>
        </is>
      </c>
      <c r="AA223" t="inlineStr">
        <is>
          <t>N</t>
        </is>
      </c>
    </row>
    <row r="224">
      <c r="A224" t="inlineStr">
        <is>
          <t>ASMT_IMP_0199</t>
        </is>
      </c>
      <c r="B224" t="inlineStr">
        <is>
          <t>CLT_DFL001</t>
        </is>
      </c>
      <c r="C224" t="inlineStr">
        <is>
          <t>REL_26C</t>
        </is>
      </c>
      <c r="D224" t="inlineStr">
        <is>
          <t>CHG_IMP_0199</t>
        </is>
      </c>
      <c r="E224" t="inlineStr">
        <is>
          <t>Functional</t>
        </is>
      </c>
      <c r="F224" t="inlineStr">
        <is>
          <t>Configuration</t>
        </is>
      </c>
      <c r="G224" t="inlineStr"/>
      <c r="H224" t="inlineStr">
        <is>
          <t>DFL Learning and Development impacted by Oracle 26C change</t>
        </is>
      </c>
      <c r="I224" t="inlineStr">
        <is>
          <t>Y</t>
        </is>
      </c>
      <c r="J224" t="inlineStr">
        <is>
          <t>N</t>
        </is>
      </c>
      <c r="K224" t="inlineStr">
        <is>
          <t>N</t>
        </is>
      </c>
      <c r="L224" t="inlineStr">
        <is>
          <t>N</t>
        </is>
      </c>
      <c r="M224" t="n">
        <v>3</v>
      </c>
      <c r="N224" t="n">
        <v>2</v>
      </c>
      <c r="O224" t="n">
        <v>1</v>
      </c>
      <c r="P224" t="n">
        <v>1</v>
      </c>
      <c r="Q224" t="n">
        <v>3</v>
      </c>
      <c r="R224">
        <f>IFERROR(XLOOKUP(XLOOKUP(D224,tblReleaseChanges[Change_ID],tblReleaseChanges[Oracle_Severity],""),tblSeverityMap[Severity_Text],tblSeverityMap[Score],0),0)</f>
        <v/>
      </c>
      <c r="S224" t="n">
        <v>2</v>
      </c>
      <c r="T224">
        <f>ROUND((M224*0.25)+(N224*0.20)+(O224*0.15)+(P224*0.15)+(Q224*0.10)+(R224*0.10)+(S224*0.05),2)</f>
        <v/>
      </c>
      <c r="U224">
        <f>IF(T224&gt;=4.25,"Critical",IF(T224&gt;=3.5,"High",IF(T224&gt;=2,"Medium","Low")))</f>
        <v/>
      </c>
      <c r="V224" t="inlineStr">
        <is>
          <t>Pending Review</t>
        </is>
      </c>
      <c r="W224" t="inlineStr"/>
      <c r="X224" t="inlineStr"/>
      <c r="Y224" t="inlineStr">
        <is>
          <t>Action type: Steps to Enable. 1. Set up unified learning catalog administration and access control 2. Set the site-level profile value to Y for the ORA_WLF_ENABLE_ADMIN_LEARNING_CATALOG_CALENDAR profi</t>
        </is>
      </c>
      <c r="Z224" t="inlineStr">
        <is>
          <t>Y</t>
        </is>
      </c>
      <c r="AA224" t="inlineStr">
        <is>
          <t>N</t>
        </is>
      </c>
    </row>
    <row r="225">
      <c r="A225" t="inlineStr">
        <is>
          <t>ASMT_IMP_0200</t>
        </is>
      </c>
      <c r="B225" t="inlineStr">
        <is>
          <t>CLT_DFL001</t>
        </is>
      </c>
      <c r="C225" t="inlineStr">
        <is>
          <t>REL_26C</t>
        </is>
      </c>
      <c r="D225" t="inlineStr">
        <is>
          <t>CHG_IMP_0200</t>
        </is>
      </c>
      <c r="E225" t="inlineStr">
        <is>
          <t>Functional</t>
        </is>
      </c>
      <c r="F225" t="inlineStr">
        <is>
          <t>Configuration</t>
        </is>
      </c>
      <c r="G225" t="inlineStr"/>
      <c r="H225" t="inlineStr">
        <is>
          <t>DFL Learning and Development impacted by Oracle 26C change</t>
        </is>
      </c>
      <c r="I225" t="inlineStr">
        <is>
          <t>Y</t>
        </is>
      </c>
      <c r="J225" t="inlineStr">
        <is>
          <t>N</t>
        </is>
      </c>
      <c r="K225" t="inlineStr">
        <is>
          <t>N</t>
        </is>
      </c>
      <c r="L225" t="inlineStr">
        <is>
          <t>N</t>
        </is>
      </c>
      <c r="M225" t="n">
        <v>3</v>
      </c>
      <c r="N225" t="n">
        <v>2</v>
      </c>
      <c r="O225" t="n">
        <v>1</v>
      </c>
      <c r="P225" t="n">
        <v>1</v>
      </c>
      <c r="Q225" t="n">
        <v>3</v>
      </c>
      <c r="R225">
        <f>IFERROR(XLOOKUP(XLOOKUP(D225,tblReleaseChanges[Change_ID],tblReleaseChanges[Oracle_Severity],""),tblSeverityMap[Severity_Text],tblSeverityMap[Score],0),0)</f>
        <v/>
      </c>
      <c r="S225" t="n">
        <v>2</v>
      </c>
      <c r="T225">
        <f>ROUND((M225*0.25)+(N225*0.20)+(O225*0.15)+(P225*0.15)+(Q225*0.10)+(R225*0.10)+(S225*0.05),2)</f>
        <v/>
      </c>
      <c r="U225">
        <f>IF(T225&gt;=4.25,"Critical",IF(T225&gt;=3.5,"High",IF(T225&gt;=2,"Medium","Low")))</f>
        <v/>
      </c>
      <c r="V225" t="inlineStr">
        <is>
          <t>Pending Review</t>
        </is>
      </c>
      <c r="W225" t="inlineStr"/>
      <c r="X225" t="inlineStr"/>
      <c r="Y225" t="inlineStr">
        <is>
          <t>Action type: Steps to Enable. Set the site-level profile value to **Yes** for the ORA_WLF_ENABLE_ADVANCED_MEETING_OPTIONS profile option. The default value is **No**.</t>
        </is>
      </c>
      <c r="Z225" t="inlineStr">
        <is>
          <t>Y</t>
        </is>
      </c>
      <c r="AA225" t="inlineStr">
        <is>
          <t>N</t>
        </is>
      </c>
    </row>
    <row r="226">
      <c r="A226" t="inlineStr">
        <is>
          <t>ASMT_IMP_0201</t>
        </is>
      </c>
      <c r="B226" t="inlineStr">
        <is>
          <t>CLT_DFL001</t>
        </is>
      </c>
      <c r="C226" t="inlineStr">
        <is>
          <t>REL_26C</t>
        </is>
      </c>
      <c r="D226" t="inlineStr">
        <is>
          <t>CHG_IMP_0201</t>
        </is>
      </c>
      <c r="E226" t="inlineStr">
        <is>
          <t>Functional</t>
        </is>
      </c>
      <c r="F226" t="inlineStr">
        <is>
          <t>Configuration</t>
        </is>
      </c>
      <c r="G226" t="inlineStr"/>
      <c r="H226" t="inlineStr">
        <is>
          <t>DFL Learning and Development impacted by Oracle 26C change</t>
        </is>
      </c>
      <c r="I226" t="inlineStr">
        <is>
          <t>Y</t>
        </is>
      </c>
      <c r="J226" t="inlineStr">
        <is>
          <t>N</t>
        </is>
      </c>
      <c r="K226" t="inlineStr">
        <is>
          <t>N</t>
        </is>
      </c>
      <c r="L226" t="inlineStr">
        <is>
          <t>N</t>
        </is>
      </c>
      <c r="M226" t="n">
        <v>3</v>
      </c>
      <c r="N226" t="n">
        <v>2</v>
      </c>
      <c r="O226" t="n">
        <v>1</v>
      </c>
      <c r="P226" t="n">
        <v>1</v>
      </c>
      <c r="Q226" t="n">
        <v>3</v>
      </c>
      <c r="R226">
        <f>IFERROR(XLOOKUP(XLOOKUP(D226,tblReleaseChanges[Change_ID],tblReleaseChanges[Oracle_Severity],""),tblSeverityMap[Severity_Text],tblSeverityMap[Score],0),0)</f>
        <v/>
      </c>
      <c r="S226" t="n">
        <v>2</v>
      </c>
      <c r="T226">
        <f>ROUND((M226*0.25)+(N226*0.20)+(O226*0.15)+(P226*0.15)+(Q226*0.10)+(R226*0.10)+(S226*0.05),2)</f>
        <v/>
      </c>
      <c r="U226">
        <f>IF(T226&gt;=4.25,"Critical",IF(T226&gt;=3.5,"High",IF(T226&gt;=2,"Medium","Low")))</f>
        <v/>
      </c>
      <c r="V226" t="inlineStr">
        <is>
          <t>Pending Review</t>
        </is>
      </c>
      <c r="W226" t="inlineStr"/>
      <c r="X226" t="inlineStr"/>
      <c r="Y226" t="inlineStr">
        <is>
          <t>Action type: Steps to Enable. 1. Submit the ESS job to create the index definition and perform the initial ingest to OSCS process using this input parameter: fa-hcm-learningrecordtask Go</t>
        </is>
      </c>
      <c r="Z226" t="inlineStr">
        <is>
          <t>Y</t>
        </is>
      </c>
      <c r="AA226" t="inlineStr">
        <is>
          <t>N</t>
        </is>
      </c>
    </row>
    <row r="227">
      <c r="A227" t="inlineStr">
        <is>
          <t>ASMT_IMP_0202</t>
        </is>
      </c>
      <c r="B227" t="inlineStr">
        <is>
          <t>CLT_DFL001</t>
        </is>
      </c>
      <c r="C227" t="inlineStr">
        <is>
          <t>REL_26C</t>
        </is>
      </c>
      <c r="D227" t="inlineStr">
        <is>
          <t>CHG_IMP_0202</t>
        </is>
      </c>
      <c r="E227" t="inlineStr">
        <is>
          <t>Functional</t>
        </is>
      </c>
      <c r="F227" t="inlineStr">
        <is>
          <t>Configuration</t>
        </is>
      </c>
      <c r="G227" t="inlineStr"/>
      <c r="H227" t="inlineStr">
        <is>
          <t>DFL Learning and Development impacted by Oracle 26C change</t>
        </is>
      </c>
      <c r="I227" t="inlineStr">
        <is>
          <t>Y</t>
        </is>
      </c>
      <c r="J227" t="inlineStr">
        <is>
          <t>N</t>
        </is>
      </c>
      <c r="K227" t="inlineStr">
        <is>
          <t>N</t>
        </is>
      </c>
      <c r="L227" t="inlineStr">
        <is>
          <t>N</t>
        </is>
      </c>
      <c r="M227" t="n">
        <v>3</v>
      </c>
      <c r="N227" t="n">
        <v>2</v>
      </c>
      <c r="O227" t="n">
        <v>1</v>
      </c>
      <c r="P227" t="n">
        <v>1</v>
      </c>
      <c r="Q227" t="n">
        <v>3</v>
      </c>
      <c r="R227">
        <f>IFERROR(XLOOKUP(XLOOKUP(D227,tblReleaseChanges[Change_ID],tblReleaseChanges[Oracle_Severity],""),tblSeverityMap[Severity_Text],tblSeverityMap[Score],0),0)</f>
        <v/>
      </c>
      <c r="S227" t="n">
        <v>2</v>
      </c>
      <c r="T227">
        <f>ROUND((M227*0.25)+(N227*0.20)+(O227*0.15)+(P227*0.15)+(Q227*0.10)+(R227*0.10)+(S227*0.05),2)</f>
        <v/>
      </c>
      <c r="U227">
        <f>IF(T227&gt;=4.25,"Critical",IF(T227&gt;=3.5,"High",IF(T227&gt;=2,"Medium","Low")))</f>
        <v/>
      </c>
      <c r="V227" t="inlineStr">
        <is>
          <t>Pending Review</t>
        </is>
      </c>
      <c r="W227" t="inlineStr"/>
      <c r="X227" t="inlineStr"/>
      <c r="Y227" t="inlineStr">
        <is>
          <t>Action type: Steps to Enable. This feature requires manual configuration in Visual Builder Express to enable and customize the scoreboard display. • Use the learningMonth page property to set the firs</t>
        </is>
      </c>
      <c r="Z227" t="inlineStr">
        <is>
          <t>Y</t>
        </is>
      </c>
      <c r="AA227" t="inlineStr">
        <is>
          <t>N</t>
        </is>
      </c>
    </row>
    <row r="228">
      <c r="A228" t="inlineStr">
        <is>
          <t>ASMT_IMP_0203</t>
        </is>
      </c>
      <c r="B228" t="inlineStr">
        <is>
          <t>CLT_DFL001</t>
        </is>
      </c>
      <c r="C228" t="inlineStr">
        <is>
          <t>REL_26C</t>
        </is>
      </c>
      <c r="D228" t="inlineStr">
        <is>
          <t>CHG_IMP_0203</t>
        </is>
      </c>
      <c r="E228" t="inlineStr">
        <is>
          <t>Functional</t>
        </is>
      </c>
      <c r="F228" t="inlineStr">
        <is>
          <t>Configuration</t>
        </is>
      </c>
      <c r="G228" t="inlineStr"/>
      <c r="H228" t="inlineStr">
        <is>
          <t>DFL Learning and Development impacted by Oracle 26C change</t>
        </is>
      </c>
      <c r="I228" t="inlineStr">
        <is>
          <t>Y</t>
        </is>
      </c>
      <c r="J228" t="inlineStr">
        <is>
          <t>N</t>
        </is>
      </c>
      <c r="K228" t="inlineStr">
        <is>
          <t>N</t>
        </is>
      </c>
      <c r="L228" t="inlineStr">
        <is>
          <t>N</t>
        </is>
      </c>
      <c r="M228" t="n">
        <v>3</v>
      </c>
      <c r="N228" t="n">
        <v>2</v>
      </c>
      <c r="O228" t="n">
        <v>1</v>
      </c>
      <c r="P228" t="n">
        <v>1</v>
      </c>
      <c r="Q228" t="n">
        <v>3</v>
      </c>
      <c r="R228">
        <f>IFERROR(XLOOKUP(XLOOKUP(D228,tblReleaseChanges[Change_ID],tblReleaseChanges[Oracle_Severity],""),tblSeverityMap[Severity_Text],tblSeverityMap[Score],0),0)</f>
        <v/>
      </c>
      <c r="S228" t="n">
        <v>1</v>
      </c>
      <c r="T228">
        <f>ROUND((M228*0.25)+(N228*0.20)+(O228*0.15)+(P228*0.15)+(Q228*0.10)+(R228*0.10)+(S228*0.05),2)</f>
        <v/>
      </c>
      <c r="U228">
        <f>IF(T228&gt;=4.25,"Critical",IF(T228&gt;=3.5,"High",IF(T228&gt;=2,"Medium","Low")))</f>
        <v/>
      </c>
      <c r="V228" t="inlineStr">
        <is>
          <t>Pending Review</t>
        </is>
      </c>
      <c r="W228" t="inlineStr"/>
      <c r="X228" t="inlineStr"/>
      <c r="Y228" t="inlineStr">
        <is>
          <t>Auto-enabled — no action required</t>
        </is>
      </c>
      <c r="Z228" t="inlineStr">
        <is>
          <t>N</t>
        </is>
      </c>
      <c r="AA228" t="inlineStr">
        <is>
          <t>N</t>
        </is>
      </c>
    </row>
    <row r="229">
      <c r="A229" t="inlineStr">
        <is>
          <t>ASMT_IMP_0204</t>
        </is>
      </c>
      <c r="B229" t="inlineStr">
        <is>
          <t>CLT_DFL001</t>
        </is>
      </c>
      <c r="C229" t="inlineStr">
        <is>
          <t>REL_26C</t>
        </is>
      </c>
      <c r="D229" t="inlineStr">
        <is>
          <t>CHG_IMP_0204</t>
        </is>
      </c>
      <c r="E229" t="inlineStr">
        <is>
          <t>Functional</t>
        </is>
      </c>
      <c r="F229" t="inlineStr">
        <is>
          <t>Configuration</t>
        </is>
      </c>
      <c r="G229" t="inlineStr"/>
      <c r="H229" t="inlineStr">
        <is>
          <t>DFL Learning and Development impacted by Oracle 26C change</t>
        </is>
      </c>
      <c r="I229" t="inlineStr">
        <is>
          <t>Y</t>
        </is>
      </c>
      <c r="J229" t="inlineStr">
        <is>
          <t>N</t>
        </is>
      </c>
      <c r="K229" t="inlineStr">
        <is>
          <t>N</t>
        </is>
      </c>
      <c r="L229" t="inlineStr">
        <is>
          <t>N</t>
        </is>
      </c>
      <c r="M229" t="n">
        <v>3</v>
      </c>
      <c r="N229" t="n">
        <v>2</v>
      </c>
      <c r="O229" t="n">
        <v>1</v>
      </c>
      <c r="P229" t="n">
        <v>1</v>
      </c>
      <c r="Q229" t="n">
        <v>3</v>
      </c>
      <c r="R229">
        <f>IFERROR(XLOOKUP(XLOOKUP(D229,tblReleaseChanges[Change_ID],tblReleaseChanges[Oracle_Severity],""),tblSeverityMap[Severity_Text],tblSeverityMap[Score],0),0)</f>
        <v/>
      </c>
      <c r="S229" t="n">
        <v>2</v>
      </c>
      <c r="T229">
        <f>ROUND((M229*0.25)+(N229*0.20)+(O229*0.15)+(P229*0.15)+(Q229*0.10)+(R229*0.10)+(S229*0.05),2)</f>
        <v/>
      </c>
      <c r="U229">
        <f>IF(T229&gt;=4.25,"Critical",IF(T229&gt;=3.5,"High",IF(T229&gt;=2,"Medium","Low")))</f>
        <v/>
      </c>
      <c r="V229" t="inlineStr">
        <is>
          <t>Pending Review</t>
        </is>
      </c>
      <c r="W229" t="inlineStr"/>
      <c r="X229" t="inlineStr"/>
      <c r="Y229" t="inlineStr">
        <is>
          <t xml:space="preserve">Action type: Steps to Enable. Grow Coach is a delivered agent in Oracle AI Agent Studio. You can view this on the **Agent Teams** tab. The agent code is ORA_HCM_HRT_GROW_COACH. No customization </t>
        </is>
      </c>
      <c r="Z229" t="inlineStr">
        <is>
          <t>Y</t>
        </is>
      </c>
      <c r="AA229" t="inlineStr">
        <is>
          <t>N</t>
        </is>
      </c>
    </row>
    <row r="230">
      <c r="A230" t="inlineStr">
        <is>
          <t>ASMT_IMP_0205</t>
        </is>
      </c>
      <c r="B230" t="inlineStr">
        <is>
          <t>CLT_DFL001</t>
        </is>
      </c>
      <c r="C230" t="inlineStr">
        <is>
          <t>REL_26C</t>
        </is>
      </c>
      <c r="D230" t="inlineStr">
        <is>
          <t>CHG_IMP_0205</t>
        </is>
      </c>
      <c r="E230" t="inlineStr">
        <is>
          <t>Functional</t>
        </is>
      </c>
      <c r="F230" t="inlineStr">
        <is>
          <t>Configuration</t>
        </is>
      </c>
      <c r="G230" t="inlineStr"/>
      <c r="H230" t="inlineStr">
        <is>
          <t>DFL Learning and Development impacted by Oracle 26C change</t>
        </is>
      </c>
      <c r="I230" t="inlineStr">
        <is>
          <t>Y</t>
        </is>
      </c>
      <c r="J230" t="inlineStr">
        <is>
          <t>N</t>
        </is>
      </c>
      <c r="K230" t="inlineStr">
        <is>
          <t>N</t>
        </is>
      </c>
      <c r="L230" t="inlineStr">
        <is>
          <t>N</t>
        </is>
      </c>
      <c r="M230" t="n">
        <v>3</v>
      </c>
      <c r="N230" t="n">
        <v>2</v>
      </c>
      <c r="O230" t="n">
        <v>1</v>
      </c>
      <c r="P230" t="n">
        <v>1</v>
      </c>
      <c r="Q230" t="n">
        <v>3</v>
      </c>
      <c r="R230">
        <f>IFERROR(XLOOKUP(XLOOKUP(D230,tblReleaseChanges[Change_ID],tblReleaseChanges[Oracle_Severity],""),tblSeverityMap[Severity_Text],tblSeverityMap[Score],0),0)</f>
        <v/>
      </c>
      <c r="S230" t="n">
        <v>2</v>
      </c>
      <c r="T230">
        <f>ROUND((M230*0.25)+(N230*0.20)+(O230*0.15)+(P230*0.15)+(Q230*0.10)+(R230*0.10)+(S230*0.05),2)</f>
        <v/>
      </c>
      <c r="U230">
        <f>IF(T230&gt;=4.25,"Critical",IF(T230&gt;=3.5,"High",IF(T230&gt;=2,"Medium","Low")))</f>
        <v/>
      </c>
      <c r="V230" t="inlineStr">
        <is>
          <t>Pending Review</t>
        </is>
      </c>
      <c r="W230" t="inlineStr"/>
      <c r="X230" t="inlineStr"/>
      <c r="Y230" t="inlineStr">
        <is>
          <t>Action type: Steps to Enable. This player is now enabled by default for all new implementations. If you have an existing implementation, set the site-level profile value to Yes for the ORA_WLF_SP_MEDI</t>
        </is>
      </c>
      <c r="Z230" t="inlineStr">
        <is>
          <t>Y</t>
        </is>
      </c>
      <c r="AA230" t="inlineStr">
        <is>
          <t>N</t>
        </is>
      </c>
    </row>
    <row r="231">
      <c r="A231" t="inlineStr">
        <is>
          <t>ASMT_IMP_0206</t>
        </is>
      </c>
      <c r="B231" t="inlineStr">
        <is>
          <t>CLT_DFL001</t>
        </is>
      </c>
      <c r="C231" t="inlineStr">
        <is>
          <t>REL_26C</t>
        </is>
      </c>
      <c r="D231" t="inlineStr">
        <is>
          <t>CHG_IMP_0206</t>
        </is>
      </c>
      <c r="E231" t="inlineStr">
        <is>
          <t>Functional</t>
        </is>
      </c>
      <c r="F231" t="inlineStr">
        <is>
          <t>Configuration</t>
        </is>
      </c>
      <c r="G231" t="inlineStr"/>
      <c r="H231" t="inlineStr">
        <is>
          <t>DFL Learning and Development impacted by Oracle 26C change</t>
        </is>
      </c>
      <c r="I231" t="inlineStr">
        <is>
          <t>Y</t>
        </is>
      </c>
      <c r="J231" t="inlineStr">
        <is>
          <t>N</t>
        </is>
      </c>
      <c r="K231" t="inlineStr">
        <is>
          <t>N</t>
        </is>
      </c>
      <c r="L231" t="inlineStr">
        <is>
          <t>N</t>
        </is>
      </c>
      <c r="M231" t="n">
        <v>3</v>
      </c>
      <c r="N231" t="n">
        <v>2</v>
      </c>
      <c r="O231" t="n">
        <v>1</v>
      </c>
      <c r="P231" t="n">
        <v>1</v>
      </c>
      <c r="Q231" t="n">
        <v>3</v>
      </c>
      <c r="R231">
        <f>IFERROR(XLOOKUP(XLOOKUP(D231,tblReleaseChanges[Change_ID],tblReleaseChanges[Oracle_Severity],""),tblSeverityMap[Severity_Text],tblSeverityMap[Score],0),0)</f>
        <v/>
      </c>
      <c r="S231" t="n">
        <v>2</v>
      </c>
      <c r="T231">
        <f>ROUND((M231*0.25)+(N231*0.20)+(O231*0.15)+(P231*0.15)+(Q231*0.10)+(R231*0.10)+(S231*0.05),2)</f>
        <v/>
      </c>
      <c r="U231">
        <f>IF(T231&gt;=4.25,"Critical",IF(T231&gt;=3.5,"High",IF(T231&gt;=2,"Medium","Low")))</f>
        <v/>
      </c>
      <c r="V231" t="inlineStr">
        <is>
          <t>Pending Review</t>
        </is>
      </c>
      <c r="W231" t="inlineStr"/>
      <c r="X231" t="inlineStr"/>
      <c r="Y231" t="inlineStr">
        <is>
          <t>Action type: Steps to Enable. Set the site-level profile value to Y for the ORA_WLF_CATG_TOP_REDWOOD_ENABLED profile option. Go to Setup and Maintenance &gt; Tasks panel &gt; Search &gt; Manage Administrator P</t>
        </is>
      </c>
      <c r="Z231" t="inlineStr">
        <is>
          <t>Y</t>
        </is>
      </c>
      <c r="AA231" t="inlineStr">
        <is>
          <t>N</t>
        </is>
      </c>
    </row>
    <row r="232">
      <c r="A232" t="inlineStr">
        <is>
          <t>ASMT_IMP_0207</t>
        </is>
      </c>
      <c r="B232" t="inlineStr">
        <is>
          <t>CLT_DFL001</t>
        </is>
      </c>
      <c r="C232" t="inlineStr">
        <is>
          <t>REL_26C</t>
        </is>
      </c>
      <c r="D232" t="inlineStr">
        <is>
          <t>CHG_IMP_0207</t>
        </is>
      </c>
      <c r="E232" t="inlineStr">
        <is>
          <t>Functional</t>
        </is>
      </c>
      <c r="F232" t="inlineStr">
        <is>
          <t>Configuration</t>
        </is>
      </c>
      <c r="G232" t="inlineStr"/>
      <c r="H232" t="inlineStr">
        <is>
          <t>DFL Learning and Development impacted by Oracle 26C change</t>
        </is>
      </c>
      <c r="I232" t="inlineStr">
        <is>
          <t>Y</t>
        </is>
      </c>
      <c r="J232" t="inlineStr">
        <is>
          <t>N</t>
        </is>
      </c>
      <c r="K232" t="inlineStr">
        <is>
          <t>N</t>
        </is>
      </c>
      <c r="L232" t="inlineStr">
        <is>
          <t>N</t>
        </is>
      </c>
      <c r="M232" t="n">
        <v>3</v>
      </c>
      <c r="N232" t="n">
        <v>2</v>
      </c>
      <c r="O232" t="n">
        <v>1</v>
      </c>
      <c r="P232" t="n">
        <v>1</v>
      </c>
      <c r="Q232" t="n">
        <v>3</v>
      </c>
      <c r="R232">
        <f>IFERROR(XLOOKUP(XLOOKUP(D232,tblReleaseChanges[Change_ID],tblReleaseChanges[Oracle_Severity],""),tblSeverityMap[Severity_Text],tblSeverityMap[Score],0),0)</f>
        <v/>
      </c>
      <c r="S232" t="n">
        <v>2</v>
      </c>
      <c r="T232">
        <f>ROUND((M232*0.25)+(N232*0.20)+(O232*0.15)+(P232*0.15)+(Q232*0.10)+(R232*0.10)+(S232*0.05),2)</f>
        <v/>
      </c>
      <c r="U232">
        <f>IF(T232&gt;=4.25,"Critical",IF(T232&gt;=3.5,"High",IF(T232&gt;=2,"Medium","Low")))</f>
        <v/>
      </c>
      <c r="V232" t="inlineStr">
        <is>
          <t>Pending Review</t>
        </is>
      </c>
      <c r="W232" t="inlineStr"/>
      <c r="X232" t="inlineStr"/>
      <c r="Y232" t="inlineStr">
        <is>
          <t>Action type: Steps to Enable. 1. If you haven't already, enable these features to use this feature: • Self-paced learning • Redwood assignment management 2. Set the site-level value to Yes for the ORA</t>
        </is>
      </c>
      <c r="Z232" t="inlineStr">
        <is>
          <t>Y</t>
        </is>
      </c>
      <c r="AA232" t="inlineStr">
        <is>
          <t>N</t>
        </is>
      </c>
    </row>
    <row r="233">
      <c r="A233" t="inlineStr">
        <is>
          <t>ASMT_IMP_0208</t>
        </is>
      </c>
      <c r="B233" t="inlineStr">
        <is>
          <t>CLT_DFL001</t>
        </is>
      </c>
      <c r="C233" t="inlineStr">
        <is>
          <t>REL_26C</t>
        </is>
      </c>
      <c r="D233" t="inlineStr">
        <is>
          <t>CHG_IMP_0208</t>
        </is>
      </c>
      <c r="E233" t="inlineStr">
        <is>
          <t>AI Feature</t>
        </is>
      </c>
      <c r="F233" t="inlineStr">
        <is>
          <t>Configuration</t>
        </is>
      </c>
      <c r="G233" t="inlineStr"/>
      <c r="H233" t="inlineStr">
        <is>
          <t>DFL Learning and Development impacted by Oracle 26C change</t>
        </is>
      </c>
      <c r="I233" t="inlineStr">
        <is>
          <t>Y</t>
        </is>
      </c>
      <c r="J233" t="inlineStr">
        <is>
          <t>N</t>
        </is>
      </c>
      <c r="K233" t="inlineStr">
        <is>
          <t>N</t>
        </is>
      </c>
      <c r="L233" t="inlineStr">
        <is>
          <t>N</t>
        </is>
      </c>
      <c r="M233" t="n">
        <v>3</v>
      </c>
      <c r="N233" t="n">
        <v>2</v>
      </c>
      <c r="O233" t="n">
        <v>1</v>
      </c>
      <c r="P233" t="n">
        <v>3</v>
      </c>
      <c r="Q233" t="n">
        <v>3</v>
      </c>
      <c r="R233">
        <f>IFERROR(XLOOKUP(XLOOKUP(D233,tblReleaseChanges[Change_ID],tblReleaseChanges[Oracle_Severity],""),tblSeverityMap[Severity_Text],tblSeverityMap[Score],0),0)</f>
        <v/>
      </c>
      <c r="S233" t="n">
        <v>1</v>
      </c>
      <c r="T233">
        <f>ROUND((M233*0.25)+(N233*0.20)+(O233*0.15)+(P233*0.15)+(Q233*0.10)+(R233*0.10)+(S233*0.05),2)</f>
        <v/>
      </c>
      <c r="U233">
        <f>IF(T233&gt;=4.25,"Critical",IF(T233&gt;=3.5,"High",IF(T233&gt;=2,"Medium","Low")))</f>
        <v/>
      </c>
      <c r="V233" t="inlineStr">
        <is>
          <t>Pending Review</t>
        </is>
      </c>
      <c r="W233" t="inlineStr"/>
      <c r="X233" t="inlineStr"/>
      <c r="Y233" t="inlineStr">
        <is>
          <t>Auto-enabled — no action required</t>
        </is>
      </c>
      <c r="Z233" t="inlineStr">
        <is>
          <t>N</t>
        </is>
      </c>
      <c r="AA233" t="inlineStr">
        <is>
          <t>N</t>
        </is>
      </c>
    </row>
    <row r="234">
      <c r="A234" t="inlineStr">
        <is>
          <t>ASMT_IMP_0209</t>
        </is>
      </c>
      <c r="B234" t="inlineStr">
        <is>
          <t>CLT_DFL001</t>
        </is>
      </c>
      <c r="C234" t="inlineStr">
        <is>
          <t>REL_26C</t>
        </is>
      </c>
      <c r="D234" t="inlineStr">
        <is>
          <t>CHG_IMP_0209</t>
        </is>
      </c>
      <c r="E234" t="inlineStr">
        <is>
          <t>Functional</t>
        </is>
      </c>
      <c r="F234" t="inlineStr">
        <is>
          <t>Configuration</t>
        </is>
      </c>
      <c r="G234" t="inlineStr"/>
      <c r="H234" t="inlineStr">
        <is>
          <t>DFL Learning and Development impacted by Oracle 26C change</t>
        </is>
      </c>
      <c r="I234" t="inlineStr">
        <is>
          <t>Y</t>
        </is>
      </c>
      <c r="J234" t="inlineStr">
        <is>
          <t>N</t>
        </is>
      </c>
      <c r="K234" t="inlineStr">
        <is>
          <t>N</t>
        </is>
      </c>
      <c r="L234" t="inlineStr">
        <is>
          <t>N</t>
        </is>
      </c>
      <c r="M234" t="n">
        <v>3</v>
      </c>
      <c r="N234" t="n">
        <v>2</v>
      </c>
      <c r="O234" t="n">
        <v>1</v>
      </c>
      <c r="P234" t="n">
        <v>1</v>
      </c>
      <c r="Q234" t="n">
        <v>3</v>
      </c>
      <c r="R234">
        <f>IFERROR(XLOOKUP(XLOOKUP(D234,tblReleaseChanges[Change_ID],tblReleaseChanges[Oracle_Severity],""),tblSeverityMap[Severity_Text],tblSeverityMap[Score],0),0)</f>
        <v/>
      </c>
      <c r="S234" t="n">
        <v>2</v>
      </c>
      <c r="T234">
        <f>ROUND((M234*0.25)+(N234*0.20)+(O234*0.15)+(P234*0.15)+(Q234*0.10)+(R234*0.10)+(S234*0.05),2)</f>
        <v/>
      </c>
      <c r="U234">
        <f>IF(T234&gt;=4.25,"Critical",IF(T234&gt;=3.5,"High",IF(T234&gt;=2,"Medium","Low")))</f>
        <v/>
      </c>
      <c r="V234" t="inlineStr">
        <is>
          <t>Pending Review</t>
        </is>
      </c>
      <c r="W234" t="inlineStr"/>
      <c r="X234" t="inlineStr"/>
      <c r="Y234" t="inlineStr">
        <is>
          <t>Action type: Steps to Enable. Grant the appropriate duty roles. See Access Requirements for details.</t>
        </is>
      </c>
      <c r="Z234" t="inlineStr">
        <is>
          <t>Y</t>
        </is>
      </c>
      <c r="AA234" t="inlineStr">
        <is>
          <t>N</t>
        </is>
      </c>
    </row>
    <row r="235">
      <c r="A235" t="inlineStr">
        <is>
          <t>ASMT_IMP_0210</t>
        </is>
      </c>
      <c r="B235" t="inlineStr">
        <is>
          <t>CLT_DFL001</t>
        </is>
      </c>
      <c r="C235" t="inlineStr">
        <is>
          <t>REL_26C</t>
        </is>
      </c>
      <c r="D235" t="inlineStr">
        <is>
          <t>CHG_IMP_0210</t>
        </is>
      </c>
      <c r="E235" t="inlineStr">
        <is>
          <t>Functional</t>
        </is>
      </c>
      <c r="F235" t="inlineStr">
        <is>
          <t>Configuration</t>
        </is>
      </c>
      <c r="G235" t="inlineStr"/>
      <c r="H235" t="inlineStr">
        <is>
          <t>DFL Learning and Development impacted by Oracle 26C change</t>
        </is>
      </c>
      <c r="I235" t="inlineStr">
        <is>
          <t>Y</t>
        </is>
      </c>
      <c r="J235" t="inlineStr">
        <is>
          <t>N</t>
        </is>
      </c>
      <c r="K235" t="inlineStr">
        <is>
          <t>N</t>
        </is>
      </c>
      <c r="L235" t="inlineStr">
        <is>
          <t>N</t>
        </is>
      </c>
      <c r="M235" t="n">
        <v>3</v>
      </c>
      <c r="N235" t="n">
        <v>2</v>
      </c>
      <c r="O235" t="n">
        <v>1</v>
      </c>
      <c r="P235" t="n">
        <v>1</v>
      </c>
      <c r="Q235" t="n">
        <v>3</v>
      </c>
      <c r="R235">
        <f>IFERROR(XLOOKUP(XLOOKUP(D235,tblReleaseChanges[Change_ID],tblReleaseChanges[Oracle_Severity],""),tblSeverityMap[Severity_Text],tblSeverityMap[Score],0),0)</f>
        <v/>
      </c>
      <c r="S235" t="n">
        <v>1</v>
      </c>
      <c r="T235">
        <f>ROUND((M235*0.25)+(N235*0.20)+(O235*0.15)+(P235*0.15)+(Q235*0.10)+(R235*0.10)+(S235*0.05),2)</f>
        <v/>
      </c>
      <c r="U235">
        <f>IF(T235&gt;=4.25,"Critical",IF(T235&gt;=3.5,"High",IF(T235&gt;=2,"Medium","Low")))</f>
        <v/>
      </c>
      <c r="V235" t="inlineStr">
        <is>
          <t>Pending Review</t>
        </is>
      </c>
      <c r="W235" t="inlineStr"/>
      <c r="X235" t="inlineStr"/>
      <c r="Y235" t="inlineStr">
        <is>
          <t>Auto-enabled — no action required</t>
        </is>
      </c>
      <c r="Z235" t="inlineStr">
        <is>
          <t>N</t>
        </is>
      </c>
      <c r="AA235" t="inlineStr">
        <is>
          <t>N</t>
        </is>
      </c>
    </row>
    <row r="236">
      <c r="A236" t="inlineStr">
        <is>
          <t>ASMT_IMP_0211</t>
        </is>
      </c>
      <c r="B236" t="inlineStr">
        <is>
          <t>CLT_DFL001</t>
        </is>
      </c>
      <c r="C236" t="inlineStr">
        <is>
          <t>REL_26C</t>
        </is>
      </c>
      <c r="D236" t="inlineStr">
        <is>
          <t>CHG_IMP_0211</t>
        </is>
      </c>
      <c r="E236" t="inlineStr">
        <is>
          <t>Functional</t>
        </is>
      </c>
      <c r="F236" t="inlineStr">
        <is>
          <t>Configuration</t>
        </is>
      </c>
      <c r="G236" t="inlineStr"/>
      <c r="H236" t="inlineStr">
        <is>
          <t>DFL Learning and Development impacted by Oracle 26C change</t>
        </is>
      </c>
      <c r="I236" t="inlineStr">
        <is>
          <t>Y</t>
        </is>
      </c>
      <c r="J236" t="inlineStr">
        <is>
          <t>N</t>
        </is>
      </c>
      <c r="K236" t="inlineStr">
        <is>
          <t>N</t>
        </is>
      </c>
      <c r="L236" t="inlineStr">
        <is>
          <t>N</t>
        </is>
      </c>
      <c r="M236" t="n">
        <v>3</v>
      </c>
      <c r="N236" t="n">
        <v>2</v>
      </c>
      <c r="O236" t="n">
        <v>1</v>
      </c>
      <c r="P236" t="n">
        <v>1</v>
      </c>
      <c r="Q236" t="n">
        <v>3</v>
      </c>
      <c r="R236">
        <f>IFERROR(XLOOKUP(XLOOKUP(D236,tblReleaseChanges[Change_ID],tblReleaseChanges[Oracle_Severity],""),tblSeverityMap[Severity_Text],tblSeverityMap[Score],0),0)</f>
        <v/>
      </c>
      <c r="S236" t="n">
        <v>1</v>
      </c>
      <c r="T236">
        <f>ROUND((M236*0.25)+(N236*0.20)+(O236*0.15)+(P236*0.15)+(Q236*0.10)+(R236*0.10)+(S236*0.05),2)</f>
        <v/>
      </c>
      <c r="U236">
        <f>IF(T236&gt;=4.25,"Critical",IF(T236&gt;=3.5,"High",IF(T236&gt;=2,"Medium","Low")))</f>
        <v/>
      </c>
      <c r="V236" t="inlineStr">
        <is>
          <t>Pending Review</t>
        </is>
      </c>
      <c r="W236" t="inlineStr"/>
      <c r="X236" t="inlineStr"/>
      <c r="Y236" t="inlineStr">
        <is>
          <t>Auto-enabled — no action required</t>
        </is>
      </c>
      <c r="Z236" t="inlineStr">
        <is>
          <t>N</t>
        </is>
      </c>
      <c r="AA236" t="inlineStr">
        <is>
          <t>N</t>
        </is>
      </c>
    </row>
    <row r="237">
      <c r="A237" t="inlineStr">
        <is>
          <t>ASMT_IMP_0212</t>
        </is>
      </c>
      <c r="B237" t="inlineStr">
        <is>
          <t>CLT_DFL001</t>
        </is>
      </c>
      <c r="C237" t="inlineStr">
        <is>
          <t>REL_26C</t>
        </is>
      </c>
      <c r="D237" t="inlineStr">
        <is>
          <t>CHG_IMP_0212</t>
        </is>
      </c>
      <c r="E237" t="inlineStr">
        <is>
          <t>AI Feature</t>
        </is>
      </c>
      <c r="F237" t="inlineStr">
        <is>
          <t>Configuration</t>
        </is>
      </c>
      <c r="G237" t="inlineStr"/>
      <c r="H237" t="inlineStr">
        <is>
          <t>DFL Learning and Development impacted by Oracle 26C change</t>
        </is>
      </c>
      <c r="I237" t="inlineStr">
        <is>
          <t>Y</t>
        </is>
      </c>
      <c r="J237" t="inlineStr">
        <is>
          <t>N</t>
        </is>
      </c>
      <c r="K237" t="inlineStr">
        <is>
          <t>N</t>
        </is>
      </c>
      <c r="L237" t="inlineStr">
        <is>
          <t>N</t>
        </is>
      </c>
      <c r="M237" t="n">
        <v>3</v>
      </c>
      <c r="N237" t="n">
        <v>2</v>
      </c>
      <c r="O237" t="n">
        <v>1</v>
      </c>
      <c r="P237" t="n">
        <v>3</v>
      </c>
      <c r="Q237" t="n">
        <v>3</v>
      </c>
      <c r="R237">
        <f>IFERROR(XLOOKUP(XLOOKUP(D237,tblReleaseChanges[Change_ID],tblReleaseChanges[Oracle_Severity],""),tblSeverityMap[Severity_Text],tblSeverityMap[Score],0),0)</f>
        <v/>
      </c>
      <c r="S237" t="n">
        <v>2</v>
      </c>
      <c r="T237">
        <f>ROUND((M237*0.25)+(N237*0.20)+(O237*0.15)+(P237*0.15)+(Q237*0.10)+(R237*0.10)+(S237*0.05),2)</f>
        <v/>
      </c>
      <c r="U237">
        <f>IF(T237&gt;=4.25,"Critical",IF(T237&gt;=3.5,"High",IF(T237&gt;=2,"Medium","Low")))</f>
        <v/>
      </c>
      <c r="V237" t="inlineStr">
        <is>
          <t>Pending Review</t>
        </is>
      </c>
      <c r="W237" t="inlineStr"/>
      <c r="X237" t="inlineStr"/>
      <c r="Y237" t="inlineStr">
        <is>
          <t>Action type: Steps to Enable. While this feature is enabled by default, you can hide the role match summary section using the Visual Studio page property, Show Career Match. Set it to **True** to show</t>
        </is>
      </c>
      <c r="Z237" t="inlineStr">
        <is>
          <t>Y</t>
        </is>
      </c>
      <c r="AA237" t="inlineStr">
        <is>
          <t>N</t>
        </is>
      </c>
    </row>
    <row r="238">
      <c r="A238" t="inlineStr">
        <is>
          <t>ASMT_IMP_0213</t>
        </is>
      </c>
      <c r="B238" t="inlineStr">
        <is>
          <t>CLT_DFL001</t>
        </is>
      </c>
      <c r="C238" t="inlineStr">
        <is>
          <t>REL_26C</t>
        </is>
      </c>
      <c r="D238" t="inlineStr">
        <is>
          <t>CHG_IMP_0213</t>
        </is>
      </c>
      <c r="E238" t="inlineStr">
        <is>
          <t>Functional</t>
        </is>
      </c>
      <c r="F238" t="inlineStr">
        <is>
          <t>Configuration</t>
        </is>
      </c>
      <c r="G238" t="inlineStr"/>
      <c r="H238" t="inlineStr">
        <is>
          <t>DFL Opportunity Marketplace impacted by Oracle 26C change</t>
        </is>
      </c>
      <c r="I238" t="inlineStr">
        <is>
          <t>Y</t>
        </is>
      </c>
      <c r="J238" t="inlineStr">
        <is>
          <t>N</t>
        </is>
      </c>
      <c r="K238" t="inlineStr">
        <is>
          <t>N</t>
        </is>
      </c>
      <c r="L238" t="inlineStr">
        <is>
          <t>N</t>
        </is>
      </c>
      <c r="M238" t="n">
        <v>1</v>
      </c>
      <c r="N238" t="n">
        <v>2</v>
      </c>
      <c r="O238" t="n">
        <v>1</v>
      </c>
      <c r="P238" t="n">
        <v>1</v>
      </c>
      <c r="Q238" t="n">
        <v>3</v>
      </c>
      <c r="R238">
        <f>IFERROR(XLOOKUP(XLOOKUP(D238,tblReleaseChanges[Change_ID],tblReleaseChanges[Oracle_Severity],""),tblSeverityMap[Severity_Text],tblSeverityMap[Score],0),0)</f>
        <v/>
      </c>
      <c r="S238" t="n">
        <v>1</v>
      </c>
      <c r="T238">
        <f>ROUND((M238*0.25)+(N238*0.20)+(O238*0.15)+(P238*0.15)+(Q238*0.10)+(R238*0.10)+(S238*0.05),2)</f>
        <v/>
      </c>
      <c r="U238">
        <f>IF(T238&gt;=4.25,"Critical",IF(T238&gt;=3.5,"High",IF(T238&gt;=2,"Medium","Low")))</f>
        <v/>
      </c>
      <c r="V238" t="inlineStr">
        <is>
          <t>Pending Review</t>
        </is>
      </c>
      <c r="W238" t="inlineStr"/>
      <c r="X238" t="inlineStr"/>
      <c r="Y238" t="inlineStr">
        <is>
          <t>Auto-enabled — no action required</t>
        </is>
      </c>
      <c r="Z238" t="inlineStr">
        <is>
          <t>N</t>
        </is>
      </c>
      <c r="AA238" t="inlineStr">
        <is>
          <t>N</t>
        </is>
      </c>
    </row>
    <row r="239">
      <c r="A239" t="inlineStr">
        <is>
          <t>ASMT_IMP_0214</t>
        </is>
      </c>
      <c r="B239" t="inlineStr">
        <is>
          <t>CLT_DFL001</t>
        </is>
      </c>
      <c r="C239" t="inlineStr">
        <is>
          <t>REL_26C</t>
        </is>
      </c>
      <c r="D239" t="inlineStr">
        <is>
          <t>CHG_IMP_0214</t>
        </is>
      </c>
      <c r="E239" t="inlineStr">
        <is>
          <t>AI Feature</t>
        </is>
      </c>
      <c r="F239" t="inlineStr">
        <is>
          <t>Configuration</t>
        </is>
      </c>
      <c r="G239" t="inlineStr"/>
      <c r="H239" t="inlineStr">
        <is>
          <t>DFL Opportunity Marketplace impacted by Oracle 26C change</t>
        </is>
      </c>
      <c r="I239" t="inlineStr">
        <is>
          <t>Y</t>
        </is>
      </c>
      <c r="J239" t="inlineStr">
        <is>
          <t>N</t>
        </is>
      </c>
      <c r="K239" t="inlineStr">
        <is>
          <t>N</t>
        </is>
      </c>
      <c r="L239" t="inlineStr">
        <is>
          <t>N</t>
        </is>
      </c>
      <c r="M239" t="n">
        <v>1</v>
      </c>
      <c r="N239" t="n">
        <v>2</v>
      </c>
      <c r="O239" t="n">
        <v>1</v>
      </c>
      <c r="P239" t="n">
        <v>3</v>
      </c>
      <c r="Q239" t="n">
        <v>3</v>
      </c>
      <c r="R239">
        <f>IFERROR(XLOOKUP(XLOOKUP(D239,tblReleaseChanges[Change_ID],tblReleaseChanges[Oracle_Severity],""),tblSeverityMap[Severity_Text],tblSeverityMap[Score],0),0)</f>
        <v/>
      </c>
      <c r="S239" t="n">
        <v>1</v>
      </c>
      <c r="T239">
        <f>ROUND((M239*0.25)+(N239*0.20)+(O239*0.15)+(P239*0.15)+(Q239*0.10)+(R239*0.10)+(S239*0.05),2)</f>
        <v/>
      </c>
      <c r="U239">
        <f>IF(T239&gt;=4.25,"Critical",IF(T239&gt;=3.5,"High",IF(T239&gt;=2,"Medium","Low")))</f>
        <v/>
      </c>
      <c r="V239" t="inlineStr">
        <is>
          <t>Pending Review</t>
        </is>
      </c>
      <c r="W239" t="inlineStr"/>
      <c r="X239" t="inlineStr"/>
      <c r="Y239" t="inlineStr">
        <is>
          <t>Action type: Steps to Enable. 1. Enable Gigs, Jobs, and Career Roles in Opportunity Marketplace. For details see How do I set up Opportunity Marketplace? 2. Enable ORA_HRT_SKILLS_ENRICHMENT_ENABLED so</t>
        </is>
      </c>
      <c r="Z239" t="inlineStr">
        <is>
          <t>N</t>
        </is>
      </c>
      <c r="AA239" t="inlineStr">
        <is>
          <t>N</t>
        </is>
      </c>
    </row>
    <row r="240">
      <c r="A240" t="inlineStr">
        <is>
          <t>ASMT_IMP_0215</t>
        </is>
      </c>
      <c r="B240" t="inlineStr">
        <is>
          <t>CLT_DFL001</t>
        </is>
      </c>
      <c r="C240" t="inlineStr">
        <is>
          <t>REL_26C</t>
        </is>
      </c>
      <c r="D240" t="inlineStr">
        <is>
          <t>CHG_IMP_0215</t>
        </is>
      </c>
      <c r="E240" t="inlineStr">
        <is>
          <t>Functional</t>
        </is>
      </c>
      <c r="F240" t="inlineStr">
        <is>
          <t>Configuration</t>
        </is>
      </c>
      <c r="G240" t="inlineStr"/>
      <c r="H240" t="inlineStr">
        <is>
          <t>DFL Opportunity Marketplace impacted by Oracle 26C change</t>
        </is>
      </c>
      <c r="I240" t="inlineStr">
        <is>
          <t>Y</t>
        </is>
      </c>
      <c r="J240" t="inlineStr">
        <is>
          <t>N</t>
        </is>
      </c>
      <c r="K240" t="inlineStr">
        <is>
          <t>N</t>
        </is>
      </c>
      <c r="L240" t="inlineStr">
        <is>
          <t>N</t>
        </is>
      </c>
      <c r="M240" t="n">
        <v>1</v>
      </c>
      <c r="N240" t="n">
        <v>2</v>
      </c>
      <c r="O240" t="n">
        <v>1</v>
      </c>
      <c r="P240" t="n">
        <v>1</v>
      </c>
      <c r="Q240" t="n">
        <v>3</v>
      </c>
      <c r="R240">
        <f>IFERROR(XLOOKUP(XLOOKUP(D240,tblReleaseChanges[Change_ID],tblReleaseChanges[Oracle_Severity],""),tblSeverityMap[Severity_Text],tblSeverityMap[Score],0),0)</f>
        <v/>
      </c>
      <c r="S240" t="n">
        <v>1</v>
      </c>
      <c r="T240">
        <f>ROUND((M240*0.25)+(N240*0.20)+(O240*0.15)+(P240*0.15)+(Q240*0.10)+(R240*0.10)+(S240*0.05),2)</f>
        <v/>
      </c>
      <c r="U240">
        <f>IF(T240&gt;=4.25,"Critical",IF(T240&gt;=3.5,"High",IF(T240&gt;=2,"Medium","Low")))</f>
        <v/>
      </c>
      <c r="V240" t="inlineStr">
        <is>
          <t>Pending Review</t>
        </is>
      </c>
      <c r="W240" t="inlineStr"/>
      <c r="X240" t="inlineStr"/>
      <c r="Y240" t="inlineStr">
        <is>
          <t xml:space="preserve">Action type: Steps to Enable. This feature is enabled by default. The buttons can be shown or hidden using the Visual Studio page property, **Show Make Public Make It Private Buttons**. For details </t>
        </is>
      </c>
      <c r="Z240" t="inlineStr">
        <is>
          <t>N</t>
        </is>
      </c>
      <c r="AA240" t="inlineStr">
        <is>
          <t>N</t>
        </is>
      </c>
    </row>
    <row r="241">
      <c r="A241" t="inlineStr">
        <is>
          <t>ASMT_IMP_0216</t>
        </is>
      </c>
      <c r="B241" t="inlineStr">
        <is>
          <t>CLT_DFL001</t>
        </is>
      </c>
      <c r="C241" t="inlineStr">
        <is>
          <t>REL_26C</t>
        </is>
      </c>
      <c r="D241" t="inlineStr">
        <is>
          <t>CHG_IMP_0216</t>
        </is>
      </c>
      <c r="E241" t="inlineStr">
        <is>
          <t>Functional</t>
        </is>
      </c>
      <c r="F241" t="inlineStr">
        <is>
          <t>Configuration</t>
        </is>
      </c>
      <c r="G241" t="inlineStr"/>
      <c r="H241" t="inlineStr">
        <is>
          <t>DFL Opportunity Marketplace impacted by Oracle 26C change</t>
        </is>
      </c>
      <c r="I241" t="inlineStr">
        <is>
          <t>Y</t>
        </is>
      </c>
      <c r="J241" t="inlineStr">
        <is>
          <t>N</t>
        </is>
      </c>
      <c r="K241" t="inlineStr">
        <is>
          <t>N</t>
        </is>
      </c>
      <c r="L241" t="inlineStr">
        <is>
          <t>N</t>
        </is>
      </c>
      <c r="M241" t="n">
        <v>1</v>
      </c>
      <c r="N241" t="n">
        <v>2</v>
      </c>
      <c r="O241" t="n">
        <v>1</v>
      </c>
      <c r="P241" t="n">
        <v>1</v>
      </c>
      <c r="Q241" t="n">
        <v>3</v>
      </c>
      <c r="R241">
        <f>IFERROR(XLOOKUP(XLOOKUP(D241,tblReleaseChanges[Change_ID],tblReleaseChanges[Oracle_Severity],""),tblSeverityMap[Severity_Text],tblSeverityMap[Score],0),0)</f>
        <v/>
      </c>
      <c r="S241" t="n">
        <v>1</v>
      </c>
      <c r="T241">
        <f>ROUND((M241*0.25)+(N241*0.20)+(O241*0.15)+(P241*0.15)+(Q241*0.10)+(R241*0.10)+(S241*0.05),2)</f>
        <v/>
      </c>
      <c r="U241">
        <f>IF(T241&gt;=4.25,"Critical",IF(T241&gt;=3.5,"High",IF(T241&gt;=2,"Medium","Low")))</f>
        <v/>
      </c>
      <c r="V241" t="inlineStr">
        <is>
          <t>Pending Review</t>
        </is>
      </c>
      <c r="W241" t="inlineStr"/>
      <c r="X241" t="inlineStr"/>
      <c r="Y241" t="inlineStr">
        <is>
          <t>Action type: Steps to Enable. Follow these set up steps to enable internal hiring events: 1. Enable the ORA_HCM_OPP_MARKET_PLACE_HIRING_EVENTS profile option to allow internal hiring events to flow in</t>
        </is>
      </c>
      <c r="Z241" t="inlineStr">
        <is>
          <t>N</t>
        </is>
      </c>
      <c r="AA241" t="inlineStr">
        <is>
          <t>N</t>
        </is>
      </c>
    </row>
    <row r="242">
      <c r="A242" t="inlineStr">
        <is>
          <t>ASMT_IMP_0217</t>
        </is>
      </c>
      <c r="B242" t="inlineStr">
        <is>
          <t>CLT_DFL001</t>
        </is>
      </c>
      <c r="C242" t="inlineStr">
        <is>
          <t>REL_26C</t>
        </is>
      </c>
      <c r="D242" t="inlineStr">
        <is>
          <t>CHG_IMP_0217</t>
        </is>
      </c>
      <c r="E242" t="inlineStr">
        <is>
          <t>Functional</t>
        </is>
      </c>
      <c r="F242" t="inlineStr">
        <is>
          <t>Configuration</t>
        </is>
      </c>
      <c r="G242" t="inlineStr"/>
      <c r="H242" t="inlineStr">
        <is>
          <t>DFL Opportunity Marketplace impacted by Oracle 26C change</t>
        </is>
      </c>
      <c r="I242" t="inlineStr">
        <is>
          <t>Y</t>
        </is>
      </c>
      <c r="J242" t="inlineStr">
        <is>
          <t>N</t>
        </is>
      </c>
      <c r="K242" t="inlineStr">
        <is>
          <t>N</t>
        </is>
      </c>
      <c r="L242" t="inlineStr">
        <is>
          <t>N</t>
        </is>
      </c>
      <c r="M242" t="n">
        <v>1</v>
      </c>
      <c r="N242" t="n">
        <v>2</v>
      </c>
      <c r="O242" t="n">
        <v>1</v>
      </c>
      <c r="P242" t="n">
        <v>1</v>
      </c>
      <c r="Q242" t="n">
        <v>3</v>
      </c>
      <c r="R242">
        <f>IFERROR(XLOOKUP(XLOOKUP(D242,tblReleaseChanges[Change_ID],tblReleaseChanges[Oracle_Severity],""),tblSeverityMap[Severity_Text],tblSeverityMap[Score],0),0)</f>
        <v/>
      </c>
      <c r="S242" t="n">
        <v>1</v>
      </c>
      <c r="T242">
        <f>ROUND((M242*0.25)+(N242*0.20)+(O242*0.15)+(P242*0.15)+(Q242*0.10)+(R242*0.10)+(S242*0.05),2)</f>
        <v/>
      </c>
      <c r="U242">
        <f>IF(T242&gt;=4.25,"Critical",IF(T242&gt;=3.5,"High",IF(T242&gt;=2,"Medium","Low")))</f>
        <v/>
      </c>
      <c r="V242" t="inlineStr">
        <is>
          <t>Pending Review</t>
        </is>
      </c>
      <c r="W242" t="inlineStr"/>
      <c r="X242" t="inlineStr"/>
      <c r="Y242" t="inlineStr">
        <is>
          <t>Action type: Steps to Enable. 1. Enable the ORA_HCM_OPP_MARKET_PLACE_MY_CAREER profile option. For details, see How do I enable a profile option? 2. Enable career roles in Opportunity Marketplace. For</t>
        </is>
      </c>
      <c r="Z242" t="inlineStr">
        <is>
          <t>N</t>
        </is>
      </c>
      <c r="AA242" t="inlineStr">
        <is>
          <t>N</t>
        </is>
      </c>
    </row>
    <row r="243">
      <c r="A243" t="inlineStr">
        <is>
          <t>ASMT_IMP_0218</t>
        </is>
      </c>
      <c r="B243" t="inlineStr">
        <is>
          <t>CLT_DFL001</t>
        </is>
      </c>
      <c r="C243" t="inlineStr">
        <is>
          <t>REL_26C</t>
        </is>
      </c>
      <c r="D243" t="inlineStr">
        <is>
          <t>CHG_IMP_0218</t>
        </is>
      </c>
      <c r="E243" t="inlineStr">
        <is>
          <t>Functional</t>
        </is>
      </c>
      <c r="F243" t="inlineStr">
        <is>
          <t>Configuration</t>
        </is>
      </c>
      <c r="G243" t="inlineStr"/>
      <c r="H243" t="inlineStr">
        <is>
          <t>DFL Opportunity Marketplace impacted by Oracle 26C change</t>
        </is>
      </c>
      <c r="I243" t="inlineStr">
        <is>
          <t>Y</t>
        </is>
      </c>
      <c r="J243" t="inlineStr">
        <is>
          <t>N</t>
        </is>
      </c>
      <c r="K243" t="inlineStr">
        <is>
          <t>N</t>
        </is>
      </c>
      <c r="L243" t="inlineStr">
        <is>
          <t>N</t>
        </is>
      </c>
      <c r="M243" t="n">
        <v>1</v>
      </c>
      <c r="N243" t="n">
        <v>2</v>
      </c>
      <c r="O243" t="n">
        <v>1</v>
      </c>
      <c r="P243" t="n">
        <v>1</v>
      </c>
      <c r="Q243" t="n">
        <v>3</v>
      </c>
      <c r="R243">
        <f>IFERROR(XLOOKUP(XLOOKUP(D243,tblReleaseChanges[Change_ID],tblReleaseChanges[Oracle_Severity],""),tblSeverityMap[Severity_Text],tblSeverityMap[Score],0),0)</f>
        <v/>
      </c>
      <c r="S243" t="n">
        <v>1</v>
      </c>
      <c r="T243">
        <f>ROUND((M243*0.25)+(N243*0.20)+(O243*0.15)+(P243*0.15)+(Q243*0.10)+(R243*0.10)+(S243*0.05),2)</f>
        <v/>
      </c>
      <c r="U243">
        <f>IF(T243&gt;=4.25,"Critical",IF(T243&gt;=3.5,"High",IF(T243&gt;=2,"Medium","Low")))</f>
        <v/>
      </c>
      <c r="V243" t="inlineStr">
        <is>
          <t>Pending Review</t>
        </is>
      </c>
      <c r="W243" t="inlineStr"/>
      <c r="X243" t="inlineStr"/>
      <c r="Y243" t="inlineStr">
        <is>
          <t>Action type: Steps to Enable. 1. Enable the ORA_HCM_OPP_MARKET_PLACE_CAREER_ROLES profile option to display the Recommend Career Roles quick action. For details, see How do I enable a profile opt</t>
        </is>
      </c>
      <c r="Z243" t="inlineStr">
        <is>
          <t>N</t>
        </is>
      </c>
      <c r="AA243" t="inlineStr">
        <is>
          <t>N</t>
        </is>
      </c>
    </row>
    <row r="244">
      <c r="A244" t="inlineStr">
        <is>
          <t>ASMT_IMP_0219</t>
        </is>
      </c>
      <c r="B244" t="inlineStr">
        <is>
          <t>CLT_DFL001</t>
        </is>
      </c>
      <c r="C244" t="inlineStr">
        <is>
          <t>REL_26C</t>
        </is>
      </c>
      <c r="D244" t="inlineStr">
        <is>
          <t>CHG_IMP_0219</t>
        </is>
      </c>
      <c r="E244" t="inlineStr">
        <is>
          <t>Functional</t>
        </is>
      </c>
      <c r="F244" t="inlineStr">
        <is>
          <t>Configuration</t>
        </is>
      </c>
      <c r="G244" t="inlineStr"/>
      <c r="H244" t="inlineStr">
        <is>
          <t>DFL Opportunity Marketplace impacted by Oracle 26C change</t>
        </is>
      </c>
      <c r="I244" t="inlineStr">
        <is>
          <t>Y</t>
        </is>
      </c>
      <c r="J244" t="inlineStr">
        <is>
          <t>N</t>
        </is>
      </c>
      <c r="K244" t="inlineStr">
        <is>
          <t>N</t>
        </is>
      </c>
      <c r="L244" t="inlineStr">
        <is>
          <t>N</t>
        </is>
      </c>
      <c r="M244" t="n">
        <v>1</v>
      </c>
      <c r="N244" t="n">
        <v>2</v>
      </c>
      <c r="O244" t="n">
        <v>1</v>
      </c>
      <c r="P244" t="n">
        <v>1</v>
      </c>
      <c r="Q244" t="n">
        <v>3</v>
      </c>
      <c r="R244">
        <f>IFERROR(XLOOKUP(XLOOKUP(D244,tblReleaseChanges[Change_ID],tblReleaseChanges[Oracle_Severity],""),tblSeverityMap[Severity_Text],tblSeverityMap[Score],0),0)</f>
        <v/>
      </c>
      <c r="S244" t="n">
        <v>1</v>
      </c>
      <c r="T244">
        <f>ROUND((M244*0.25)+(N244*0.20)+(O244*0.15)+(P244*0.15)+(Q244*0.10)+(R244*0.10)+(S244*0.05),2)</f>
        <v/>
      </c>
      <c r="U244">
        <f>IF(T244&gt;=4.25,"Critical",IF(T244&gt;=3.5,"High",IF(T244&gt;=2,"Medium","Low")))</f>
        <v/>
      </c>
      <c r="V244" t="inlineStr">
        <is>
          <t>Pending Review</t>
        </is>
      </c>
      <c r="W244" t="inlineStr"/>
      <c r="X244" t="inlineStr"/>
      <c r="Y244" t="inlineStr">
        <is>
          <t>Auto-enabled — no action required</t>
        </is>
      </c>
      <c r="Z244" t="inlineStr">
        <is>
          <t>N</t>
        </is>
      </c>
      <c r="AA244" t="inlineStr">
        <is>
          <t>N</t>
        </is>
      </c>
    </row>
    <row r="245">
      <c r="A245" t="inlineStr">
        <is>
          <t>ASMT_IMP_0220</t>
        </is>
      </c>
      <c r="B245" t="inlineStr">
        <is>
          <t>CLT_DFL001</t>
        </is>
      </c>
      <c r="C245" t="inlineStr">
        <is>
          <t>REL_26C</t>
        </is>
      </c>
      <c r="D245" t="inlineStr">
        <is>
          <t>CHG_IMP_0220</t>
        </is>
      </c>
      <c r="E245" t="inlineStr">
        <is>
          <t>AI Feature</t>
        </is>
      </c>
      <c r="F245" t="inlineStr">
        <is>
          <t>Configuration</t>
        </is>
      </c>
      <c r="G245" t="inlineStr"/>
      <c r="H245" t="inlineStr">
        <is>
          <t>DFL Opportunity Marketplace impacted by Oracle 26C change</t>
        </is>
      </c>
      <c r="I245" t="inlineStr">
        <is>
          <t>Y</t>
        </is>
      </c>
      <c r="J245" t="inlineStr">
        <is>
          <t>N</t>
        </is>
      </c>
      <c r="K245" t="inlineStr">
        <is>
          <t>N</t>
        </is>
      </c>
      <c r="L245" t="inlineStr">
        <is>
          <t>N</t>
        </is>
      </c>
      <c r="M245" t="n">
        <v>1</v>
      </c>
      <c r="N245" t="n">
        <v>2</v>
      </c>
      <c r="O245" t="n">
        <v>1</v>
      </c>
      <c r="P245" t="n">
        <v>3</v>
      </c>
      <c r="Q245" t="n">
        <v>3</v>
      </c>
      <c r="R245">
        <f>IFERROR(XLOOKUP(XLOOKUP(D245,tblReleaseChanges[Change_ID],tblReleaseChanges[Oracle_Severity],""),tblSeverityMap[Severity_Text],tblSeverityMap[Score],0),0)</f>
        <v/>
      </c>
      <c r="S245" t="n">
        <v>1</v>
      </c>
      <c r="T245">
        <f>ROUND((M245*0.25)+(N245*0.20)+(O245*0.15)+(P245*0.15)+(Q245*0.10)+(R245*0.10)+(S245*0.05),2)</f>
        <v/>
      </c>
      <c r="U245">
        <f>IF(T245&gt;=4.25,"Critical",IF(T245&gt;=3.5,"High",IF(T245&gt;=2,"Medium","Low")))</f>
        <v/>
      </c>
      <c r="V245" t="inlineStr">
        <is>
          <t>Pending Review</t>
        </is>
      </c>
      <c r="W245" t="inlineStr"/>
      <c r="X245" t="inlineStr"/>
      <c r="Y245" t="inlineStr">
        <is>
          <t>Action type: Steps to Enable. While this feature is enabled by default, you can hide the role match summary section using the Visual Studio page property, Show Career Match. Set it to **True** to show</t>
        </is>
      </c>
      <c r="Z245" t="inlineStr">
        <is>
          <t>N</t>
        </is>
      </c>
      <c r="AA245" t="inlineStr">
        <is>
          <t>N</t>
        </is>
      </c>
    </row>
    <row r="246">
      <c r="A246" t="inlineStr">
        <is>
          <t>ASMT_IMP_0221</t>
        </is>
      </c>
      <c r="B246" t="inlineStr">
        <is>
          <t>CLT_DFL001</t>
        </is>
      </c>
      <c r="C246" t="inlineStr">
        <is>
          <t>REL_26C</t>
        </is>
      </c>
      <c r="D246" t="inlineStr">
        <is>
          <t>CHG_IMP_0221</t>
        </is>
      </c>
      <c r="E246" t="inlineStr">
        <is>
          <t>Functional</t>
        </is>
      </c>
      <c r="F246" t="inlineStr">
        <is>
          <t>Configuration</t>
        </is>
      </c>
      <c r="G246" t="inlineStr"/>
      <c r="H246" t="inlineStr">
        <is>
          <t>DFL Oracle Me Employee Experience impacted by Oracle 26C change</t>
        </is>
      </c>
      <c r="I246" t="inlineStr">
        <is>
          <t>Y</t>
        </is>
      </c>
      <c r="J246" t="inlineStr">
        <is>
          <t>N</t>
        </is>
      </c>
      <c r="K246" t="inlineStr">
        <is>
          <t>N</t>
        </is>
      </c>
      <c r="L246" t="inlineStr">
        <is>
          <t>N</t>
        </is>
      </c>
      <c r="M246" t="n">
        <v>1</v>
      </c>
      <c r="N246" t="n">
        <v>2</v>
      </c>
      <c r="O246" t="n">
        <v>1</v>
      </c>
      <c r="P246" t="n">
        <v>1</v>
      </c>
      <c r="Q246" t="n">
        <v>3</v>
      </c>
      <c r="R246">
        <f>IFERROR(XLOOKUP(XLOOKUP(D246,tblReleaseChanges[Change_ID],tblReleaseChanges[Oracle_Severity],""),tblSeverityMap[Severity_Text],tblSeverityMap[Score],0),0)</f>
        <v/>
      </c>
      <c r="S246" t="n">
        <v>1</v>
      </c>
      <c r="T246">
        <f>ROUND((M246*0.25)+(N246*0.20)+(O246*0.15)+(P246*0.15)+(Q246*0.10)+(R246*0.10)+(S246*0.05),2)</f>
        <v/>
      </c>
      <c r="U246">
        <f>IF(T246&gt;=4.25,"Critical",IF(T246&gt;=3.5,"High",IF(T246&gt;=2,"Medium","Low")))</f>
        <v/>
      </c>
      <c r="V246" t="inlineStr">
        <is>
          <t>Pending Review</t>
        </is>
      </c>
      <c r="W246" t="inlineStr"/>
      <c r="X246" t="inlineStr"/>
      <c r="Y246" t="inlineStr">
        <is>
          <t>Action type: Steps to Enable. For details, see: Set up Express Email Template and Communication Team</t>
        </is>
      </c>
      <c r="Z246" t="inlineStr">
        <is>
          <t>N</t>
        </is>
      </c>
      <c r="AA246" t="inlineStr">
        <is>
          <t>N</t>
        </is>
      </c>
    </row>
    <row r="247">
      <c r="A247" t="inlineStr">
        <is>
          <t>ASMT_IMP_0222</t>
        </is>
      </c>
      <c r="B247" t="inlineStr">
        <is>
          <t>CLT_DFL001</t>
        </is>
      </c>
      <c r="C247" t="inlineStr">
        <is>
          <t>REL_26C</t>
        </is>
      </c>
      <c r="D247" t="inlineStr">
        <is>
          <t>CHG_IMP_0222</t>
        </is>
      </c>
      <c r="E247" t="inlineStr">
        <is>
          <t>Functional</t>
        </is>
      </c>
      <c r="F247" t="inlineStr">
        <is>
          <t>Configuration</t>
        </is>
      </c>
      <c r="G247" t="inlineStr"/>
      <c r="H247" t="inlineStr">
        <is>
          <t>DFL Oracle Me Employee Experience impacted by Oracle 26C change</t>
        </is>
      </c>
      <c r="I247" t="inlineStr">
        <is>
          <t>Y</t>
        </is>
      </c>
      <c r="J247" t="inlineStr">
        <is>
          <t>N</t>
        </is>
      </c>
      <c r="K247" t="inlineStr">
        <is>
          <t>N</t>
        </is>
      </c>
      <c r="L247" t="inlineStr">
        <is>
          <t>N</t>
        </is>
      </c>
      <c r="M247" t="n">
        <v>1</v>
      </c>
      <c r="N247" t="n">
        <v>2</v>
      </c>
      <c r="O247" t="n">
        <v>1</v>
      </c>
      <c r="P247" t="n">
        <v>1</v>
      </c>
      <c r="Q247" t="n">
        <v>3</v>
      </c>
      <c r="R247">
        <f>IFERROR(XLOOKUP(XLOOKUP(D247,tblReleaseChanges[Change_ID],tblReleaseChanges[Oracle_Severity],""),tblSeverityMap[Severity_Text],tblSeverityMap[Score],0),0)</f>
        <v/>
      </c>
      <c r="S247" t="n">
        <v>1</v>
      </c>
      <c r="T247">
        <f>ROUND((M247*0.25)+(N247*0.20)+(O247*0.15)+(P247*0.15)+(Q247*0.10)+(R247*0.10)+(S247*0.05),2)</f>
        <v/>
      </c>
      <c r="U247">
        <f>IF(T247&gt;=4.25,"Critical",IF(T247&gt;=3.5,"High",IF(T247&gt;=2,"Medium","Low")))</f>
        <v/>
      </c>
      <c r="V247" t="inlineStr">
        <is>
          <t>Pending Review</t>
        </is>
      </c>
      <c r="W247" t="inlineStr"/>
      <c r="X247" t="inlineStr"/>
      <c r="Y247" t="inlineStr">
        <is>
          <t xml:space="preserve">Action type: Steps to Enable. Grow Coach is a delivered agent in Oracle AI Agent Studio. You can view this on the **Agent Teams** tab. The agent code is ORA_HCM_HRT_GROW_COACH. No customization </t>
        </is>
      </c>
      <c r="Z247" t="inlineStr">
        <is>
          <t>N</t>
        </is>
      </c>
      <c r="AA247" t="inlineStr">
        <is>
          <t>N</t>
        </is>
      </c>
    </row>
    <row r="248">
      <c r="A248" t="inlineStr">
        <is>
          <t>ASMT_IMP_0223</t>
        </is>
      </c>
      <c r="B248" t="inlineStr">
        <is>
          <t>CLT_DFL001</t>
        </is>
      </c>
      <c r="C248" t="inlineStr">
        <is>
          <t>REL_26C</t>
        </is>
      </c>
      <c r="D248" t="inlineStr">
        <is>
          <t>CHG_IMP_0223</t>
        </is>
      </c>
      <c r="E248" t="inlineStr">
        <is>
          <t>Functional</t>
        </is>
      </c>
      <c r="F248" t="inlineStr">
        <is>
          <t>Configuration</t>
        </is>
      </c>
      <c r="G248" t="inlineStr"/>
      <c r="H248" t="inlineStr">
        <is>
          <t>DFL Oracle Me Employee Experience impacted by Oracle 26C change</t>
        </is>
      </c>
      <c r="I248" t="inlineStr">
        <is>
          <t>Y</t>
        </is>
      </c>
      <c r="J248" t="inlineStr">
        <is>
          <t>N</t>
        </is>
      </c>
      <c r="K248" t="inlineStr">
        <is>
          <t>N</t>
        </is>
      </c>
      <c r="L248" t="inlineStr">
        <is>
          <t>N</t>
        </is>
      </c>
      <c r="M248" t="n">
        <v>1</v>
      </c>
      <c r="N248" t="n">
        <v>2</v>
      </c>
      <c r="O248" t="n">
        <v>1</v>
      </c>
      <c r="P248" t="n">
        <v>1</v>
      </c>
      <c r="Q248" t="n">
        <v>3</v>
      </c>
      <c r="R248">
        <f>IFERROR(XLOOKUP(XLOOKUP(D248,tblReleaseChanges[Change_ID],tblReleaseChanges[Oracle_Severity],""),tblSeverityMap[Severity_Text],tblSeverityMap[Score],0),0)</f>
        <v/>
      </c>
      <c r="S248" t="n">
        <v>1</v>
      </c>
      <c r="T248">
        <f>ROUND((M248*0.25)+(N248*0.20)+(O248*0.15)+(P248*0.15)+(Q248*0.10)+(R248*0.10)+(S248*0.05),2)</f>
        <v/>
      </c>
      <c r="U248">
        <f>IF(T248&gt;=4.25,"Critical",IF(T248&gt;=3.5,"High",IF(T248&gt;=2,"Medium","Low")))</f>
        <v/>
      </c>
      <c r="V248" t="inlineStr">
        <is>
          <t>Pending Review</t>
        </is>
      </c>
      <c r="W248" t="inlineStr"/>
      <c r="X248" t="inlineStr"/>
      <c r="Y248" t="inlineStr">
        <is>
          <t>Action type: Steps to Enable. For privileges, see the Access Requirements section.</t>
        </is>
      </c>
      <c r="Z248" t="inlineStr">
        <is>
          <t>N</t>
        </is>
      </c>
      <c r="AA248" t="inlineStr">
        <is>
          <t>N</t>
        </is>
      </c>
    </row>
    <row r="249">
      <c r="A249" t="inlineStr">
        <is>
          <t>ASMT_IMP_0224</t>
        </is>
      </c>
      <c r="B249" t="inlineStr">
        <is>
          <t>CLT_DFL001</t>
        </is>
      </c>
      <c r="C249" t="inlineStr">
        <is>
          <t>REL_26C</t>
        </is>
      </c>
      <c r="D249" t="inlineStr">
        <is>
          <t>CHG_IMP_0224</t>
        </is>
      </c>
      <c r="E249" t="inlineStr">
        <is>
          <t>Functional</t>
        </is>
      </c>
      <c r="F249" t="inlineStr">
        <is>
          <t>Configuration</t>
        </is>
      </c>
      <c r="G249" t="inlineStr"/>
      <c r="H249" t="inlineStr">
        <is>
          <t>DFL Oracle Me Employee Experience impacted by Oracle 26C change</t>
        </is>
      </c>
      <c r="I249" t="inlineStr">
        <is>
          <t>Y</t>
        </is>
      </c>
      <c r="J249" t="inlineStr">
        <is>
          <t>N</t>
        </is>
      </c>
      <c r="K249" t="inlineStr">
        <is>
          <t>N</t>
        </is>
      </c>
      <c r="L249" t="inlineStr">
        <is>
          <t>N</t>
        </is>
      </c>
      <c r="M249" t="n">
        <v>1</v>
      </c>
      <c r="N249" t="n">
        <v>2</v>
      </c>
      <c r="O249" t="n">
        <v>1</v>
      </c>
      <c r="P249" t="n">
        <v>1</v>
      </c>
      <c r="Q249" t="n">
        <v>3</v>
      </c>
      <c r="R249">
        <f>IFERROR(XLOOKUP(XLOOKUP(D249,tblReleaseChanges[Change_ID],tblReleaseChanges[Oracle_Severity],""),tblSeverityMap[Severity_Text],tblSeverityMap[Score],0),0)</f>
        <v/>
      </c>
      <c r="S249" t="n">
        <v>1</v>
      </c>
      <c r="T249">
        <f>ROUND((M249*0.25)+(N249*0.20)+(O249*0.15)+(P249*0.15)+(Q249*0.10)+(R249*0.10)+(S249*0.05),2)</f>
        <v/>
      </c>
      <c r="U249">
        <f>IF(T249&gt;=4.25,"Critical",IF(T249&gt;=3.5,"High",IF(T249&gt;=2,"Medium","Low")))</f>
        <v/>
      </c>
      <c r="V249" t="inlineStr">
        <is>
          <t>Pending Review</t>
        </is>
      </c>
      <c r="W249" t="inlineStr"/>
      <c r="X249" t="inlineStr"/>
      <c r="Y249" t="inlineStr">
        <is>
          <t>Action type: Steps to Enable. 1. Set up an Express Email Template and Communication Team. For details see Express Communication Teams. 2. While creating an</t>
        </is>
      </c>
      <c r="Z249" t="inlineStr">
        <is>
          <t>N</t>
        </is>
      </c>
      <c r="AA249" t="inlineStr">
        <is>
          <t>N</t>
        </is>
      </c>
    </row>
    <row r="250">
      <c r="A250" t="inlineStr">
        <is>
          <t>ASMT_IMP_0225</t>
        </is>
      </c>
      <c r="B250" t="inlineStr">
        <is>
          <t>CLT_DFL001</t>
        </is>
      </c>
      <c r="C250" t="inlineStr">
        <is>
          <t>REL_26C</t>
        </is>
      </c>
      <c r="D250" t="inlineStr">
        <is>
          <t>CHG_IMP_0225</t>
        </is>
      </c>
      <c r="E250" t="inlineStr">
        <is>
          <t>Functional</t>
        </is>
      </c>
      <c r="F250" t="inlineStr">
        <is>
          <t>Configuration</t>
        </is>
      </c>
      <c r="G250" t="inlineStr"/>
      <c r="H250" t="inlineStr">
        <is>
          <t>DFL Oracle Me Employee Experience impacted by Oracle 26C change</t>
        </is>
      </c>
      <c r="I250" t="inlineStr">
        <is>
          <t>Y</t>
        </is>
      </c>
      <c r="J250" t="inlineStr">
        <is>
          <t>N</t>
        </is>
      </c>
      <c r="K250" t="inlineStr">
        <is>
          <t>N</t>
        </is>
      </c>
      <c r="L250" t="inlineStr">
        <is>
          <t>N</t>
        </is>
      </c>
      <c r="M250" t="n">
        <v>1</v>
      </c>
      <c r="N250" t="n">
        <v>2</v>
      </c>
      <c r="O250" t="n">
        <v>1</v>
      </c>
      <c r="P250" t="n">
        <v>1</v>
      </c>
      <c r="Q250" t="n">
        <v>3</v>
      </c>
      <c r="R250">
        <f>IFERROR(XLOOKUP(XLOOKUP(D250,tblReleaseChanges[Change_ID],tblReleaseChanges[Oracle_Severity],""),tblSeverityMap[Severity_Text],tblSeverityMap[Score],0),0)</f>
        <v/>
      </c>
      <c r="S250" t="n">
        <v>1</v>
      </c>
      <c r="T250">
        <f>ROUND((M250*0.25)+(N250*0.20)+(O250*0.15)+(P250*0.15)+(Q250*0.10)+(R250*0.10)+(S250*0.05),2)</f>
        <v/>
      </c>
      <c r="U250">
        <f>IF(T250&gt;=4.25,"Critical",IF(T250&gt;=3.5,"High",IF(T250&gt;=2,"Medium","Low")))</f>
        <v/>
      </c>
      <c r="V250" t="inlineStr">
        <is>
          <t>Pending Review</t>
        </is>
      </c>
      <c r="W250" t="inlineStr"/>
      <c r="X250" t="inlineStr"/>
      <c r="Y250" t="inlineStr">
        <is>
          <t>Auto-enabled — no action required</t>
        </is>
      </c>
      <c r="Z250" t="inlineStr">
        <is>
          <t>N</t>
        </is>
      </c>
      <c r="AA250" t="inlineStr">
        <is>
          <t>N</t>
        </is>
      </c>
    </row>
    <row r="251">
      <c r="A251" t="inlineStr">
        <is>
          <t>ASMT_IMP_0226</t>
        </is>
      </c>
      <c r="B251" t="inlineStr">
        <is>
          <t>CLT_DFL001</t>
        </is>
      </c>
      <c r="C251" t="inlineStr">
        <is>
          <t>REL_26C</t>
        </is>
      </c>
      <c r="D251" t="inlineStr">
        <is>
          <t>CHG_IMP_0226</t>
        </is>
      </c>
      <c r="E251" t="inlineStr">
        <is>
          <t>Functional</t>
        </is>
      </c>
      <c r="F251" t="inlineStr">
        <is>
          <t>Configuration</t>
        </is>
      </c>
      <c r="G251" t="inlineStr"/>
      <c r="H251" t="inlineStr">
        <is>
          <t>DFL Oracle Me Employee Experience impacted by Oracle 26C change</t>
        </is>
      </c>
      <c r="I251" t="inlineStr">
        <is>
          <t>Y</t>
        </is>
      </c>
      <c r="J251" t="inlineStr">
        <is>
          <t>N</t>
        </is>
      </c>
      <c r="K251" t="inlineStr">
        <is>
          <t>N</t>
        </is>
      </c>
      <c r="L251" t="inlineStr">
        <is>
          <t>N</t>
        </is>
      </c>
      <c r="M251" t="n">
        <v>1</v>
      </c>
      <c r="N251" t="n">
        <v>2</v>
      </c>
      <c r="O251" t="n">
        <v>1</v>
      </c>
      <c r="P251" t="n">
        <v>1</v>
      </c>
      <c r="Q251" t="n">
        <v>3</v>
      </c>
      <c r="R251">
        <f>IFERROR(XLOOKUP(XLOOKUP(D251,tblReleaseChanges[Change_ID],tblReleaseChanges[Oracle_Severity],""),tblSeverityMap[Severity_Text],tblSeverityMap[Score],0),0)</f>
        <v/>
      </c>
      <c r="S251" t="n">
        <v>1</v>
      </c>
      <c r="T251">
        <f>ROUND((M251*0.25)+(N251*0.20)+(O251*0.15)+(P251*0.15)+(Q251*0.10)+(R251*0.10)+(S251*0.05),2)</f>
        <v/>
      </c>
      <c r="U251">
        <f>IF(T251&gt;=4.25,"Critical",IF(T251&gt;=3.5,"High",IF(T251&gt;=2,"Medium","Low")))</f>
        <v/>
      </c>
      <c r="V251" t="inlineStr">
        <is>
          <t>Pending Review</t>
        </is>
      </c>
      <c r="W251" t="inlineStr"/>
      <c r="X251" t="inlineStr"/>
      <c r="Y251" t="inlineStr">
        <is>
          <t>Action type: Steps to Enable. You need to tag a category with Communities to make it available for employees when they create communities. For details, see: Configu</t>
        </is>
      </c>
      <c r="Z251" t="inlineStr">
        <is>
          <t>N</t>
        </is>
      </c>
      <c r="AA251" t="inlineStr">
        <is>
          <t>N</t>
        </is>
      </c>
    </row>
    <row r="252">
      <c r="A252" t="inlineStr">
        <is>
          <t>ASMT_IMP_0227</t>
        </is>
      </c>
      <c r="B252" t="inlineStr">
        <is>
          <t>CLT_DFL001</t>
        </is>
      </c>
      <c r="C252" t="inlineStr">
        <is>
          <t>REL_26C</t>
        </is>
      </c>
      <c r="D252" t="inlineStr">
        <is>
          <t>CHG_IMP_0227</t>
        </is>
      </c>
      <c r="E252" t="inlineStr">
        <is>
          <t>Functional</t>
        </is>
      </c>
      <c r="F252" t="inlineStr">
        <is>
          <t>Configuration</t>
        </is>
      </c>
      <c r="G252" t="inlineStr"/>
      <c r="H252" t="inlineStr">
        <is>
          <t>DFL Oracle Me Employee Experience impacted by Oracle 26C change</t>
        </is>
      </c>
      <c r="I252" t="inlineStr">
        <is>
          <t>Y</t>
        </is>
      </c>
      <c r="J252" t="inlineStr">
        <is>
          <t>N</t>
        </is>
      </c>
      <c r="K252" t="inlineStr">
        <is>
          <t>N</t>
        </is>
      </c>
      <c r="L252" t="inlineStr">
        <is>
          <t>N</t>
        </is>
      </c>
      <c r="M252" t="n">
        <v>1</v>
      </c>
      <c r="N252" t="n">
        <v>2</v>
      </c>
      <c r="O252" t="n">
        <v>1</v>
      </c>
      <c r="P252" t="n">
        <v>1</v>
      </c>
      <c r="Q252" t="n">
        <v>3</v>
      </c>
      <c r="R252">
        <f>IFERROR(XLOOKUP(XLOOKUP(D252,tblReleaseChanges[Change_ID],tblReleaseChanges[Oracle_Severity],""),tblSeverityMap[Severity_Text],tblSeverityMap[Score],0),0)</f>
        <v/>
      </c>
      <c r="S252" t="n">
        <v>1</v>
      </c>
      <c r="T252">
        <f>ROUND((M252*0.25)+(N252*0.20)+(O252*0.15)+(P252*0.15)+(Q252*0.10)+(R252*0.10)+(S252*0.05),2)</f>
        <v/>
      </c>
      <c r="U252">
        <f>IF(T252&gt;=4.25,"Critical",IF(T252&gt;=3.5,"High",IF(T252&gt;=2,"Medium","Low")))</f>
        <v/>
      </c>
      <c r="V252" t="inlineStr">
        <is>
          <t>Pending Review</t>
        </is>
      </c>
      <c r="W252" t="inlineStr"/>
      <c r="X252" t="inlineStr"/>
      <c r="Y252" t="inlineStr">
        <is>
          <t>Action type: Steps to Enable. For details, see How do I enable Slack integration?</t>
        </is>
      </c>
      <c r="Z252" t="inlineStr">
        <is>
          <t>N</t>
        </is>
      </c>
      <c r="AA252" t="inlineStr">
        <is>
          <t>N</t>
        </is>
      </c>
    </row>
    <row r="253">
      <c r="A253" t="inlineStr">
        <is>
          <t>ASMT_IMP_0228</t>
        </is>
      </c>
      <c r="B253" t="inlineStr">
        <is>
          <t>CLT_DFL001</t>
        </is>
      </c>
      <c r="C253" t="inlineStr">
        <is>
          <t>REL_26C</t>
        </is>
      </c>
      <c r="D253" t="inlineStr">
        <is>
          <t>CHG_IMP_0228</t>
        </is>
      </c>
      <c r="E253" t="inlineStr">
        <is>
          <t>Functional</t>
        </is>
      </c>
      <c r="F253" t="inlineStr">
        <is>
          <t>Configuration</t>
        </is>
      </c>
      <c r="G253" t="inlineStr"/>
      <c r="H253" t="inlineStr">
        <is>
          <t>DFL Oracle Me Employee Experience impacted by Oracle 26C change</t>
        </is>
      </c>
      <c r="I253" t="inlineStr">
        <is>
          <t>Y</t>
        </is>
      </c>
      <c r="J253" t="inlineStr">
        <is>
          <t>N</t>
        </is>
      </c>
      <c r="K253" t="inlineStr">
        <is>
          <t>N</t>
        </is>
      </c>
      <c r="L253" t="inlineStr">
        <is>
          <t>N</t>
        </is>
      </c>
      <c r="M253" t="n">
        <v>1</v>
      </c>
      <c r="N253" t="n">
        <v>2</v>
      </c>
      <c r="O253" t="n">
        <v>1</v>
      </c>
      <c r="P253" t="n">
        <v>1</v>
      </c>
      <c r="Q253" t="n">
        <v>3</v>
      </c>
      <c r="R253">
        <f>IFERROR(XLOOKUP(XLOOKUP(D253,tblReleaseChanges[Change_ID],tblReleaseChanges[Oracle_Severity],""),tblSeverityMap[Severity_Text],tblSeverityMap[Score],0),0)</f>
        <v/>
      </c>
      <c r="S253" t="n">
        <v>1</v>
      </c>
      <c r="T253">
        <f>ROUND((M253*0.25)+(N253*0.20)+(O253*0.15)+(P253*0.15)+(Q253*0.10)+(R253*0.10)+(S253*0.05),2)</f>
        <v/>
      </c>
      <c r="U253">
        <f>IF(T253&gt;=4.25,"Critical",IF(T253&gt;=3.5,"High",IF(T253&gt;=2,"Medium","Low")))</f>
        <v/>
      </c>
      <c r="V253" t="inlineStr">
        <is>
          <t>Pending Review</t>
        </is>
      </c>
      <c r="W253" t="inlineStr"/>
      <c r="X253" t="inlineStr"/>
      <c r="Y253" t="inlineStr">
        <is>
          <t>Auto-enabled — no action required</t>
        </is>
      </c>
      <c r="Z253" t="inlineStr">
        <is>
          <t>N</t>
        </is>
      </c>
      <c r="AA253" t="inlineStr">
        <is>
          <t>N</t>
        </is>
      </c>
    </row>
    <row r="254">
      <c r="A254" t="inlineStr">
        <is>
          <t>ASMT_IMP_0229</t>
        </is>
      </c>
      <c r="B254" t="inlineStr">
        <is>
          <t>CLT_DFL001</t>
        </is>
      </c>
      <c r="C254" t="inlineStr">
        <is>
          <t>REL_26C</t>
        </is>
      </c>
      <c r="D254" t="inlineStr">
        <is>
          <t>CHG_IMP_0229</t>
        </is>
      </c>
      <c r="E254" t="inlineStr">
        <is>
          <t>Functional</t>
        </is>
      </c>
      <c r="F254" t="inlineStr">
        <is>
          <t>Configuration</t>
        </is>
      </c>
      <c r="G254" t="inlineStr"/>
      <c r="H254" t="inlineStr">
        <is>
          <t>DFL Payroll impacted by Oracle 26C change</t>
        </is>
      </c>
      <c r="I254" t="inlineStr">
        <is>
          <t>Y</t>
        </is>
      </c>
      <c r="J254" t="inlineStr">
        <is>
          <t>N</t>
        </is>
      </c>
      <c r="K254" t="inlineStr">
        <is>
          <t>N</t>
        </is>
      </c>
      <c r="L254" t="inlineStr">
        <is>
          <t>N</t>
        </is>
      </c>
      <c r="M254" t="n">
        <v>5</v>
      </c>
      <c r="N254" t="n">
        <v>2</v>
      </c>
      <c r="O254" t="n">
        <v>3</v>
      </c>
      <c r="P254" t="n">
        <v>1</v>
      </c>
      <c r="Q254" t="n">
        <v>3</v>
      </c>
      <c r="R254">
        <f>IFERROR(XLOOKUP(XLOOKUP(D254,tblReleaseChanges[Change_ID],tblReleaseChanges[Oracle_Severity],""),tblSeverityMap[Severity_Text],tblSeverityMap[Score],0),0)</f>
        <v/>
      </c>
      <c r="S254" t="n">
        <v>1</v>
      </c>
      <c r="T254">
        <f>ROUND((M254*0.25)+(N254*0.20)+(O254*0.15)+(P254*0.15)+(Q254*0.10)+(R254*0.10)+(S254*0.05),2)</f>
        <v/>
      </c>
      <c r="U254">
        <f>IF(T254&gt;=4.25,"Critical",IF(T254&gt;=3.5,"High",IF(T254&gt;=2,"Medium","Low")))</f>
        <v/>
      </c>
      <c r="V254" t="inlineStr">
        <is>
          <t>Pending Review</t>
        </is>
      </c>
      <c r="W254" t="inlineStr"/>
      <c r="X254" t="inlineStr"/>
      <c r="Y254" t="inlineStr">
        <is>
          <t>Auto-enabled — no action required</t>
        </is>
      </c>
      <c r="Z254" t="inlineStr">
        <is>
          <t>N</t>
        </is>
      </c>
      <c r="AA254" t="inlineStr">
        <is>
          <t>N</t>
        </is>
      </c>
    </row>
    <row r="255">
      <c r="A255" t="inlineStr">
        <is>
          <t>ASMT_IMP_0230</t>
        </is>
      </c>
      <c r="B255" t="inlineStr">
        <is>
          <t>CLT_DFL001</t>
        </is>
      </c>
      <c r="C255" t="inlineStr">
        <is>
          <t>REL_26C</t>
        </is>
      </c>
      <c r="D255" t="inlineStr">
        <is>
          <t>CHG_IMP_0230</t>
        </is>
      </c>
      <c r="E255" t="inlineStr">
        <is>
          <t>Functional</t>
        </is>
      </c>
      <c r="F255" t="inlineStr">
        <is>
          <t>Configuration</t>
        </is>
      </c>
      <c r="G255" t="inlineStr"/>
      <c r="H255" t="inlineStr">
        <is>
          <t>DFL Payroll impacted by Oracle 26C change</t>
        </is>
      </c>
      <c r="I255" t="inlineStr">
        <is>
          <t>Y</t>
        </is>
      </c>
      <c r="J255" t="inlineStr">
        <is>
          <t>N</t>
        </is>
      </c>
      <c r="K255" t="inlineStr">
        <is>
          <t>N</t>
        </is>
      </c>
      <c r="L255" t="inlineStr">
        <is>
          <t>N</t>
        </is>
      </c>
      <c r="M255" t="n">
        <v>5</v>
      </c>
      <c r="N255" t="n">
        <v>2</v>
      </c>
      <c r="O255" t="n">
        <v>3</v>
      </c>
      <c r="P255" t="n">
        <v>1</v>
      </c>
      <c r="Q255" t="n">
        <v>3</v>
      </c>
      <c r="R255">
        <f>IFERROR(XLOOKUP(XLOOKUP(D255,tblReleaseChanges[Change_ID],tblReleaseChanges[Oracle_Severity],""),tblSeverityMap[Severity_Text],tblSeverityMap[Score],0),0)</f>
        <v/>
      </c>
      <c r="S255" t="n">
        <v>1</v>
      </c>
      <c r="T255">
        <f>ROUND((M255*0.25)+(N255*0.20)+(O255*0.15)+(P255*0.15)+(Q255*0.10)+(R255*0.10)+(S255*0.05),2)</f>
        <v/>
      </c>
      <c r="U255">
        <f>IF(T255&gt;=4.25,"Critical",IF(T255&gt;=3.5,"High",IF(T255&gt;=2,"Medium","Low")))</f>
        <v/>
      </c>
      <c r="V255" t="inlineStr">
        <is>
          <t>Pending Review</t>
        </is>
      </c>
      <c r="W255" t="inlineStr"/>
      <c r="X255" t="inlineStr"/>
      <c r="Y255" t="inlineStr">
        <is>
          <t>Auto-enabled — no action required</t>
        </is>
      </c>
      <c r="Z255" t="inlineStr">
        <is>
          <t>N</t>
        </is>
      </c>
      <c r="AA255" t="inlineStr">
        <is>
          <t>N</t>
        </is>
      </c>
    </row>
    <row r="256">
      <c r="A256" t="inlineStr">
        <is>
          <t>ASMT_IMP_0231</t>
        </is>
      </c>
      <c r="B256" t="inlineStr">
        <is>
          <t>CLT_DFL001</t>
        </is>
      </c>
      <c r="C256" t="inlineStr">
        <is>
          <t>REL_26C</t>
        </is>
      </c>
      <c r="D256" t="inlineStr">
        <is>
          <t>CHG_IMP_0231</t>
        </is>
      </c>
      <c r="E256" t="inlineStr">
        <is>
          <t>Functional</t>
        </is>
      </c>
      <c r="F256" t="inlineStr">
        <is>
          <t>Configuration</t>
        </is>
      </c>
      <c r="G256" t="inlineStr"/>
      <c r="H256" t="inlineStr">
        <is>
          <t>DFL Payroll impacted by Oracle 26C change</t>
        </is>
      </c>
      <c r="I256" t="inlineStr">
        <is>
          <t>Y</t>
        </is>
      </c>
      <c r="J256" t="inlineStr">
        <is>
          <t>N</t>
        </is>
      </c>
      <c r="K256" t="inlineStr">
        <is>
          <t>N</t>
        </is>
      </c>
      <c r="L256" t="inlineStr">
        <is>
          <t>N</t>
        </is>
      </c>
      <c r="M256" t="n">
        <v>5</v>
      </c>
      <c r="N256" t="n">
        <v>2</v>
      </c>
      <c r="O256" t="n">
        <v>3</v>
      </c>
      <c r="P256" t="n">
        <v>1</v>
      </c>
      <c r="Q256" t="n">
        <v>3</v>
      </c>
      <c r="R256">
        <f>IFERROR(XLOOKUP(XLOOKUP(D256,tblReleaseChanges[Change_ID],tblReleaseChanges[Oracle_Severity],""),tblSeverityMap[Severity_Text],tblSeverityMap[Score],0),0)</f>
        <v/>
      </c>
      <c r="S256" t="n">
        <v>4</v>
      </c>
      <c r="T256">
        <f>ROUND((M256*0.25)+(N256*0.20)+(O256*0.15)+(P256*0.15)+(Q256*0.10)+(R256*0.10)+(S256*0.05),2)</f>
        <v/>
      </c>
      <c r="U256">
        <f>IF(T256&gt;=4.25,"Critical",IF(T256&gt;=3.5,"High",IF(T256&gt;=2,"Medium","Low")))</f>
        <v/>
      </c>
      <c r="V256" t="inlineStr">
        <is>
          <t>Pending Review</t>
        </is>
      </c>
      <c r="W256" t="inlineStr"/>
      <c r="X256" t="inlineStr"/>
      <c r="Y256" t="inlineStr">
        <is>
          <t xml:space="preserve">Action type: Steps to Enable. 1. Create the Carer’s Leave validation formula: • Go to the fast formula setup area and create a Global Absence Entry Validation formula ORA_HRX_IE_CARE_VALIDATION based </t>
        </is>
      </c>
      <c r="Z256" t="inlineStr">
        <is>
          <t>Y</t>
        </is>
      </c>
      <c r="AA256" t="inlineStr">
        <is>
          <t>Y</t>
        </is>
      </c>
    </row>
    <row r="257">
      <c r="A257" t="inlineStr">
        <is>
          <t>ASMT_IMP_0232</t>
        </is>
      </c>
      <c r="B257" t="inlineStr">
        <is>
          <t>CLT_DFL001</t>
        </is>
      </c>
      <c r="C257" t="inlineStr">
        <is>
          <t>REL_26C</t>
        </is>
      </c>
      <c r="D257" t="inlineStr">
        <is>
          <t>CHG_IMP_0232</t>
        </is>
      </c>
      <c r="E257" t="inlineStr">
        <is>
          <t>Functional</t>
        </is>
      </c>
      <c r="F257" t="inlineStr">
        <is>
          <t>Configuration</t>
        </is>
      </c>
      <c r="G257" t="inlineStr"/>
      <c r="H257" t="inlineStr">
        <is>
          <t>DFL Payroll impacted by Oracle 26C change</t>
        </is>
      </c>
      <c r="I257" t="inlineStr">
        <is>
          <t>Y</t>
        </is>
      </c>
      <c r="J257" t="inlineStr">
        <is>
          <t>N</t>
        </is>
      </c>
      <c r="K257" t="inlineStr">
        <is>
          <t>N</t>
        </is>
      </c>
      <c r="L257" t="inlineStr">
        <is>
          <t>N</t>
        </is>
      </c>
      <c r="M257" t="n">
        <v>5</v>
      </c>
      <c r="N257" t="n">
        <v>2</v>
      </c>
      <c r="O257" t="n">
        <v>3</v>
      </c>
      <c r="P257" t="n">
        <v>1</v>
      </c>
      <c r="Q257" t="n">
        <v>3</v>
      </c>
      <c r="R257">
        <f>IFERROR(XLOOKUP(XLOOKUP(D257,tblReleaseChanges[Change_ID],tblReleaseChanges[Oracle_Severity],""),tblSeverityMap[Severity_Text],tblSeverityMap[Score],0),0)</f>
        <v/>
      </c>
      <c r="S257" t="n">
        <v>1</v>
      </c>
      <c r="T257">
        <f>ROUND((M257*0.25)+(N257*0.20)+(O257*0.15)+(P257*0.15)+(Q257*0.10)+(R257*0.10)+(S257*0.05),2)</f>
        <v/>
      </c>
      <c r="U257">
        <f>IF(T257&gt;=4.25,"Critical",IF(T257&gt;=3.5,"High",IF(T257&gt;=2,"Medium","Low")))</f>
        <v/>
      </c>
      <c r="V257" t="inlineStr">
        <is>
          <t>Pending Review</t>
        </is>
      </c>
      <c r="W257" t="inlineStr"/>
      <c r="X257" t="inlineStr"/>
      <c r="Y257" t="inlineStr">
        <is>
          <t>Auto-enabled — no action required</t>
        </is>
      </c>
      <c r="Z257" t="inlineStr">
        <is>
          <t>N</t>
        </is>
      </c>
      <c r="AA257" t="inlineStr">
        <is>
          <t>N</t>
        </is>
      </c>
    </row>
    <row r="258">
      <c r="A258" t="inlineStr">
        <is>
          <t>ASMT_IMP_0233</t>
        </is>
      </c>
      <c r="B258" t="inlineStr">
        <is>
          <t>CLT_DFL001</t>
        </is>
      </c>
      <c r="C258" t="inlineStr">
        <is>
          <t>REL_26C</t>
        </is>
      </c>
      <c r="D258" t="inlineStr">
        <is>
          <t>CHG_IMP_0233</t>
        </is>
      </c>
      <c r="E258" t="inlineStr">
        <is>
          <t>Functional</t>
        </is>
      </c>
      <c r="F258" t="inlineStr">
        <is>
          <t>Configuration</t>
        </is>
      </c>
      <c r="G258" t="inlineStr"/>
      <c r="H258" t="inlineStr">
        <is>
          <t>DFL Payroll impacted by Oracle 26C change</t>
        </is>
      </c>
      <c r="I258" t="inlineStr">
        <is>
          <t>Y</t>
        </is>
      </c>
      <c r="J258" t="inlineStr">
        <is>
          <t>N</t>
        </is>
      </c>
      <c r="K258" t="inlineStr">
        <is>
          <t>N</t>
        </is>
      </c>
      <c r="L258" t="inlineStr">
        <is>
          <t>N</t>
        </is>
      </c>
      <c r="M258" t="n">
        <v>5</v>
      </c>
      <c r="N258" t="n">
        <v>2</v>
      </c>
      <c r="O258" t="n">
        <v>3</v>
      </c>
      <c r="P258" t="n">
        <v>1</v>
      </c>
      <c r="Q258" t="n">
        <v>3</v>
      </c>
      <c r="R258">
        <f>IFERROR(XLOOKUP(XLOOKUP(D258,tblReleaseChanges[Change_ID],tblReleaseChanges[Oracle_Severity],""),tblSeverityMap[Severity_Text],tblSeverityMap[Score],0),0)</f>
        <v/>
      </c>
      <c r="S258" t="n">
        <v>4</v>
      </c>
      <c r="T258">
        <f>ROUND((M258*0.25)+(N258*0.20)+(O258*0.15)+(P258*0.15)+(Q258*0.10)+(R258*0.10)+(S258*0.05),2)</f>
        <v/>
      </c>
      <c r="U258">
        <f>IF(T258&gt;=4.25,"Critical",IF(T258&gt;=3.5,"High",IF(T258&gt;=2,"Medium","Low")))</f>
        <v/>
      </c>
      <c r="V258" t="inlineStr">
        <is>
          <t>Pending Review</t>
        </is>
      </c>
      <c r="W258" t="inlineStr"/>
      <c r="X258" t="inlineStr"/>
      <c r="Y258" t="inlineStr">
        <is>
          <t xml:space="preserve">Action type: Steps to Enable. 1. Set up earnings elements. • Do not select Allow multiple entries in the same period. • Ensure earnings elements used in rate definitions have higher priority, meaning </t>
        </is>
      </c>
      <c r="Z258" t="inlineStr">
        <is>
          <t>Y</t>
        </is>
      </c>
      <c r="AA258" t="inlineStr">
        <is>
          <t>Y</t>
        </is>
      </c>
    </row>
    <row r="259">
      <c r="A259" t="inlineStr">
        <is>
          <t>ASMT_IMP_0234</t>
        </is>
      </c>
      <c r="B259" t="inlineStr">
        <is>
          <t>CLT_DFL001</t>
        </is>
      </c>
      <c r="C259" t="inlineStr">
        <is>
          <t>REL_26C</t>
        </is>
      </c>
      <c r="D259" t="inlineStr">
        <is>
          <t>CHG_IMP_0234</t>
        </is>
      </c>
      <c r="E259" t="inlineStr">
        <is>
          <t>Functional</t>
        </is>
      </c>
      <c r="F259" t="inlineStr">
        <is>
          <t>Configuration</t>
        </is>
      </c>
      <c r="G259" t="inlineStr"/>
      <c r="H259" t="inlineStr">
        <is>
          <t>DFL Payroll impacted by Oracle 26C change</t>
        </is>
      </c>
      <c r="I259" t="inlineStr">
        <is>
          <t>Y</t>
        </is>
      </c>
      <c r="J259" t="inlineStr">
        <is>
          <t>N</t>
        </is>
      </c>
      <c r="K259" t="inlineStr">
        <is>
          <t>N</t>
        </is>
      </c>
      <c r="L259" t="inlineStr">
        <is>
          <t>N</t>
        </is>
      </c>
      <c r="M259" t="n">
        <v>5</v>
      </c>
      <c r="N259" t="n">
        <v>2</v>
      </c>
      <c r="O259" t="n">
        <v>3</v>
      </c>
      <c r="P259" t="n">
        <v>1</v>
      </c>
      <c r="Q259" t="n">
        <v>3</v>
      </c>
      <c r="R259">
        <f>IFERROR(XLOOKUP(XLOOKUP(D259,tblReleaseChanges[Change_ID],tblReleaseChanges[Oracle_Severity],""),tblSeverityMap[Severity_Text],tblSeverityMap[Score],0),0)</f>
        <v/>
      </c>
      <c r="S259" t="n">
        <v>4</v>
      </c>
      <c r="T259">
        <f>ROUND((M259*0.25)+(N259*0.20)+(O259*0.15)+(P259*0.15)+(Q259*0.10)+(R259*0.10)+(S259*0.05),2)</f>
        <v/>
      </c>
      <c r="U259">
        <f>IF(T259&gt;=4.25,"Critical",IF(T259&gt;=3.5,"High",IF(T259&gt;=2,"Medium","Low")))</f>
        <v/>
      </c>
      <c r="V259" t="inlineStr">
        <is>
          <t>Pending Review</t>
        </is>
      </c>
      <c r="W259" t="inlineStr"/>
      <c r="X259" t="inlineStr"/>
      <c r="Y259" t="inlineStr">
        <is>
          <t>Action type: Steps to Enable. To submit the **Download Payslips** flow as a logged in user: 1. Navigate to **My Client Groups &gt; Payroll &gt; Payroll Flow Patterns**. 2. Search for the **Download Payslips</t>
        </is>
      </c>
      <c r="Z259" t="inlineStr">
        <is>
          <t>Y</t>
        </is>
      </c>
      <c r="AA259" t="inlineStr">
        <is>
          <t>Y</t>
        </is>
      </c>
    </row>
    <row r="260">
      <c r="A260" t="inlineStr">
        <is>
          <t>ASMT_IMP_0235</t>
        </is>
      </c>
      <c r="B260" t="inlineStr">
        <is>
          <t>CLT_DFL001</t>
        </is>
      </c>
      <c r="C260" t="inlineStr">
        <is>
          <t>REL_26C</t>
        </is>
      </c>
      <c r="D260" t="inlineStr">
        <is>
          <t>CHG_IMP_0235</t>
        </is>
      </c>
      <c r="E260" t="inlineStr">
        <is>
          <t>Functional</t>
        </is>
      </c>
      <c r="F260" t="inlineStr">
        <is>
          <t>Configuration</t>
        </is>
      </c>
      <c r="G260" t="inlineStr"/>
      <c r="H260" t="inlineStr">
        <is>
          <t>DFL Payroll impacted by Oracle 26C change</t>
        </is>
      </c>
      <c r="I260" t="inlineStr">
        <is>
          <t>Y</t>
        </is>
      </c>
      <c r="J260" t="inlineStr">
        <is>
          <t>N</t>
        </is>
      </c>
      <c r="K260" t="inlineStr">
        <is>
          <t>N</t>
        </is>
      </c>
      <c r="L260" t="inlineStr">
        <is>
          <t>N</t>
        </is>
      </c>
      <c r="M260" t="n">
        <v>5</v>
      </c>
      <c r="N260" t="n">
        <v>2</v>
      </c>
      <c r="O260" t="n">
        <v>3</v>
      </c>
      <c r="P260" t="n">
        <v>1</v>
      </c>
      <c r="Q260" t="n">
        <v>3</v>
      </c>
      <c r="R260">
        <f>IFERROR(XLOOKUP(XLOOKUP(D260,tblReleaseChanges[Change_ID],tblReleaseChanges[Oracle_Severity],""),tblSeverityMap[Severity_Text],tblSeverityMap[Score],0),0)</f>
        <v/>
      </c>
      <c r="S260" t="n">
        <v>1</v>
      </c>
      <c r="T260">
        <f>ROUND((M260*0.25)+(N260*0.20)+(O260*0.15)+(P260*0.15)+(Q260*0.10)+(R260*0.10)+(S260*0.05),2)</f>
        <v/>
      </c>
      <c r="U260">
        <f>IF(T260&gt;=4.25,"Critical",IF(T260&gt;=3.5,"High",IF(T260&gt;=2,"Medium","Low")))</f>
        <v/>
      </c>
      <c r="V260" t="inlineStr">
        <is>
          <t>Pending Review</t>
        </is>
      </c>
      <c r="W260" t="inlineStr"/>
      <c r="X260" t="inlineStr"/>
      <c r="Y260" t="inlineStr">
        <is>
          <t>Auto-enabled — no action required</t>
        </is>
      </c>
      <c r="Z260" t="inlineStr">
        <is>
          <t>N</t>
        </is>
      </c>
      <c r="AA260" t="inlineStr">
        <is>
          <t>N</t>
        </is>
      </c>
    </row>
    <row r="261">
      <c r="A261" t="inlineStr">
        <is>
          <t>ASMT_IMP_0236</t>
        </is>
      </c>
      <c r="B261" t="inlineStr">
        <is>
          <t>CLT_DFL001</t>
        </is>
      </c>
      <c r="C261" t="inlineStr">
        <is>
          <t>REL_26C</t>
        </is>
      </c>
      <c r="D261" t="inlineStr">
        <is>
          <t>CHG_IMP_0236</t>
        </is>
      </c>
      <c r="E261" t="inlineStr">
        <is>
          <t>Functional</t>
        </is>
      </c>
      <c r="F261" t="inlineStr">
        <is>
          <t>Configuration</t>
        </is>
      </c>
      <c r="G261" t="inlineStr"/>
      <c r="H261" t="inlineStr">
        <is>
          <t>DFL Payroll impacted by Oracle 26C change</t>
        </is>
      </c>
      <c r="I261" t="inlineStr">
        <is>
          <t>Y</t>
        </is>
      </c>
      <c r="J261" t="inlineStr">
        <is>
          <t>N</t>
        </is>
      </c>
      <c r="K261" t="inlineStr">
        <is>
          <t>N</t>
        </is>
      </c>
      <c r="L261" t="inlineStr">
        <is>
          <t>N</t>
        </is>
      </c>
      <c r="M261" t="n">
        <v>5</v>
      </c>
      <c r="N261" t="n">
        <v>2</v>
      </c>
      <c r="O261" t="n">
        <v>3</v>
      </c>
      <c r="P261" t="n">
        <v>1</v>
      </c>
      <c r="Q261" t="n">
        <v>3</v>
      </c>
      <c r="R261">
        <f>IFERROR(XLOOKUP(XLOOKUP(D261,tblReleaseChanges[Change_ID],tblReleaseChanges[Oracle_Severity],""),tblSeverityMap[Severity_Text],tblSeverityMap[Score],0),0)</f>
        <v/>
      </c>
      <c r="S261" t="n">
        <v>1</v>
      </c>
      <c r="T261">
        <f>ROUND((M261*0.25)+(N261*0.20)+(O261*0.15)+(P261*0.15)+(Q261*0.10)+(R261*0.10)+(S261*0.05),2)</f>
        <v/>
      </c>
      <c r="U261">
        <f>IF(T261&gt;=4.25,"Critical",IF(T261&gt;=3.5,"High",IF(T261&gt;=2,"Medium","Low")))</f>
        <v/>
      </c>
      <c r="V261" t="inlineStr">
        <is>
          <t>Pending Review</t>
        </is>
      </c>
      <c r="W261" t="inlineStr"/>
      <c r="X261" t="inlineStr"/>
      <c r="Y261" t="inlineStr">
        <is>
          <t>Auto-enabled — no action required</t>
        </is>
      </c>
      <c r="Z261" t="inlineStr">
        <is>
          <t>N</t>
        </is>
      </c>
      <c r="AA261" t="inlineStr">
        <is>
          <t>N</t>
        </is>
      </c>
    </row>
    <row r="262">
      <c r="A262" t="inlineStr">
        <is>
          <t>ASMT_IMP_0237</t>
        </is>
      </c>
      <c r="B262" t="inlineStr">
        <is>
          <t>CLT_DFL001</t>
        </is>
      </c>
      <c r="C262" t="inlineStr">
        <is>
          <t>REL_26C</t>
        </is>
      </c>
      <c r="D262" t="inlineStr">
        <is>
          <t>CHG_IMP_0237</t>
        </is>
      </c>
      <c r="E262" t="inlineStr">
        <is>
          <t>Functional</t>
        </is>
      </c>
      <c r="F262" t="inlineStr">
        <is>
          <t>Configuration</t>
        </is>
      </c>
      <c r="G262" t="inlineStr"/>
      <c r="H262" t="inlineStr">
        <is>
          <t>DFL Payroll impacted by Oracle 26C change</t>
        </is>
      </c>
      <c r="I262" t="inlineStr">
        <is>
          <t>Y</t>
        </is>
      </c>
      <c r="J262" t="inlineStr">
        <is>
          <t>N</t>
        </is>
      </c>
      <c r="K262" t="inlineStr">
        <is>
          <t>N</t>
        </is>
      </c>
      <c r="L262" t="inlineStr">
        <is>
          <t>N</t>
        </is>
      </c>
      <c r="M262" t="n">
        <v>5</v>
      </c>
      <c r="N262" t="n">
        <v>2</v>
      </c>
      <c r="O262" t="n">
        <v>3</v>
      </c>
      <c r="P262" t="n">
        <v>1</v>
      </c>
      <c r="Q262" t="n">
        <v>3</v>
      </c>
      <c r="R262">
        <f>IFERROR(XLOOKUP(XLOOKUP(D262,tblReleaseChanges[Change_ID],tblReleaseChanges[Oracle_Severity],""),tblSeverityMap[Severity_Text],tblSeverityMap[Score],0),0)</f>
        <v/>
      </c>
      <c r="S262" t="n">
        <v>1</v>
      </c>
      <c r="T262">
        <f>ROUND((M262*0.25)+(N262*0.20)+(O262*0.15)+(P262*0.15)+(Q262*0.10)+(R262*0.10)+(S262*0.05),2)</f>
        <v/>
      </c>
      <c r="U262">
        <f>IF(T262&gt;=4.25,"Critical",IF(T262&gt;=3.5,"High",IF(T262&gt;=2,"Medium","Low")))</f>
        <v/>
      </c>
      <c r="V262" t="inlineStr">
        <is>
          <t>Pending Review</t>
        </is>
      </c>
      <c r="W262" t="inlineStr"/>
      <c r="X262" t="inlineStr"/>
      <c r="Y262" t="inlineStr">
        <is>
          <t>Auto-enabled — no action required</t>
        </is>
      </c>
      <c r="Z262" t="inlineStr">
        <is>
          <t>N</t>
        </is>
      </c>
      <c r="AA262" t="inlineStr">
        <is>
          <t>N</t>
        </is>
      </c>
    </row>
    <row r="263">
      <c r="A263" t="inlineStr">
        <is>
          <t>ASMT_IMP_0238</t>
        </is>
      </c>
      <c r="B263" t="inlineStr">
        <is>
          <t>CLT_DFL001</t>
        </is>
      </c>
      <c r="C263" t="inlineStr">
        <is>
          <t>REL_26C</t>
        </is>
      </c>
      <c r="D263" t="inlineStr">
        <is>
          <t>CHG_IMP_0238</t>
        </is>
      </c>
      <c r="E263" t="inlineStr">
        <is>
          <t>Functional</t>
        </is>
      </c>
      <c r="F263" t="inlineStr">
        <is>
          <t>Configuration</t>
        </is>
      </c>
      <c r="G263" t="inlineStr"/>
      <c r="H263" t="inlineStr">
        <is>
          <t>DFL Payroll impacted by Oracle 26C change</t>
        </is>
      </c>
      <c r="I263" t="inlineStr">
        <is>
          <t>Y</t>
        </is>
      </c>
      <c r="J263" t="inlineStr">
        <is>
          <t>N</t>
        </is>
      </c>
      <c r="K263" t="inlineStr">
        <is>
          <t>N</t>
        </is>
      </c>
      <c r="L263" t="inlineStr">
        <is>
          <t>N</t>
        </is>
      </c>
      <c r="M263" t="n">
        <v>5</v>
      </c>
      <c r="N263" t="n">
        <v>2</v>
      </c>
      <c r="O263" t="n">
        <v>3</v>
      </c>
      <c r="P263" t="n">
        <v>1</v>
      </c>
      <c r="Q263" t="n">
        <v>3</v>
      </c>
      <c r="R263">
        <f>IFERROR(XLOOKUP(XLOOKUP(D263,tblReleaseChanges[Change_ID],tblReleaseChanges[Oracle_Severity],""),tblSeverityMap[Severity_Text],tblSeverityMap[Score],0),0)</f>
        <v/>
      </c>
      <c r="S263" t="n">
        <v>4</v>
      </c>
      <c r="T263">
        <f>ROUND((M263*0.25)+(N263*0.20)+(O263*0.15)+(P263*0.15)+(Q263*0.10)+(R263*0.10)+(S263*0.05),2)</f>
        <v/>
      </c>
      <c r="U263">
        <f>IF(T263&gt;=4.25,"Critical",IF(T263&gt;=3.5,"High",IF(T263&gt;=2,"Medium","Low")))</f>
        <v/>
      </c>
      <c r="V263" t="inlineStr">
        <is>
          <t>Pending Review</t>
        </is>
      </c>
      <c r="W263" t="inlineStr"/>
      <c r="X263" t="inlineStr"/>
      <c r="Y263" t="inlineStr">
        <is>
          <t>Action type: Steps to Enable. See How do I set up flexible benefit plans for India? to set up the flexible benefits plans in your organization.</t>
        </is>
      </c>
      <c r="Z263" t="inlineStr">
        <is>
          <t>Y</t>
        </is>
      </c>
      <c r="AA263" t="inlineStr">
        <is>
          <t>Y</t>
        </is>
      </c>
    </row>
    <row r="264">
      <c r="A264" t="inlineStr">
        <is>
          <t>ASMT_IMP_0239</t>
        </is>
      </c>
      <c r="B264" t="inlineStr">
        <is>
          <t>CLT_DFL001</t>
        </is>
      </c>
      <c r="C264" t="inlineStr">
        <is>
          <t>REL_26C</t>
        </is>
      </c>
      <c r="D264" t="inlineStr">
        <is>
          <t>CHG_IMP_0239</t>
        </is>
      </c>
      <c r="E264" t="inlineStr">
        <is>
          <t>Functional</t>
        </is>
      </c>
      <c r="F264" t="inlineStr">
        <is>
          <t>Configuration</t>
        </is>
      </c>
      <c r="G264" t="inlineStr"/>
      <c r="H264" t="inlineStr">
        <is>
          <t>DFL Payroll impacted by Oracle 26C change</t>
        </is>
      </c>
      <c r="I264" t="inlineStr">
        <is>
          <t>Y</t>
        </is>
      </c>
      <c r="J264" t="inlineStr">
        <is>
          <t>N</t>
        </is>
      </c>
      <c r="K264" t="inlineStr">
        <is>
          <t>N</t>
        </is>
      </c>
      <c r="L264" t="inlineStr">
        <is>
          <t>N</t>
        </is>
      </c>
      <c r="M264" t="n">
        <v>5</v>
      </c>
      <c r="N264" t="n">
        <v>2</v>
      </c>
      <c r="O264" t="n">
        <v>3</v>
      </c>
      <c r="P264" t="n">
        <v>1</v>
      </c>
      <c r="Q264" t="n">
        <v>3</v>
      </c>
      <c r="R264">
        <f>IFERROR(XLOOKUP(XLOOKUP(D264,tblReleaseChanges[Change_ID],tblReleaseChanges[Oracle_Severity],""),tblSeverityMap[Severity_Text],tblSeverityMap[Score],0),0)</f>
        <v/>
      </c>
      <c r="S264" t="n">
        <v>1</v>
      </c>
      <c r="T264">
        <f>ROUND((M264*0.25)+(N264*0.20)+(O264*0.15)+(P264*0.15)+(Q264*0.10)+(R264*0.10)+(S264*0.05),2)</f>
        <v/>
      </c>
      <c r="U264">
        <f>IF(T264&gt;=4.25,"Critical",IF(T264&gt;=3.5,"High",IF(T264&gt;=2,"Medium","Low")))</f>
        <v/>
      </c>
      <c r="V264" t="inlineStr">
        <is>
          <t>Pending Review</t>
        </is>
      </c>
      <c r="W264" t="inlineStr"/>
      <c r="X264" t="inlineStr"/>
      <c r="Y264" t="inlineStr">
        <is>
          <t>Auto-enabled — no action required</t>
        </is>
      </c>
      <c r="Z264" t="inlineStr">
        <is>
          <t>N</t>
        </is>
      </c>
      <c r="AA264" t="inlineStr">
        <is>
          <t>N</t>
        </is>
      </c>
    </row>
    <row r="265">
      <c r="A265" t="inlineStr">
        <is>
          <t>ASMT_IMP_0240</t>
        </is>
      </c>
      <c r="B265" t="inlineStr">
        <is>
          <t>CLT_DFL001</t>
        </is>
      </c>
      <c r="C265" t="inlineStr">
        <is>
          <t>REL_26C</t>
        </is>
      </c>
      <c r="D265" t="inlineStr">
        <is>
          <t>CHG_IMP_0240</t>
        </is>
      </c>
      <c r="E265" t="inlineStr">
        <is>
          <t>Functional</t>
        </is>
      </c>
      <c r="F265" t="inlineStr">
        <is>
          <t>Configuration</t>
        </is>
      </c>
      <c r="G265" t="inlineStr"/>
      <c r="H265" t="inlineStr">
        <is>
          <t>DFL Payroll impacted by Oracle 26C change</t>
        </is>
      </c>
      <c r="I265" t="inlineStr">
        <is>
          <t>Y</t>
        </is>
      </c>
      <c r="J265" t="inlineStr">
        <is>
          <t>N</t>
        </is>
      </c>
      <c r="K265" t="inlineStr">
        <is>
          <t>N</t>
        </is>
      </c>
      <c r="L265" t="inlineStr">
        <is>
          <t>N</t>
        </is>
      </c>
      <c r="M265" t="n">
        <v>5</v>
      </c>
      <c r="N265" t="n">
        <v>2</v>
      </c>
      <c r="O265" t="n">
        <v>3</v>
      </c>
      <c r="P265" t="n">
        <v>1</v>
      </c>
      <c r="Q265" t="n">
        <v>3</v>
      </c>
      <c r="R265">
        <f>IFERROR(XLOOKUP(XLOOKUP(D265,tblReleaseChanges[Change_ID],tblReleaseChanges[Oracle_Severity],""),tblSeverityMap[Severity_Text],tblSeverityMap[Score],0),0)</f>
        <v/>
      </c>
      <c r="S265" t="n">
        <v>1</v>
      </c>
      <c r="T265">
        <f>ROUND((M265*0.25)+(N265*0.20)+(O265*0.15)+(P265*0.15)+(Q265*0.10)+(R265*0.10)+(S265*0.05),2)</f>
        <v/>
      </c>
      <c r="U265">
        <f>IF(T265&gt;=4.25,"Critical",IF(T265&gt;=3.5,"High",IF(T265&gt;=2,"Medium","Low")))</f>
        <v/>
      </c>
      <c r="V265" t="inlineStr">
        <is>
          <t>Pending Review</t>
        </is>
      </c>
      <c r="W265" t="inlineStr"/>
      <c r="X265" t="inlineStr"/>
      <c r="Y265" t="inlineStr">
        <is>
          <t>Auto-enabled — no action required</t>
        </is>
      </c>
      <c r="Z265" t="inlineStr">
        <is>
          <t>N</t>
        </is>
      </c>
      <c r="AA265" t="inlineStr">
        <is>
          <t>N</t>
        </is>
      </c>
    </row>
    <row r="266">
      <c r="A266" t="inlineStr">
        <is>
          <t>ASMT_IMP_0241</t>
        </is>
      </c>
      <c r="B266" t="inlineStr">
        <is>
          <t>CLT_DFL001</t>
        </is>
      </c>
      <c r="C266" t="inlineStr">
        <is>
          <t>REL_26C</t>
        </is>
      </c>
      <c r="D266" t="inlineStr">
        <is>
          <t>CHG_IMP_0241</t>
        </is>
      </c>
      <c r="E266" t="inlineStr">
        <is>
          <t>Functional</t>
        </is>
      </c>
      <c r="F266" t="inlineStr">
        <is>
          <t>Configuration</t>
        </is>
      </c>
      <c r="G266" t="inlineStr"/>
      <c r="H266" t="inlineStr">
        <is>
          <t>DFL Payroll impacted by Oracle 26C change</t>
        </is>
      </c>
      <c r="I266" t="inlineStr">
        <is>
          <t>Y</t>
        </is>
      </c>
      <c r="J266" t="inlineStr">
        <is>
          <t>N</t>
        </is>
      </c>
      <c r="K266" t="inlineStr">
        <is>
          <t>N</t>
        </is>
      </c>
      <c r="L266" t="inlineStr">
        <is>
          <t>N</t>
        </is>
      </c>
      <c r="M266" t="n">
        <v>5</v>
      </c>
      <c r="N266" t="n">
        <v>2</v>
      </c>
      <c r="O266" t="n">
        <v>3</v>
      </c>
      <c r="P266" t="n">
        <v>1</v>
      </c>
      <c r="Q266" t="n">
        <v>3</v>
      </c>
      <c r="R266">
        <f>IFERROR(XLOOKUP(XLOOKUP(D266,tblReleaseChanges[Change_ID],tblReleaseChanges[Oracle_Severity],""),tblSeverityMap[Severity_Text],tblSeverityMap[Score],0),0)</f>
        <v/>
      </c>
      <c r="S266" t="n">
        <v>1</v>
      </c>
      <c r="T266">
        <f>ROUND((M266*0.25)+(N266*0.20)+(O266*0.15)+(P266*0.15)+(Q266*0.10)+(R266*0.10)+(S266*0.05),2)</f>
        <v/>
      </c>
      <c r="U266">
        <f>IF(T266&gt;=4.25,"Critical",IF(T266&gt;=3.5,"High",IF(T266&gt;=2,"Medium","Low")))</f>
        <v/>
      </c>
      <c r="V266" t="inlineStr">
        <is>
          <t>Pending Review</t>
        </is>
      </c>
      <c r="W266" t="inlineStr"/>
      <c r="X266" t="inlineStr"/>
      <c r="Y266" t="inlineStr">
        <is>
          <t>Auto-enabled — no action required</t>
        </is>
      </c>
      <c r="Z266" t="inlineStr">
        <is>
          <t>N</t>
        </is>
      </c>
      <c r="AA266" t="inlineStr">
        <is>
          <t>N</t>
        </is>
      </c>
    </row>
    <row r="267">
      <c r="A267" t="inlineStr">
        <is>
          <t>ASMT_IMP_0242</t>
        </is>
      </c>
      <c r="B267" t="inlineStr">
        <is>
          <t>CLT_DFL001</t>
        </is>
      </c>
      <c r="C267" t="inlineStr">
        <is>
          <t>REL_26C</t>
        </is>
      </c>
      <c r="D267" t="inlineStr">
        <is>
          <t>CHG_IMP_0242</t>
        </is>
      </c>
      <c r="E267" t="inlineStr">
        <is>
          <t>Functional</t>
        </is>
      </c>
      <c r="F267" t="inlineStr">
        <is>
          <t>Configuration</t>
        </is>
      </c>
      <c r="G267" t="inlineStr"/>
      <c r="H267" t="inlineStr">
        <is>
          <t>DFL Payroll impacted by Oracle 26C change</t>
        </is>
      </c>
      <c r="I267" t="inlineStr">
        <is>
          <t>Y</t>
        </is>
      </c>
      <c r="J267" t="inlineStr">
        <is>
          <t>N</t>
        </is>
      </c>
      <c r="K267" t="inlineStr">
        <is>
          <t>N</t>
        </is>
      </c>
      <c r="L267" t="inlineStr">
        <is>
          <t>N</t>
        </is>
      </c>
      <c r="M267" t="n">
        <v>5</v>
      </c>
      <c r="N267" t="n">
        <v>2</v>
      </c>
      <c r="O267" t="n">
        <v>3</v>
      </c>
      <c r="P267" t="n">
        <v>1</v>
      </c>
      <c r="Q267" t="n">
        <v>3</v>
      </c>
      <c r="R267">
        <f>IFERROR(XLOOKUP(XLOOKUP(D267,tblReleaseChanges[Change_ID],tblReleaseChanges[Oracle_Severity],""),tblSeverityMap[Severity_Text],tblSeverityMap[Score],0),0)</f>
        <v/>
      </c>
      <c r="S267" t="n">
        <v>1</v>
      </c>
      <c r="T267">
        <f>ROUND((M267*0.25)+(N267*0.20)+(O267*0.15)+(P267*0.15)+(Q267*0.10)+(R267*0.10)+(S267*0.05),2)</f>
        <v/>
      </c>
      <c r="U267">
        <f>IF(T267&gt;=4.25,"Critical",IF(T267&gt;=3.5,"High",IF(T267&gt;=2,"Medium","Low")))</f>
        <v/>
      </c>
      <c r="V267" t="inlineStr">
        <is>
          <t>Pending Review</t>
        </is>
      </c>
      <c r="W267" t="inlineStr"/>
      <c r="X267" t="inlineStr"/>
      <c r="Y267" t="inlineStr">
        <is>
          <t>Auto-enabled — no action required</t>
        </is>
      </c>
      <c r="Z267" t="inlineStr">
        <is>
          <t>N</t>
        </is>
      </c>
      <c r="AA267" t="inlineStr">
        <is>
          <t>N</t>
        </is>
      </c>
    </row>
    <row r="268">
      <c r="A268" t="inlineStr">
        <is>
          <t>ASMT_IMP_0243</t>
        </is>
      </c>
      <c r="B268" t="inlineStr">
        <is>
          <t>CLT_DFL001</t>
        </is>
      </c>
      <c r="C268" t="inlineStr">
        <is>
          <t>REL_26C</t>
        </is>
      </c>
      <c r="D268" t="inlineStr">
        <is>
          <t>CHG_IMP_0243</t>
        </is>
      </c>
      <c r="E268" t="inlineStr">
        <is>
          <t>Functional</t>
        </is>
      </c>
      <c r="F268" t="inlineStr">
        <is>
          <t>Configuration</t>
        </is>
      </c>
      <c r="G268" t="inlineStr"/>
      <c r="H268" t="inlineStr">
        <is>
          <t>DFL Payroll impacted by Oracle 26C change</t>
        </is>
      </c>
      <c r="I268" t="inlineStr">
        <is>
          <t>Y</t>
        </is>
      </c>
      <c r="J268" t="inlineStr">
        <is>
          <t>N</t>
        </is>
      </c>
      <c r="K268" t="inlineStr">
        <is>
          <t>N</t>
        </is>
      </c>
      <c r="L268" t="inlineStr">
        <is>
          <t>N</t>
        </is>
      </c>
      <c r="M268" t="n">
        <v>5</v>
      </c>
      <c r="N268" t="n">
        <v>2</v>
      </c>
      <c r="O268" t="n">
        <v>3</v>
      </c>
      <c r="P268" t="n">
        <v>1</v>
      </c>
      <c r="Q268" t="n">
        <v>3</v>
      </c>
      <c r="R268">
        <f>IFERROR(XLOOKUP(XLOOKUP(D268,tblReleaseChanges[Change_ID],tblReleaseChanges[Oracle_Severity],""),tblSeverityMap[Severity_Text],tblSeverityMap[Score],0),0)</f>
        <v/>
      </c>
      <c r="S268" t="n">
        <v>4</v>
      </c>
      <c r="T268">
        <f>ROUND((M268*0.25)+(N268*0.20)+(O268*0.15)+(P268*0.15)+(Q268*0.10)+(R268*0.10)+(S268*0.05),2)</f>
        <v/>
      </c>
      <c r="U268">
        <f>IF(T268&gt;=4.25,"Critical",IF(T268&gt;=3.5,"High",IF(T268&gt;=2,"Medium","Low")))</f>
        <v/>
      </c>
      <c r="V268" t="inlineStr">
        <is>
          <t>Pending Review</t>
        </is>
      </c>
      <c r="W268" t="inlineStr"/>
      <c r="X268" t="inlineStr"/>
      <c r="Y268" t="inlineStr">
        <is>
          <t>Action type: Steps to Enable. To use this feature, you must configure the payroll action parameter, **Overpayment Recovery Process Enabling the Over payment for Recovery Process.Default:</t>
        </is>
      </c>
      <c r="Z268" t="inlineStr">
        <is>
          <t>Y</t>
        </is>
      </c>
      <c r="AA268" t="inlineStr">
        <is>
          <t>Y</t>
        </is>
      </c>
    </row>
    <row r="269">
      <c r="A269" t="inlineStr">
        <is>
          <t>ASMT_IMP_0244</t>
        </is>
      </c>
      <c r="B269" t="inlineStr">
        <is>
          <t>CLT_DFL001</t>
        </is>
      </c>
      <c r="C269" t="inlineStr">
        <is>
          <t>REL_26C</t>
        </is>
      </c>
      <c r="D269" t="inlineStr">
        <is>
          <t>CHG_IMP_0244</t>
        </is>
      </c>
      <c r="E269" t="inlineStr">
        <is>
          <t>Functional</t>
        </is>
      </c>
      <c r="F269" t="inlineStr">
        <is>
          <t>Configuration</t>
        </is>
      </c>
      <c r="G269" t="inlineStr"/>
      <c r="H269" t="inlineStr">
        <is>
          <t>DFL Payroll impacted by Oracle 26C change</t>
        </is>
      </c>
      <c r="I269" t="inlineStr">
        <is>
          <t>Y</t>
        </is>
      </c>
      <c r="J269" t="inlineStr">
        <is>
          <t>N</t>
        </is>
      </c>
      <c r="K269" t="inlineStr">
        <is>
          <t>N</t>
        </is>
      </c>
      <c r="L269" t="inlineStr">
        <is>
          <t>N</t>
        </is>
      </c>
      <c r="M269" t="n">
        <v>5</v>
      </c>
      <c r="N269" t="n">
        <v>2</v>
      </c>
      <c r="O269" t="n">
        <v>3</v>
      </c>
      <c r="P269" t="n">
        <v>1</v>
      </c>
      <c r="Q269" t="n">
        <v>3</v>
      </c>
      <c r="R269">
        <f>IFERROR(XLOOKUP(XLOOKUP(D269,tblReleaseChanges[Change_ID],tblReleaseChanges[Oracle_Severity],""),tblSeverityMap[Severity_Text],tblSeverityMap[Score],0),0)</f>
        <v/>
      </c>
      <c r="S269" t="n">
        <v>1</v>
      </c>
      <c r="T269">
        <f>ROUND((M269*0.25)+(N269*0.20)+(O269*0.15)+(P269*0.15)+(Q269*0.10)+(R269*0.10)+(S269*0.05),2)</f>
        <v/>
      </c>
      <c r="U269">
        <f>IF(T269&gt;=4.25,"Critical",IF(T269&gt;=3.5,"High",IF(T269&gt;=2,"Medium","Low")))</f>
        <v/>
      </c>
      <c r="V269" t="inlineStr">
        <is>
          <t>Pending Review</t>
        </is>
      </c>
      <c r="W269" t="inlineStr"/>
      <c r="X269" t="inlineStr"/>
      <c r="Y269" t="inlineStr">
        <is>
          <t>Auto-enabled — no action required</t>
        </is>
      </c>
      <c r="Z269" t="inlineStr">
        <is>
          <t>N</t>
        </is>
      </c>
      <c r="AA269" t="inlineStr">
        <is>
          <t>N</t>
        </is>
      </c>
    </row>
    <row r="270">
      <c r="A270" t="inlineStr">
        <is>
          <t>ASMT_IMP_0245</t>
        </is>
      </c>
      <c r="B270" t="inlineStr">
        <is>
          <t>CLT_DFL001</t>
        </is>
      </c>
      <c r="C270" t="inlineStr">
        <is>
          <t>REL_26C</t>
        </is>
      </c>
      <c r="D270" t="inlineStr">
        <is>
          <t>CHG_IMP_0245</t>
        </is>
      </c>
      <c r="E270" t="inlineStr">
        <is>
          <t>Functional</t>
        </is>
      </c>
      <c r="F270" t="inlineStr">
        <is>
          <t>Configuration</t>
        </is>
      </c>
      <c r="G270" t="inlineStr"/>
      <c r="H270" t="inlineStr">
        <is>
          <t>DFL Payroll impacted by Oracle 26C change</t>
        </is>
      </c>
      <c r="I270" t="inlineStr">
        <is>
          <t>Y</t>
        </is>
      </c>
      <c r="J270" t="inlineStr">
        <is>
          <t>N</t>
        </is>
      </c>
      <c r="K270" t="inlineStr">
        <is>
          <t>N</t>
        </is>
      </c>
      <c r="L270" t="inlineStr">
        <is>
          <t>N</t>
        </is>
      </c>
      <c r="M270" t="n">
        <v>5</v>
      </c>
      <c r="N270" t="n">
        <v>2</v>
      </c>
      <c r="O270" t="n">
        <v>3</v>
      </c>
      <c r="P270" t="n">
        <v>1</v>
      </c>
      <c r="Q270" t="n">
        <v>3</v>
      </c>
      <c r="R270">
        <f>IFERROR(XLOOKUP(XLOOKUP(D270,tblReleaseChanges[Change_ID],tblReleaseChanges[Oracle_Severity],""),tblSeverityMap[Severity_Text],tblSeverityMap[Score],0),0)</f>
        <v/>
      </c>
      <c r="S270" t="n">
        <v>1</v>
      </c>
      <c r="T270">
        <f>ROUND((M270*0.25)+(N270*0.20)+(O270*0.15)+(P270*0.15)+(Q270*0.10)+(R270*0.10)+(S270*0.05),2)</f>
        <v/>
      </c>
      <c r="U270">
        <f>IF(T270&gt;=4.25,"Critical",IF(T270&gt;=3.5,"High",IF(T270&gt;=2,"Medium","Low")))</f>
        <v/>
      </c>
      <c r="V270" t="inlineStr">
        <is>
          <t>Pending Review</t>
        </is>
      </c>
      <c r="W270" t="inlineStr"/>
      <c r="X270" t="inlineStr"/>
      <c r="Y270" t="inlineStr">
        <is>
          <t>Auto-enabled — no action required</t>
        </is>
      </c>
      <c r="Z270" t="inlineStr">
        <is>
          <t>N</t>
        </is>
      </c>
      <c r="AA270" t="inlineStr">
        <is>
          <t>N</t>
        </is>
      </c>
    </row>
    <row r="271">
      <c r="A271" t="inlineStr">
        <is>
          <t>ASMT_IMP_0246</t>
        </is>
      </c>
      <c r="B271" t="inlineStr">
        <is>
          <t>CLT_DFL001</t>
        </is>
      </c>
      <c r="C271" t="inlineStr">
        <is>
          <t>REL_26C</t>
        </is>
      </c>
      <c r="D271" t="inlineStr">
        <is>
          <t>CHG_IMP_0246</t>
        </is>
      </c>
      <c r="E271" t="inlineStr">
        <is>
          <t>Functional</t>
        </is>
      </c>
      <c r="F271" t="inlineStr">
        <is>
          <t>Configuration</t>
        </is>
      </c>
      <c r="G271" t="inlineStr"/>
      <c r="H271" t="inlineStr">
        <is>
          <t>DFL Payroll impacted by Oracle 26C change</t>
        </is>
      </c>
      <c r="I271" t="inlineStr">
        <is>
          <t>Y</t>
        </is>
      </c>
      <c r="J271" t="inlineStr">
        <is>
          <t>N</t>
        </is>
      </c>
      <c r="K271" t="inlineStr">
        <is>
          <t>N</t>
        </is>
      </c>
      <c r="L271" t="inlineStr">
        <is>
          <t>N</t>
        </is>
      </c>
      <c r="M271" t="n">
        <v>5</v>
      </c>
      <c r="N271" t="n">
        <v>2</v>
      </c>
      <c r="O271" t="n">
        <v>3</v>
      </c>
      <c r="P271" t="n">
        <v>1</v>
      </c>
      <c r="Q271" t="n">
        <v>3</v>
      </c>
      <c r="R271">
        <f>IFERROR(XLOOKUP(XLOOKUP(D271,tblReleaseChanges[Change_ID],tblReleaseChanges[Oracle_Severity],""),tblSeverityMap[Severity_Text],tblSeverityMap[Score],0),0)</f>
        <v/>
      </c>
      <c r="S271" t="n">
        <v>4</v>
      </c>
      <c r="T271">
        <f>ROUND((M271*0.25)+(N271*0.20)+(O271*0.15)+(P271*0.15)+(Q271*0.10)+(R271*0.10)+(S271*0.05),2)</f>
        <v/>
      </c>
      <c r="U271">
        <f>IF(T271&gt;=4.25,"Critical",IF(T271&gt;=3.5,"High",IF(T271&gt;=2,"Medium","Low")))</f>
        <v/>
      </c>
      <c r="V271" t="inlineStr">
        <is>
          <t>Pending Review</t>
        </is>
      </c>
      <c r="W271" t="inlineStr"/>
      <c r="X271" t="inlineStr"/>
      <c r="Y271" t="inlineStr">
        <is>
          <t xml:space="preserve">Action type: Steps to Enable. • Open Calculation Entries or Earnings and Deductions for the employee's employment contract to access the France Pension and Welfare Redwood page. • Run the Pension and </t>
        </is>
      </c>
      <c r="Z271" t="inlineStr">
        <is>
          <t>Y</t>
        </is>
      </c>
      <c r="AA271" t="inlineStr">
        <is>
          <t>Y</t>
        </is>
      </c>
    </row>
    <row r="272">
      <c r="A272" t="inlineStr">
        <is>
          <t>ASMT_IMP_0247</t>
        </is>
      </c>
      <c r="B272" t="inlineStr">
        <is>
          <t>CLT_DFL001</t>
        </is>
      </c>
      <c r="C272" t="inlineStr">
        <is>
          <t>REL_26C</t>
        </is>
      </c>
      <c r="D272" t="inlineStr">
        <is>
          <t>CHG_IMP_0247</t>
        </is>
      </c>
      <c r="E272" t="inlineStr">
        <is>
          <t>Functional</t>
        </is>
      </c>
      <c r="F272" t="inlineStr">
        <is>
          <t>Configuration</t>
        </is>
      </c>
      <c r="G272" t="inlineStr"/>
      <c r="H272" t="inlineStr">
        <is>
          <t>DFL Payroll impacted by Oracle 26C change</t>
        </is>
      </c>
      <c r="I272" t="inlineStr">
        <is>
          <t>Y</t>
        </is>
      </c>
      <c r="J272" t="inlineStr">
        <is>
          <t>N</t>
        </is>
      </c>
      <c r="K272" t="inlineStr">
        <is>
          <t>N</t>
        </is>
      </c>
      <c r="L272" t="inlineStr">
        <is>
          <t>N</t>
        </is>
      </c>
      <c r="M272" t="n">
        <v>5</v>
      </c>
      <c r="N272" t="n">
        <v>2</v>
      </c>
      <c r="O272" t="n">
        <v>3</v>
      </c>
      <c r="P272" t="n">
        <v>1</v>
      </c>
      <c r="Q272" t="n">
        <v>3</v>
      </c>
      <c r="R272">
        <f>IFERROR(XLOOKUP(XLOOKUP(D272,tblReleaseChanges[Change_ID],tblReleaseChanges[Oracle_Severity],""),tblSeverityMap[Severity_Text],tblSeverityMap[Score],0),0)</f>
        <v/>
      </c>
      <c r="S272" t="n">
        <v>4</v>
      </c>
      <c r="T272">
        <f>ROUND((M272*0.25)+(N272*0.20)+(O272*0.15)+(P272*0.15)+(Q272*0.10)+(R272*0.10)+(S272*0.05),2)</f>
        <v/>
      </c>
      <c r="U272">
        <f>IF(T272&gt;=4.25,"Critical",IF(T272&gt;=3.5,"High",IF(T272&gt;=2,"Medium","Low")))</f>
        <v/>
      </c>
      <c r="V272" t="inlineStr">
        <is>
          <t>Pending Review</t>
        </is>
      </c>
      <c r="W272" t="inlineStr"/>
      <c r="X272" t="inlineStr"/>
      <c r="Y272" t="inlineStr">
        <is>
          <t xml:space="preserve">Action type: Steps to Enable. 1. Configure the new P45 document type in document of record. 2. Set delivery preferences at the organization-level Optionally, you can override by department, location, </t>
        </is>
      </c>
      <c r="Z272" t="inlineStr">
        <is>
          <t>Y</t>
        </is>
      </c>
      <c r="AA272" t="inlineStr">
        <is>
          <t>Y</t>
        </is>
      </c>
    </row>
    <row r="273">
      <c r="A273" t="inlineStr">
        <is>
          <t>ASMT_IMP_0248</t>
        </is>
      </c>
      <c r="B273" t="inlineStr">
        <is>
          <t>CLT_DFL001</t>
        </is>
      </c>
      <c r="C273" t="inlineStr">
        <is>
          <t>REL_26C</t>
        </is>
      </c>
      <c r="D273" t="inlineStr">
        <is>
          <t>CHG_IMP_0248</t>
        </is>
      </c>
      <c r="E273" t="inlineStr">
        <is>
          <t>Functional</t>
        </is>
      </c>
      <c r="F273" t="inlineStr">
        <is>
          <t>Configuration</t>
        </is>
      </c>
      <c r="G273" t="inlineStr"/>
      <c r="H273" t="inlineStr">
        <is>
          <t>DFL Payroll impacted by Oracle 26C change</t>
        </is>
      </c>
      <c r="I273" t="inlineStr">
        <is>
          <t>Y</t>
        </is>
      </c>
      <c r="J273" t="inlineStr">
        <is>
          <t>N</t>
        </is>
      </c>
      <c r="K273" t="inlineStr">
        <is>
          <t>N</t>
        </is>
      </c>
      <c r="L273" t="inlineStr">
        <is>
          <t>N</t>
        </is>
      </c>
      <c r="M273" t="n">
        <v>5</v>
      </c>
      <c r="N273" t="n">
        <v>2</v>
      </c>
      <c r="O273" t="n">
        <v>3</v>
      </c>
      <c r="P273" t="n">
        <v>1</v>
      </c>
      <c r="Q273" t="n">
        <v>3</v>
      </c>
      <c r="R273">
        <f>IFERROR(XLOOKUP(XLOOKUP(D273,tblReleaseChanges[Change_ID],tblReleaseChanges[Oracle_Severity],""),tblSeverityMap[Severity_Text],tblSeverityMap[Score],0),0)</f>
        <v/>
      </c>
      <c r="S273" t="n">
        <v>4</v>
      </c>
      <c r="T273">
        <f>ROUND((M273*0.25)+(N273*0.20)+(O273*0.15)+(P273*0.15)+(Q273*0.10)+(R273*0.10)+(S273*0.05),2)</f>
        <v/>
      </c>
      <c r="U273">
        <f>IF(T273&gt;=4.25,"Critical",IF(T273&gt;=3.5,"High",IF(T273&gt;=2,"Medium","Low")))</f>
        <v/>
      </c>
      <c r="V273" t="inlineStr">
        <is>
          <t>Pending Review</t>
        </is>
      </c>
      <c r="W273" t="inlineStr"/>
      <c r="X273" t="inlineStr"/>
      <c r="Y273" t="inlineStr">
        <is>
          <t>Action type: Steps to Enable. • Review employments that currently use Employment of certain family members, Under 16 years of age, Employment on certain social welfare schemes, or Other as PRSI exempt</t>
        </is>
      </c>
      <c r="Z273" t="inlineStr">
        <is>
          <t>Y</t>
        </is>
      </c>
      <c r="AA273" t="inlineStr">
        <is>
          <t>Y</t>
        </is>
      </c>
    </row>
    <row r="274">
      <c r="A274" t="inlineStr">
        <is>
          <t>ASMT_IMP_0249</t>
        </is>
      </c>
      <c r="B274" t="inlineStr">
        <is>
          <t>CLT_DFL001</t>
        </is>
      </c>
      <c r="C274" t="inlineStr">
        <is>
          <t>REL_26C</t>
        </is>
      </c>
      <c r="D274" t="inlineStr">
        <is>
          <t>CHG_IMP_0249</t>
        </is>
      </c>
      <c r="E274" t="inlineStr">
        <is>
          <t>AI Feature</t>
        </is>
      </c>
      <c r="F274" t="inlineStr">
        <is>
          <t>Configuration</t>
        </is>
      </c>
      <c r="G274" t="inlineStr"/>
      <c r="H274" t="inlineStr">
        <is>
          <t>DFL Payroll impacted by Oracle 26C change</t>
        </is>
      </c>
      <c r="I274" t="inlineStr">
        <is>
          <t>Y</t>
        </is>
      </c>
      <c r="J274" t="inlineStr">
        <is>
          <t>N</t>
        </is>
      </c>
      <c r="K274" t="inlineStr">
        <is>
          <t>N</t>
        </is>
      </c>
      <c r="L274" t="inlineStr">
        <is>
          <t>N</t>
        </is>
      </c>
      <c r="M274" t="n">
        <v>5</v>
      </c>
      <c r="N274" t="n">
        <v>2</v>
      </c>
      <c r="O274" t="n">
        <v>3</v>
      </c>
      <c r="P274" t="n">
        <v>3</v>
      </c>
      <c r="Q274" t="n">
        <v>3</v>
      </c>
      <c r="R274">
        <f>IFERROR(XLOOKUP(XLOOKUP(D274,tblReleaseChanges[Change_ID],tblReleaseChanges[Oracle_Severity],""),tblSeverityMap[Severity_Text],tblSeverityMap[Score],0),0)</f>
        <v/>
      </c>
      <c r="S274" t="n">
        <v>4</v>
      </c>
      <c r="T274">
        <f>ROUND((M274*0.25)+(N274*0.20)+(O274*0.15)+(P274*0.15)+(Q274*0.10)+(R274*0.10)+(S274*0.05),2)</f>
        <v/>
      </c>
      <c r="U274">
        <f>IF(T274&gt;=4.25,"Critical",IF(T274&gt;=3.5,"High",IF(T274&gt;=2,"Medium","Low")))</f>
        <v/>
      </c>
      <c r="V274" t="inlineStr">
        <is>
          <t>Pending Review</t>
        </is>
      </c>
      <c r="W274" t="inlineStr"/>
      <c r="X274" t="inlineStr"/>
      <c r="Y274" t="inlineStr">
        <is>
          <t>Action type: Steps to Enable. • Your environment must have the appropriate services for Oracle Applications Platform deployed. For more information, see FAQ2521 on My Oracle Cloud Support • Set the **</t>
        </is>
      </c>
      <c r="Z274" t="inlineStr">
        <is>
          <t>Y</t>
        </is>
      </c>
      <c r="AA274" t="inlineStr">
        <is>
          <t>Y</t>
        </is>
      </c>
    </row>
    <row r="275">
      <c r="A275" t="inlineStr">
        <is>
          <t>ASMT_IMP_0250</t>
        </is>
      </c>
      <c r="B275" t="inlineStr">
        <is>
          <t>CLT_DFL001</t>
        </is>
      </c>
      <c r="C275" t="inlineStr">
        <is>
          <t>REL_26C</t>
        </is>
      </c>
      <c r="D275" t="inlineStr">
        <is>
          <t>CHG_IMP_0250</t>
        </is>
      </c>
      <c r="E275" t="inlineStr">
        <is>
          <t>Functional</t>
        </is>
      </c>
      <c r="F275" t="inlineStr">
        <is>
          <t>Configuration</t>
        </is>
      </c>
      <c r="G275" t="inlineStr"/>
      <c r="H275" t="inlineStr">
        <is>
          <t>DFL Payroll impacted by Oracle 26C change</t>
        </is>
      </c>
      <c r="I275" t="inlineStr">
        <is>
          <t>Y</t>
        </is>
      </c>
      <c r="J275" t="inlineStr">
        <is>
          <t>N</t>
        </is>
      </c>
      <c r="K275" t="inlineStr">
        <is>
          <t>N</t>
        </is>
      </c>
      <c r="L275" t="inlineStr">
        <is>
          <t>N</t>
        </is>
      </c>
      <c r="M275" t="n">
        <v>5</v>
      </c>
      <c r="N275" t="n">
        <v>2</v>
      </c>
      <c r="O275" t="n">
        <v>3</v>
      </c>
      <c r="P275" t="n">
        <v>1</v>
      </c>
      <c r="Q275" t="n">
        <v>3</v>
      </c>
      <c r="R275">
        <f>IFERROR(XLOOKUP(XLOOKUP(D275,tblReleaseChanges[Change_ID],tblReleaseChanges[Oracle_Severity],""),tblSeverityMap[Severity_Text],tblSeverityMap[Score],0),0)</f>
        <v/>
      </c>
      <c r="S275" t="n">
        <v>1</v>
      </c>
      <c r="T275">
        <f>ROUND((M275*0.25)+(N275*0.20)+(O275*0.15)+(P275*0.15)+(Q275*0.10)+(R275*0.10)+(S275*0.05),2)</f>
        <v/>
      </c>
      <c r="U275">
        <f>IF(T275&gt;=4.25,"Critical",IF(T275&gt;=3.5,"High",IF(T275&gt;=2,"Medium","Low")))</f>
        <v/>
      </c>
      <c r="V275" t="inlineStr">
        <is>
          <t>Pending Review</t>
        </is>
      </c>
      <c r="W275" t="inlineStr"/>
      <c r="X275" t="inlineStr"/>
      <c r="Y275" t="inlineStr">
        <is>
          <t>Auto-enabled — no action required</t>
        </is>
      </c>
      <c r="Z275" t="inlineStr">
        <is>
          <t>N</t>
        </is>
      </c>
      <c r="AA275" t="inlineStr">
        <is>
          <t>N</t>
        </is>
      </c>
    </row>
    <row r="276">
      <c r="A276" t="inlineStr">
        <is>
          <t>ASMT_IMP_0251</t>
        </is>
      </c>
      <c r="B276" t="inlineStr">
        <is>
          <t>CLT_DFL001</t>
        </is>
      </c>
      <c r="C276" t="inlineStr">
        <is>
          <t>REL_26C</t>
        </is>
      </c>
      <c r="D276" t="inlineStr">
        <is>
          <t>CHG_IMP_0251</t>
        </is>
      </c>
      <c r="E276" t="inlineStr">
        <is>
          <t>AI Feature</t>
        </is>
      </c>
      <c r="F276" t="inlineStr">
        <is>
          <t>Configuration</t>
        </is>
      </c>
      <c r="G276" t="inlineStr"/>
      <c r="H276" t="inlineStr">
        <is>
          <t>DFL Payroll impacted by Oracle 26C change</t>
        </is>
      </c>
      <c r="I276" t="inlineStr">
        <is>
          <t>Y</t>
        </is>
      </c>
      <c r="J276" t="inlineStr">
        <is>
          <t>N</t>
        </is>
      </c>
      <c r="K276" t="inlineStr">
        <is>
          <t>N</t>
        </is>
      </c>
      <c r="L276" t="inlineStr">
        <is>
          <t>N</t>
        </is>
      </c>
      <c r="M276" t="n">
        <v>5</v>
      </c>
      <c r="N276" t="n">
        <v>2</v>
      </c>
      <c r="O276" t="n">
        <v>3</v>
      </c>
      <c r="P276" t="n">
        <v>3</v>
      </c>
      <c r="Q276" t="n">
        <v>3</v>
      </c>
      <c r="R276">
        <f>IFERROR(XLOOKUP(XLOOKUP(D276,tblReleaseChanges[Change_ID],tblReleaseChanges[Oracle_Severity],""),tblSeverityMap[Severity_Text],tblSeverityMap[Score],0),0)</f>
        <v/>
      </c>
      <c r="S276" t="n">
        <v>4</v>
      </c>
      <c r="T276">
        <f>ROUND((M276*0.25)+(N276*0.20)+(O276*0.15)+(P276*0.15)+(Q276*0.10)+(R276*0.10)+(S276*0.05),2)</f>
        <v/>
      </c>
      <c r="U276">
        <f>IF(T276&gt;=4.25,"Critical",IF(T276&gt;=3.5,"High",IF(T276&gt;=2,"Medium","Low")))</f>
        <v/>
      </c>
      <c r="V276" t="inlineStr">
        <is>
          <t>Pending Review</t>
        </is>
      </c>
      <c r="W276" t="inlineStr"/>
      <c r="X276" t="inlineStr"/>
      <c r="Y276" t="inlineStr">
        <is>
          <t>Action type: Steps to Enable. If not done already, you must configure the Agent Guided Journey and extend the Person Results page with the Agent Guided Journey. For details, see th</t>
        </is>
      </c>
      <c r="Z276" t="inlineStr">
        <is>
          <t>Y</t>
        </is>
      </c>
      <c r="AA276" t="inlineStr">
        <is>
          <t>Y</t>
        </is>
      </c>
    </row>
    <row r="277">
      <c r="A277" t="inlineStr">
        <is>
          <t>ASMT_IMP_0252</t>
        </is>
      </c>
      <c r="B277" t="inlineStr">
        <is>
          <t>CLT_DFL001</t>
        </is>
      </c>
      <c r="C277" t="inlineStr">
        <is>
          <t>REL_26C</t>
        </is>
      </c>
      <c r="D277" t="inlineStr">
        <is>
          <t>CHG_IMP_0252</t>
        </is>
      </c>
      <c r="E277" t="inlineStr">
        <is>
          <t>Functional</t>
        </is>
      </c>
      <c r="F277" t="inlineStr">
        <is>
          <t>Configuration</t>
        </is>
      </c>
      <c r="G277" t="inlineStr"/>
      <c r="H277" t="inlineStr">
        <is>
          <t>DFL Payroll impacted by Oracle 26C change</t>
        </is>
      </c>
      <c r="I277" t="inlineStr">
        <is>
          <t>Y</t>
        </is>
      </c>
      <c r="J277" t="inlineStr">
        <is>
          <t>N</t>
        </is>
      </c>
      <c r="K277" t="inlineStr">
        <is>
          <t>N</t>
        </is>
      </c>
      <c r="L277" t="inlineStr">
        <is>
          <t>N</t>
        </is>
      </c>
      <c r="M277" t="n">
        <v>5</v>
      </c>
      <c r="N277" t="n">
        <v>2</v>
      </c>
      <c r="O277" t="n">
        <v>3</v>
      </c>
      <c r="P277" t="n">
        <v>1</v>
      </c>
      <c r="Q277" t="n">
        <v>3</v>
      </c>
      <c r="R277">
        <f>IFERROR(XLOOKUP(XLOOKUP(D277,tblReleaseChanges[Change_ID],tblReleaseChanges[Oracle_Severity],""),tblSeverityMap[Severity_Text],tblSeverityMap[Score],0),0)</f>
        <v/>
      </c>
      <c r="S277" t="n">
        <v>1</v>
      </c>
      <c r="T277">
        <f>ROUND((M277*0.25)+(N277*0.20)+(O277*0.15)+(P277*0.15)+(Q277*0.10)+(R277*0.10)+(S277*0.05),2)</f>
        <v/>
      </c>
      <c r="U277">
        <f>IF(T277&gt;=4.25,"Critical",IF(T277&gt;=3.5,"High",IF(T277&gt;=2,"Medium","Low")))</f>
        <v/>
      </c>
      <c r="V277" t="inlineStr">
        <is>
          <t>Pending Review</t>
        </is>
      </c>
      <c r="W277" t="inlineStr"/>
      <c r="X277" t="inlineStr"/>
      <c r="Y277" t="inlineStr">
        <is>
          <t>Auto-enabled — no action required</t>
        </is>
      </c>
      <c r="Z277" t="inlineStr">
        <is>
          <t>N</t>
        </is>
      </c>
      <c r="AA277" t="inlineStr">
        <is>
          <t>N</t>
        </is>
      </c>
    </row>
    <row r="278">
      <c r="A278" t="inlineStr">
        <is>
          <t>ASMT_IMP_0253</t>
        </is>
      </c>
      <c r="B278" t="inlineStr">
        <is>
          <t>CLT_DFL001</t>
        </is>
      </c>
      <c r="C278" t="inlineStr">
        <is>
          <t>REL_26C</t>
        </is>
      </c>
      <c r="D278" t="inlineStr">
        <is>
          <t>CHG_IMP_0253</t>
        </is>
      </c>
      <c r="E278" t="inlineStr">
        <is>
          <t>Functional</t>
        </is>
      </c>
      <c r="F278" t="inlineStr">
        <is>
          <t>Configuration</t>
        </is>
      </c>
      <c r="G278" t="inlineStr"/>
      <c r="H278" t="inlineStr">
        <is>
          <t>DFL Payroll impacted by Oracle 26C change</t>
        </is>
      </c>
      <c r="I278" t="inlineStr">
        <is>
          <t>Y</t>
        </is>
      </c>
      <c r="J278" t="inlineStr">
        <is>
          <t>N</t>
        </is>
      </c>
      <c r="K278" t="inlineStr">
        <is>
          <t>N</t>
        </is>
      </c>
      <c r="L278" t="inlineStr">
        <is>
          <t>N</t>
        </is>
      </c>
      <c r="M278" t="n">
        <v>5</v>
      </c>
      <c r="N278" t="n">
        <v>2</v>
      </c>
      <c r="O278" t="n">
        <v>3</v>
      </c>
      <c r="P278" t="n">
        <v>1</v>
      </c>
      <c r="Q278" t="n">
        <v>3</v>
      </c>
      <c r="R278">
        <f>IFERROR(XLOOKUP(XLOOKUP(D278,tblReleaseChanges[Change_ID],tblReleaseChanges[Oracle_Severity],""),tblSeverityMap[Severity_Text],tblSeverityMap[Score],0),0)</f>
        <v/>
      </c>
      <c r="S278" t="n">
        <v>4</v>
      </c>
      <c r="T278">
        <f>ROUND((M278*0.25)+(N278*0.20)+(O278*0.15)+(P278*0.15)+(Q278*0.10)+(R278*0.10)+(S278*0.05),2)</f>
        <v/>
      </c>
      <c r="U278">
        <f>IF(T278&gt;=4.25,"Critical",IF(T278&gt;=3.5,"High",IF(T278&gt;=2,"Medium","Low")))</f>
        <v/>
      </c>
      <c r="V278" t="inlineStr">
        <is>
          <t>Pending Review</t>
        </is>
      </c>
      <c r="W278" t="inlineStr"/>
      <c r="X278" t="inlineStr"/>
      <c r="Y278" t="inlineStr">
        <is>
          <t>Action type: Steps to Enable. You need to run the feature upgrade process to update all existing records. To do this: 1. Go to **My Client Groups****-&gt; Payroll -&gt;****Submit a Flow.** 2. Select the app</t>
        </is>
      </c>
      <c r="Z278" t="inlineStr">
        <is>
          <t>Y</t>
        </is>
      </c>
      <c r="AA278" t="inlineStr">
        <is>
          <t>Y</t>
        </is>
      </c>
    </row>
    <row r="279">
      <c r="A279" t="inlineStr">
        <is>
          <t>ASMT_IMP_0254</t>
        </is>
      </c>
      <c r="B279" t="inlineStr">
        <is>
          <t>CLT_DFL001</t>
        </is>
      </c>
      <c r="C279" t="inlineStr">
        <is>
          <t>REL_26C</t>
        </is>
      </c>
      <c r="D279" t="inlineStr">
        <is>
          <t>CHG_IMP_0254</t>
        </is>
      </c>
      <c r="E279" t="inlineStr">
        <is>
          <t>Functional</t>
        </is>
      </c>
      <c r="F279" t="inlineStr">
        <is>
          <t>Configuration</t>
        </is>
      </c>
      <c r="G279" t="inlineStr"/>
      <c r="H279" t="inlineStr">
        <is>
          <t>DFL Payroll impacted by Oracle 26C change</t>
        </is>
      </c>
      <c r="I279" t="inlineStr">
        <is>
          <t>Y</t>
        </is>
      </c>
      <c r="J279" t="inlineStr">
        <is>
          <t>N</t>
        </is>
      </c>
      <c r="K279" t="inlineStr">
        <is>
          <t>N</t>
        </is>
      </c>
      <c r="L279" t="inlineStr">
        <is>
          <t>N</t>
        </is>
      </c>
      <c r="M279" t="n">
        <v>5</v>
      </c>
      <c r="N279" t="n">
        <v>2</v>
      </c>
      <c r="O279" t="n">
        <v>3</v>
      </c>
      <c r="P279" t="n">
        <v>1</v>
      </c>
      <c r="Q279" t="n">
        <v>3</v>
      </c>
      <c r="R279">
        <f>IFERROR(XLOOKUP(XLOOKUP(D279,tblReleaseChanges[Change_ID],tblReleaseChanges[Oracle_Severity],""),tblSeverityMap[Severity_Text],tblSeverityMap[Score],0),0)</f>
        <v/>
      </c>
      <c r="S279" t="n">
        <v>1</v>
      </c>
      <c r="T279">
        <f>ROUND((M279*0.25)+(N279*0.20)+(O279*0.15)+(P279*0.15)+(Q279*0.10)+(R279*0.10)+(S279*0.05),2)</f>
        <v/>
      </c>
      <c r="U279">
        <f>IF(T279&gt;=4.25,"Critical",IF(T279&gt;=3.5,"High",IF(T279&gt;=2,"Medium","Low")))</f>
        <v/>
      </c>
      <c r="V279" t="inlineStr">
        <is>
          <t>Pending Review</t>
        </is>
      </c>
      <c r="W279" t="inlineStr"/>
      <c r="X279" t="inlineStr"/>
      <c r="Y279" t="inlineStr">
        <is>
          <t>Auto-enabled — no action required</t>
        </is>
      </c>
      <c r="Z279" t="inlineStr">
        <is>
          <t>N</t>
        </is>
      </c>
      <c r="AA279" t="inlineStr">
        <is>
          <t>N</t>
        </is>
      </c>
    </row>
    <row r="280">
      <c r="A280" t="inlineStr">
        <is>
          <t>ASMT_IMP_0255</t>
        </is>
      </c>
      <c r="B280" t="inlineStr">
        <is>
          <t>CLT_DFL001</t>
        </is>
      </c>
      <c r="C280" t="inlineStr">
        <is>
          <t>REL_26C</t>
        </is>
      </c>
      <c r="D280" t="inlineStr">
        <is>
          <t>CHG_IMP_0255</t>
        </is>
      </c>
      <c r="E280" t="inlineStr">
        <is>
          <t>Functional</t>
        </is>
      </c>
      <c r="F280" t="inlineStr">
        <is>
          <t>Configuration</t>
        </is>
      </c>
      <c r="G280" t="inlineStr"/>
      <c r="H280" t="inlineStr">
        <is>
          <t>DFL Payroll impacted by Oracle 26C change</t>
        </is>
      </c>
      <c r="I280" t="inlineStr">
        <is>
          <t>Y</t>
        </is>
      </c>
      <c r="J280" t="inlineStr">
        <is>
          <t>N</t>
        </is>
      </c>
      <c r="K280" t="inlineStr">
        <is>
          <t>N</t>
        </is>
      </c>
      <c r="L280" t="inlineStr">
        <is>
          <t>N</t>
        </is>
      </c>
      <c r="M280" t="n">
        <v>5</v>
      </c>
      <c r="N280" t="n">
        <v>2</v>
      </c>
      <c r="O280" t="n">
        <v>3</v>
      </c>
      <c r="P280" t="n">
        <v>1</v>
      </c>
      <c r="Q280" t="n">
        <v>3</v>
      </c>
      <c r="R280">
        <f>IFERROR(XLOOKUP(XLOOKUP(D280,tblReleaseChanges[Change_ID],tblReleaseChanges[Oracle_Severity],""),tblSeverityMap[Severity_Text],tblSeverityMap[Score],0),0)</f>
        <v/>
      </c>
      <c r="S280" t="n">
        <v>1</v>
      </c>
      <c r="T280">
        <f>ROUND((M280*0.25)+(N280*0.20)+(O280*0.15)+(P280*0.15)+(Q280*0.10)+(R280*0.10)+(S280*0.05),2)</f>
        <v/>
      </c>
      <c r="U280">
        <f>IF(T280&gt;=4.25,"Critical",IF(T280&gt;=3.5,"High",IF(T280&gt;=2,"Medium","Low")))</f>
        <v/>
      </c>
      <c r="V280" t="inlineStr">
        <is>
          <t>Pending Review</t>
        </is>
      </c>
      <c r="W280" t="inlineStr"/>
      <c r="X280" t="inlineStr"/>
      <c r="Y280" t="inlineStr">
        <is>
          <t>Auto-enabled — no action required</t>
        </is>
      </c>
      <c r="Z280" t="inlineStr">
        <is>
          <t>N</t>
        </is>
      </c>
      <c r="AA280" t="inlineStr">
        <is>
          <t>N</t>
        </is>
      </c>
    </row>
    <row r="281">
      <c r="A281" t="inlineStr">
        <is>
          <t>ASMT_IMP_0256</t>
        </is>
      </c>
      <c r="B281" t="inlineStr">
        <is>
          <t>CLT_DFL001</t>
        </is>
      </c>
      <c r="C281" t="inlineStr">
        <is>
          <t>REL_26C</t>
        </is>
      </c>
      <c r="D281" t="inlineStr">
        <is>
          <t>CHG_IMP_0256</t>
        </is>
      </c>
      <c r="E281" t="inlineStr">
        <is>
          <t>Functional</t>
        </is>
      </c>
      <c r="F281" t="inlineStr">
        <is>
          <t>Configuration</t>
        </is>
      </c>
      <c r="G281" t="inlineStr"/>
      <c r="H281" t="inlineStr">
        <is>
          <t>DFL Payroll impacted by Oracle 26C change</t>
        </is>
      </c>
      <c r="I281" t="inlineStr">
        <is>
          <t>Y</t>
        </is>
      </c>
      <c r="J281" t="inlineStr">
        <is>
          <t>N</t>
        </is>
      </c>
      <c r="K281" t="inlineStr">
        <is>
          <t>N</t>
        </is>
      </c>
      <c r="L281" t="inlineStr">
        <is>
          <t>N</t>
        </is>
      </c>
      <c r="M281" t="n">
        <v>5</v>
      </c>
      <c r="N281" t="n">
        <v>2</v>
      </c>
      <c r="O281" t="n">
        <v>3</v>
      </c>
      <c r="P281" t="n">
        <v>1</v>
      </c>
      <c r="Q281" t="n">
        <v>3</v>
      </c>
      <c r="R281">
        <f>IFERROR(XLOOKUP(XLOOKUP(D281,tblReleaseChanges[Change_ID],tblReleaseChanges[Oracle_Severity],""),tblSeverityMap[Severity_Text],tblSeverityMap[Score],0),0)</f>
        <v/>
      </c>
      <c r="S281" t="n">
        <v>1</v>
      </c>
      <c r="T281">
        <f>ROUND((M281*0.25)+(N281*0.20)+(O281*0.15)+(P281*0.15)+(Q281*0.10)+(R281*0.10)+(S281*0.05),2)</f>
        <v/>
      </c>
      <c r="U281">
        <f>IF(T281&gt;=4.25,"Critical",IF(T281&gt;=3.5,"High",IF(T281&gt;=2,"Medium","Low")))</f>
        <v/>
      </c>
      <c r="V281" t="inlineStr">
        <is>
          <t>Pending Review</t>
        </is>
      </c>
      <c r="W281" t="inlineStr"/>
      <c r="X281" t="inlineStr"/>
      <c r="Y281" t="inlineStr">
        <is>
          <t>Auto-enabled — no action required</t>
        </is>
      </c>
      <c r="Z281" t="inlineStr">
        <is>
          <t>N</t>
        </is>
      </c>
      <c r="AA281" t="inlineStr">
        <is>
          <t>N</t>
        </is>
      </c>
    </row>
    <row r="282">
      <c r="A282" t="inlineStr">
        <is>
          <t>ASMT_IMP_0257</t>
        </is>
      </c>
      <c r="B282" t="inlineStr">
        <is>
          <t>CLT_DFL001</t>
        </is>
      </c>
      <c r="C282" t="inlineStr">
        <is>
          <t>REL_26C</t>
        </is>
      </c>
      <c r="D282" t="inlineStr">
        <is>
          <t>CHG_IMP_0257</t>
        </is>
      </c>
      <c r="E282" t="inlineStr">
        <is>
          <t>Functional</t>
        </is>
      </c>
      <c r="F282" t="inlineStr">
        <is>
          <t>Configuration</t>
        </is>
      </c>
      <c r="G282" t="inlineStr"/>
      <c r="H282" t="inlineStr">
        <is>
          <t>DFL Payroll impacted by Oracle 26C change</t>
        </is>
      </c>
      <c r="I282" t="inlineStr">
        <is>
          <t>Y</t>
        </is>
      </c>
      <c r="J282" t="inlineStr">
        <is>
          <t>N</t>
        </is>
      </c>
      <c r="K282" t="inlineStr">
        <is>
          <t>N</t>
        </is>
      </c>
      <c r="L282" t="inlineStr">
        <is>
          <t>N</t>
        </is>
      </c>
      <c r="M282" t="n">
        <v>5</v>
      </c>
      <c r="N282" t="n">
        <v>2</v>
      </c>
      <c r="O282" t="n">
        <v>3</v>
      </c>
      <c r="P282" t="n">
        <v>1</v>
      </c>
      <c r="Q282" t="n">
        <v>3</v>
      </c>
      <c r="R282">
        <f>IFERROR(XLOOKUP(XLOOKUP(D282,tblReleaseChanges[Change_ID],tblReleaseChanges[Oracle_Severity],""),tblSeverityMap[Severity_Text],tblSeverityMap[Score],0),0)</f>
        <v/>
      </c>
      <c r="S282" t="n">
        <v>1</v>
      </c>
      <c r="T282">
        <f>ROUND((M282*0.25)+(N282*0.20)+(O282*0.15)+(P282*0.15)+(Q282*0.10)+(R282*0.10)+(S282*0.05),2)</f>
        <v/>
      </c>
      <c r="U282">
        <f>IF(T282&gt;=4.25,"Critical",IF(T282&gt;=3.5,"High",IF(T282&gt;=2,"Medium","Low")))</f>
        <v/>
      </c>
      <c r="V282" t="inlineStr">
        <is>
          <t>Pending Review</t>
        </is>
      </c>
      <c r="W282" t="inlineStr"/>
      <c r="X282" t="inlineStr"/>
      <c r="Y282" t="inlineStr">
        <is>
          <t>Auto-enabled — no action required</t>
        </is>
      </c>
      <c r="Z282" t="inlineStr">
        <is>
          <t>N</t>
        </is>
      </c>
      <c r="AA282" t="inlineStr">
        <is>
          <t>N</t>
        </is>
      </c>
    </row>
    <row r="283">
      <c r="A283" t="inlineStr">
        <is>
          <t>ASMT_IMP_0258</t>
        </is>
      </c>
      <c r="B283" t="inlineStr">
        <is>
          <t>CLT_DFL001</t>
        </is>
      </c>
      <c r="C283" t="inlineStr">
        <is>
          <t>REL_26C</t>
        </is>
      </c>
      <c r="D283" t="inlineStr">
        <is>
          <t>CHG_IMP_0258</t>
        </is>
      </c>
      <c r="E283" t="inlineStr">
        <is>
          <t>Functional</t>
        </is>
      </c>
      <c r="F283" t="inlineStr">
        <is>
          <t>Configuration</t>
        </is>
      </c>
      <c r="G283" t="inlineStr"/>
      <c r="H283" t="inlineStr">
        <is>
          <t>DFL Payroll impacted by Oracle 26C change</t>
        </is>
      </c>
      <c r="I283" t="inlineStr">
        <is>
          <t>Y</t>
        </is>
      </c>
      <c r="J283" t="inlineStr">
        <is>
          <t>N</t>
        </is>
      </c>
      <c r="K283" t="inlineStr">
        <is>
          <t>N</t>
        </is>
      </c>
      <c r="L283" t="inlineStr">
        <is>
          <t>N</t>
        </is>
      </c>
      <c r="M283" t="n">
        <v>5</v>
      </c>
      <c r="N283" t="n">
        <v>2</v>
      </c>
      <c r="O283" t="n">
        <v>3</v>
      </c>
      <c r="P283" t="n">
        <v>1</v>
      </c>
      <c r="Q283" t="n">
        <v>3</v>
      </c>
      <c r="R283">
        <f>IFERROR(XLOOKUP(XLOOKUP(D283,tblReleaseChanges[Change_ID],tblReleaseChanges[Oracle_Severity],""),tblSeverityMap[Severity_Text],tblSeverityMap[Score],0),0)</f>
        <v/>
      </c>
      <c r="S283" t="n">
        <v>4</v>
      </c>
      <c r="T283">
        <f>ROUND((M283*0.25)+(N283*0.20)+(O283*0.15)+(P283*0.15)+(Q283*0.10)+(R283*0.10)+(S283*0.05),2)</f>
        <v/>
      </c>
      <c r="U283">
        <f>IF(T283&gt;=4.25,"Critical",IF(T283&gt;=3.5,"High",IF(T283&gt;=2,"Medium","Low")))</f>
        <v/>
      </c>
      <c r="V283" t="inlineStr">
        <is>
          <t>Pending Review</t>
        </is>
      </c>
      <c r="W283" t="inlineStr"/>
      <c r="X283" t="inlineStr"/>
      <c r="Y283" t="inlineStr">
        <is>
          <t>Action type: Steps to Enable. An administrator can set up this feature by enabling the switch: 1. Go to **Setup and Maintenance &gt; Tasks panel &gt; Search &gt; Manage Standard Lookups**. 2. Search for the **</t>
        </is>
      </c>
      <c r="Z283" t="inlineStr">
        <is>
          <t>Y</t>
        </is>
      </c>
      <c r="AA283" t="inlineStr">
        <is>
          <t>Y</t>
        </is>
      </c>
    </row>
    <row r="284">
      <c r="A284" t="inlineStr">
        <is>
          <t>ASMT_IMP_0259</t>
        </is>
      </c>
      <c r="B284" t="inlineStr">
        <is>
          <t>CLT_DFL001</t>
        </is>
      </c>
      <c r="C284" t="inlineStr">
        <is>
          <t>REL_26C</t>
        </is>
      </c>
      <c r="D284" t="inlineStr">
        <is>
          <t>CHG_IMP_0259</t>
        </is>
      </c>
      <c r="E284" t="inlineStr">
        <is>
          <t>Functional</t>
        </is>
      </c>
      <c r="F284" t="inlineStr">
        <is>
          <t>Configuration</t>
        </is>
      </c>
      <c r="G284" t="inlineStr"/>
      <c r="H284" t="inlineStr">
        <is>
          <t>DFL Payroll impacted by Oracle 26C change</t>
        </is>
      </c>
      <c r="I284" t="inlineStr">
        <is>
          <t>Y</t>
        </is>
      </c>
      <c r="J284" t="inlineStr">
        <is>
          <t>N</t>
        </is>
      </c>
      <c r="K284" t="inlineStr">
        <is>
          <t>N</t>
        </is>
      </c>
      <c r="L284" t="inlineStr">
        <is>
          <t>N</t>
        </is>
      </c>
      <c r="M284" t="n">
        <v>5</v>
      </c>
      <c r="N284" t="n">
        <v>2</v>
      </c>
      <c r="O284" t="n">
        <v>3</v>
      </c>
      <c r="P284" t="n">
        <v>1</v>
      </c>
      <c r="Q284" t="n">
        <v>3</v>
      </c>
      <c r="R284">
        <f>IFERROR(XLOOKUP(XLOOKUP(D284,tblReleaseChanges[Change_ID],tblReleaseChanges[Oracle_Severity],""),tblSeverityMap[Severity_Text],tblSeverityMap[Score],0),0)</f>
        <v/>
      </c>
      <c r="S284" t="n">
        <v>4</v>
      </c>
      <c r="T284">
        <f>ROUND((M284*0.25)+(N284*0.20)+(O284*0.15)+(P284*0.15)+(Q284*0.10)+(R284*0.10)+(S284*0.05),2)</f>
        <v/>
      </c>
      <c r="U284">
        <f>IF(T284&gt;=4.25,"Critical",IF(T284&gt;=3.5,"High",IF(T284&gt;=2,"Medium","Low")))</f>
        <v/>
      </c>
      <c r="V284" t="inlineStr">
        <is>
          <t>Pending Review</t>
        </is>
      </c>
      <c r="W284" t="inlineStr"/>
      <c r="X284" t="inlineStr"/>
      <c r="Y284" t="inlineStr">
        <is>
          <t>Action type: Steps to Enable. To use this feature, you must configure the payroll action parameter, **Overpayment Recovery Process Enabling the Over payment for Recovery Process.Default:N**. To change</t>
        </is>
      </c>
      <c r="Z284" t="inlineStr">
        <is>
          <t>Y</t>
        </is>
      </c>
      <c r="AA284" t="inlineStr">
        <is>
          <t>Y</t>
        </is>
      </c>
    </row>
    <row r="285">
      <c r="A285" t="inlineStr">
        <is>
          <t>ASMT_IMP_0260</t>
        </is>
      </c>
      <c r="B285" t="inlineStr">
        <is>
          <t>CLT_DFL001</t>
        </is>
      </c>
      <c r="C285" t="inlineStr">
        <is>
          <t>REL_26C</t>
        </is>
      </c>
      <c r="D285" t="inlineStr">
        <is>
          <t>CHG_IMP_0260</t>
        </is>
      </c>
      <c r="E285" t="inlineStr">
        <is>
          <t>Functional</t>
        </is>
      </c>
      <c r="F285" t="inlineStr">
        <is>
          <t>Configuration</t>
        </is>
      </c>
      <c r="G285" t="inlineStr"/>
      <c r="H285" t="inlineStr">
        <is>
          <t>DFL Payroll impacted by Oracle 26C change</t>
        </is>
      </c>
      <c r="I285" t="inlineStr">
        <is>
          <t>Y</t>
        </is>
      </c>
      <c r="J285" t="inlineStr">
        <is>
          <t>N</t>
        </is>
      </c>
      <c r="K285" t="inlineStr">
        <is>
          <t>N</t>
        </is>
      </c>
      <c r="L285" t="inlineStr">
        <is>
          <t>N</t>
        </is>
      </c>
      <c r="M285" t="n">
        <v>5</v>
      </c>
      <c r="N285" t="n">
        <v>2</v>
      </c>
      <c r="O285" t="n">
        <v>3</v>
      </c>
      <c r="P285" t="n">
        <v>1</v>
      </c>
      <c r="Q285" t="n">
        <v>3</v>
      </c>
      <c r="R285">
        <f>IFERROR(XLOOKUP(XLOOKUP(D285,tblReleaseChanges[Change_ID],tblReleaseChanges[Oracle_Severity],""),tblSeverityMap[Severity_Text],tblSeverityMap[Score],0),0)</f>
        <v/>
      </c>
      <c r="S285" t="n">
        <v>1</v>
      </c>
      <c r="T285">
        <f>ROUND((M285*0.25)+(N285*0.20)+(O285*0.15)+(P285*0.15)+(Q285*0.10)+(R285*0.10)+(S285*0.05),2)</f>
        <v/>
      </c>
      <c r="U285">
        <f>IF(T285&gt;=4.25,"Critical",IF(T285&gt;=3.5,"High",IF(T285&gt;=2,"Medium","Low")))</f>
        <v/>
      </c>
      <c r="V285" t="inlineStr">
        <is>
          <t>Pending Review</t>
        </is>
      </c>
      <c r="W285" t="inlineStr"/>
      <c r="X285" t="inlineStr"/>
      <c r="Y285" t="inlineStr">
        <is>
          <t>Auto-enabled — no action required</t>
        </is>
      </c>
      <c r="Z285" t="inlineStr">
        <is>
          <t>N</t>
        </is>
      </c>
      <c r="AA285" t="inlineStr">
        <is>
          <t>N</t>
        </is>
      </c>
    </row>
    <row r="286">
      <c r="A286" t="inlineStr">
        <is>
          <t>ASMT_IMP_0261</t>
        </is>
      </c>
      <c r="B286" t="inlineStr">
        <is>
          <t>CLT_DFL001</t>
        </is>
      </c>
      <c r="C286" t="inlineStr">
        <is>
          <t>REL_26C</t>
        </is>
      </c>
      <c r="D286" t="inlineStr">
        <is>
          <t>CHG_IMP_0261</t>
        </is>
      </c>
      <c r="E286" t="inlineStr">
        <is>
          <t>Functional</t>
        </is>
      </c>
      <c r="F286" t="inlineStr">
        <is>
          <t>Configuration</t>
        </is>
      </c>
      <c r="G286" t="inlineStr"/>
      <c r="H286" t="inlineStr">
        <is>
          <t>DFL Payroll impacted by Oracle 26C change</t>
        </is>
      </c>
      <c r="I286" t="inlineStr">
        <is>
          <t>Y</t>
        </is>
      </c>
      <c r="J286" t="inlineStr">
        <is>
          <t>N</t>
        </is>
      </c>
      <c r="K286" t="inlineStr">
        <is>
          <t>N</t>
        </is>
      </c>
      <c r="L286" t="inlineStr">
        <is>
          <t>N</t>
        </is>
      </c>
      <c r="M286" t="n">
        <v>5</v>
      </c>
      <c r="N286" t="n">
        <v>2</v>
      </c>
      <c r="O286" t="n">
        <v>3</v>
      </c>
      <c r="P286" t="n">
        <v>1</v>
      </c>
      <c r="Q286" t="n">
        <v>3</v>
      </c>
      <c r="R286">
        <f>IFERROR(XLOOKUP(XLOOKUP(D286,tblReleaseChanges[Change_ID],tblReleaseChanges[Oracle_Severity],""),tblSeverityMap[Severity_Text],tblSeverityMap[Score],0),0)</f>
        <v/>
      </c>
      <c r="S286" t="n">
        <v>1</v>
      </c>
      <c r="T286">
        <f>ROUND((M286*0.25)+(N286*0.20)+(O286*0.15)+(P286*0.15)+(Q286*0.10)+(R286*0.10)+(S286*0.05),2)</f>
        <v/>
      </c>
      <c r="U286">
        <f>IF(T286&gt;=4.25,"Critical",IF(T286&gt;=3.5,"High",IF(T286&gt;=2,"Medium","Low")))</f>
        <v/>
      </c>
      <c r="V286" t="inlineStr">
        <is>
          <t>Pending Review</t>
        </is>
      </c>
      <c r="W286" t="inlineStr"/>
      <c r="X286" t="inlineStr"/>
      <c r="Y286" t="inlineStr">
        <is>
          <t>Auto-enabled — no action required</t>
        </is>
      </c>
      <c r="Z286" t="inlineStr">
        <is>
          <t>N</t>
        </is>
      </c>
      <c r="AA286" t="inlineStr">
        <is>
          <t>N</t>
        </is>
      </c>
    </row>
    <row r="287">
      <c r="A287" t="inlineStr">
        <is>
          <t>ASMT_IMP_0262</t>
        </is>
      </c>
      <c r="B287" t="inlineStr">
        <is>
          <t>CLT_DFL001</t>
        </is>
      </c>
      <c r="C287" t="inlineStr">
        <is>
          <t>REL_26C</t>
        </is>
      </c>
      <c r="D287" t="inlineStr">
        <is>
          <t>CHG_IMP_0262</t>
        </is>
      </c>
      <c r="E287" t="inlineStr">
        <is>
          <t>Functional</t>
        </is>
      </c>
      <c r="F287" t="inlineStr">
        <is>
          <t>Configuration</t>
        </is>
      </c>
      <c r="G287" t="inlineStr"/>
      <c r="H287" t="inlineStr">
        <is>
          <t>DFL Payroll impacted by Oracle 26C change</t>
        </is>
      </c>
      <c r="I287" t="inlineStr">
        <is>
          <t>Y</t>
        </is>
      </c>
      <c r="J287" t="inlineStr">
        <is>
          <t>N</t>
        </is>
      </c>
      <c r="K287" t="inlineStr">
        <is>
          <t>N</t>
        </is>
      </c>
      <c r="L287" t="inlineStr">
        <is>
          <t>N</t>
        </is>
      </c>
      <c r="M287" t="n">
        <v>5</v>
      </c>
      <c r="N287" t="n">
        <v>2</v>
      </c>
      <c r="O287" t="n">
        <v>3</v>
      </c>
      <c r="P287" t="n">
        <v>1</v>
      </c>
      <c r="Q287" t="n">
        <v>3</v>
      </c>
      <c r="R287">
        <f>IFERROR(XLOOKUP(XLOOKUP(D287,tblReleaseChanges[Change_ID],tblReleaseChanges[Oracle_Severity],""),tblSeverityMap[Severity_Text],tblSeverityMap[Score],0),0)</f>
        <v/>
      </c>
      <c r="S287" t="n">
        <v>4</v>
      </c>
      <c r="T287">
        <f>ROUND((M287*0.25)+(N287*0.20)+(O287*0.15)+(P287*0.15)+(Q287*0.10)+(R287*0.10)+(S287*0.05),2)</f>
        <v/>
      </c>
      <c r="U287">
        <f>IF(T287&gt;=4.25,"Critical",IF(T287&gt;=3.5,"High",IF(T287&gt;=2,"Medium","Low")))</f>
        <v/>
      </c>
      <c r="V287" t="inlineStr">
        <is>
          <t>Pending Review</t>
        </is>
      </c>
      <c r="W287" t="inlineStr"/>
      <c r="X287" t="inlineStr"/>
      <c r="Y287" t="inlineStr">
        <is>
          <t xml:space="preserve">Action type: Steps to Enable. 1. Ensure you've configured the Ireland Revenue web service connection in the process configuration group for production (live) 2. If operational </t>
        </is>
      </c>
      <c r="Z287" t="inlineStr">
        <is>
          <t>Y</t>
        </is>
      </c>
      <c r="AA287" t="inlineStr">
        <is>
          <t>Y</t>
        </is>
      </c>
    </row>
    <row r="288">
      <c r="A288" t="inlineStr">
        <is>
          <t>ASMT_IMP_0263</t>
        </is>
      </c>
      <c r="B288" t="inlineStr">
        <is>
          <t>CLT_DFL001</t>
        </is>
      </c>
      <c r="C288" t="inlineStr">
        <is>
          <t>REL_26C</t>
        </is>
      </c>
      <c r="D288" t="inlineStr">
        <is>
          <t>CHG_IMP_0263</t>
        </is>
      </c>
      <c r="E288" t="inlineStr">
        <is>
          <t>Functional</t>
        </is>
      </c>
      <c r="F288" t="inlineStr">
        <is>
          <t>Configuration</t>
        </is>
      </c>
      <c r="G288" t="inlineStr"/>
      <c r="H288" t="inlineStr">
        <is>
          <t>DFL Payroll impacted by Oracle 26C change</t>
        </is>
      </c>
      <c r="I288" t="inlineStr">
        <is>
          <t>Y</t>
        </is>
      </c>
      <c r="J288" t="inlineStr">
        <is>
          <t>N</t>
        </is>
      </c>
      <c r="K288" t="inlineStr">
        <is>
          <t>N</t>
        </is>
      </c>
      <c r="L288" t="inlineStr">
        <is>
          <t>N</t>
        </is>
      </c>
      <c r="M288" t="n">
        <v>5</v>
      </c>
      <c r="N288" t="n">
        <v>2</v>
      </c>
      <c r="O288" t="n">
        <v>3</v>
      </c>
      <c r="P288" t="n">
        <v>1</v>
      </c>
      <c r="Q288" t="n">
        <v>3</v>
      </c>
      <c r="R288">
        <f>IFERROR(XLOOKUP(XLOOKUP(D288,tblReleaseChanges[Change_ID],tblReleaseChanges[Oracle_Severity],""),tblSeverityMap[Severity_Text],tblSeverityMap[Score],0),0)</f>
        <v/>
      </c>
      <c r="S288" t="n">
        <v>1</v>
      </c>
      <c r="T288">
        <f>ROUND((M288*0.25)+(N288*0.20)+(O288*0.15)+(P288*0.15)+(Q288*0.10)+(R288*0.10)+(S288*0.05),2)</f>
        <v/>
      </c>
      <c r="U288">
        <f>IF(T288&gt;=4.25,"Critical",IF(T288&gt;=3.5,"High",IF(T288&gt;=2,"Medium","Low")))</f>
        <v/>
      </c>
      <c r="V288" t="inlineStr">
        <is>
          <t>Pending Review</t>
        </is>
      </c>
      <c r="W288" t="inlineStr"/>
      <c r="X288" t="inlineStr"/>
      <c r="Y288" t="inlineStr">
        <is>
          <t>Auto-enabled — no action required</t>
        </is>
      </c>
      <c r="Z288" t="inlineStr">
        <is>
          <t>N</t>
        </is>
      </c>
      <c r="AA288" t="inlineStr">
        <is>
          <t>N</t>
        </is>
      </c>
    </row>
    <row r="289">
      <c r="A289" t="inlineStr">
        <is>
          <t>ASMT_IMP_0264</t>
        </is>
      </c>
      <c r="B289" t="inlineStr">
        <is>
          <t>CLT_DFL001</t>
        </is>
      </c>
      <c r="C289" t="inlineStr">
        <is>
          <t>REL_26C</t>
        </is>
      </c>
      <c r="D289" t="inlineStr">
        <is>
          <t>CHG_IMP_0264</t>
        </is>
      </c>
      <c r="E289" t="inlineStr">
        <is>
          <t>Functional</t>
        </is>
      </c>
      <c r="F289" t="inlineStr">
        <is>
          <t>Configuration</t>
        </is>
      </c>
      <c r="G289" t="inlineStr"/>
      <c r="H289" t="inlineStr">
        <is>
          <t>DFL Payroll impacted by Oracle 26C change</t>
        </is>
      </c>
      <c r="I289" t="inlineStr">
        <is>
          <t>Y</t>
        </is>
      </c>
      <c r="J289" t="inlineStr">
        <is>
          <t>N</t>
        </is>
      </c>
      <c r="K289" t="inlineStr">
        <is>
          <t>N</t>
        </is>
      </c>
      <c r="L289" t="inlineStr">
        <is>
          <t>N</t>
        </is>
      </c>
      <c r="M289" t="n">
        <v>5</v>
      </c>
      <c r="N289" t="n">
        <v>2</v>
      </c>
      <c r="O289" t="n">
        <v>3</v>
      </c>
      <c r="P289" t="n">
        <v>1</v>
      </c>
      <c r="Q289" t="n">
        <v>3</v>
      </c>
      <c r="R289">
        <f>IFERROR(XLOOKUP(XLOOKUP(D289,tblReleaseChanges[Change_ID],tblReleaseChanges[Oracle_Severity],""),tblSeverityMap[Severity_Text],tblSeverityMap[Score],0),0)</f>
        <v/>
      </c>
      <c r="S289" t="n">
        <v>1</v>
      </c>
      <c r="T289">
        <f>ROUND((M289*0.25)+(N289*0.20)+(O289*0.15)+(P289*0.15)+(Q289*0.10)+(R289*0.10)+(S289*0.05),2)</f>
        <v/>
      </c>
      <c r="U289">
        <f>IF(T289&gt;=4.25,"Critical",IF(T289&gt;=3.5,"High",IF(T289&gt;=2,"Medium","Low")))</f>
        <v/>
      </c>
      <c r="V289" t="inlineStr">
        <is>
          <t>Pending Review</t>
        </is>
      </c>
      <c r="W289" t="inlineStr"/>
      <c r="X289" t="inlineStr"/>
      <c r="Y289" t="inlineStr">
        <is>
          <t>Auto-enabled — no action required</t>
        </is>
      </c>
      <c r="Z289" t="inlineStr">
        <is>
          <t>N</t>
        </is>
      </c>
      <c r="AA289" t="inlineStr">
        <is>
          <t>N</t>
        </is>
      </c>
    </row>
    <row r="290">
      <c r="A290" t="inlineStr">
        <is>
          <t>ASMT_IMP_0265</t>
        </is>
      </c>
      <c r="B290" t="inlineStr">
        <is>
          <t>CLT_DFL001</t>
        </is>
      </c>
      <c r="C290" t="inlineStr">
        <is>
          <t>REL_26C</t>
        </is>
      </c>
      <c r="D290" t="inlineStr">
        <is>
          <t>CHG_IMP_0265</t>
        </is>
      </c>
      <c r="E290" t="inlineStr">
        <is>
          <t>Functional</t>
        </is>
      </c>
      <c r="F290" t="inlineStr">
        <is>
          <t>Configuration</t>
        </is>
      </c>
      <c r="G290" t="inlineStr"/>
      <c r="H290" t="inlineStr">
        <is>
          <t>DFL Payroll impacted by Oracle 26C change</t>
        </is>
      </c>
      <c r="I290" t="inlineStr">
        <is>
          <t>Y</t>
        </is>
      </c>
      <c r="J290" t="inlineStr">
        <is>
          <t>N</t>
        </is>
      </c>
      <c r="K290" t="inlineStr">
        <is>
          <t>N</t>
        </is>
      </c>
      <c r="L290" t="inlineStr">
        <is>
          <t>N</t>
        </is>
      </c>
      <c r="M290" t="n">
        <v>5</v>
      </c>
      <c r="N290" t="n">
        <v>2</v>
      </c>
      <c r="O290" t="n">
        <v>3</v>
      </c>
      <c r="P290" t="n">
        <v>1</v>
      </c>
      <c r="Q290" t="n">
        <v>3</v>
      </c>
      <c r="R290">
        <f>IFERROR(XLOOKUP(XLOOKUP(D290,tblReleaseChanges[Change_ID],tblReleaseChanges[Oracle_Severity],""),tblSeverityMap[Severity_Text],tblSeverityMap[Score],0),0)</f>
        <v/>
      </c>
      <c r="S290" t="n">
        <v>4</v>
      </c>
      <c r="T290">
        <f>ROUND((M290*0.25)+(N290*0.20)+(O290*0.15)+(P290*0.15)+(Q290*0.10)+(R290*0.10)+(S290*0.05),2)</f>
        <v/>
      </c>
      <c r="U290">
        <f>IF(T290&gt;=4.25,"Critical",IF(T290&gt;=3.5,"High",IF(T290&gt;=2,"Medium","Low")))</f>
        <v/>
      </c>
      <c r="V290" t="inlineStr">
        <is>
          <t>Pending Review</t>
        </is>
      </c>
      <c r="W290" t="inlineStr"/>
      <c r="X290" t="inlineStr"/>
      <c r="Y290" t="inlineStr">
        <is>
          <t>Action type: Steps to Enable. • Configure and use a CET legislative grouping code for time saving plan absences. • Create required customer absence types under CET so employees can take CET days in se</t>
        </is>
      </c>
      <c r="Z290" t="inlineStr">
        <is>
          <t>Y</t>
        </is>
      </c>
      <c r="AA290" t="inlineStr">
        <is>
          <t>Y</t>
        </is>
      </c>
    </row>
    <row r="291">
      <c r="A291" t="inlineStr">
        <is>
          <t>ASMT_IMP_0266</t>
        </is>
      </c>
      <c r="B291" t="inlineStr">
        <is>
          <t>CLT_DFL001</t>
        </is>
      </c>
      <c r="C291" t="inlineStr">
        <is>
          <t>REL_26C</t>
        </is>
      </c>
      <c r="D291" t="inlineStr">
        <is>
          <t>CHG_IMP_0266</t>
        </is>
      </c>
      <c r="E291" t="inlineStr">
        <is>
          <t>Functional</t>
        </is>
      </c>
      <c r="F291" t="inlineStr">
        <is>
          <t>Configuration</t>
        </is>
      </c>
      <c r="G291" t="inlineStr"/>
      <c r="H291" t="inlineStr">
        <is>
          <t>DFL Payroll impacted by Oracle 26C change</t>
        </is>
      </c>
      <c r="I291" t="inlineStr">
        <is>
          <t>Y</t>
        </is>
      </c>
      <c r="J291" t="inlineStr">
        <is>
          <t>N</t>
        </is>
      </c>
      <c r="K291" t="inlineStr">
        <is>
          <t>N</t>
        </is>
      </c>
      <c r="L291" t="inlineStr">
        <is>
          <t>N</t>
        </is>
      </c>
      <c r="M291" t="n">
        <v>5</v>
      </c>
      <c r="N291" t="n">
        <v>2</v>
      </c>
      <c r="O291" t="n">
        <v>3</v>
      </c>
      <c r="P291" t="n">
        <v>1</v>
      </c>
      <c r="Q291" t="n">
        <v>3</v>
      </c>
      <c r="R291">
        <f>IFERROR(XLOOKUP(XLOOKUP(D291,tblReleaseChanges[Change_ID],tblReleaseChanges[Oracle_Severity],""),tblSeverityMap[Severity_Text],tblSeverityMap[Score],0),0)</f>
        <v/>
      </c>
      <c r="S291" t="n">
        <v>1</v>
      </c>
      <c r="T291">
        <f>ROUND((M291*0.25)+(N291*0.20)+(O291*0.15)+(P291*0.15)+(Q291*0.10)+(R291*0.10)+(S291*0.05),2)</f>
        <v/>
      </c>
      <c r="U291">
        <f>IF(T291&gt;=4.25,"Critical",IF(T291&gt;=3.5,"High",IF(T291&gt;=2,"Medium","Low")))</f>
        <v/>
      </c>
      <c r="V291" t="inlineStr">
        <is>
          <t>Pending Review</t>
        </is>
      </c>
      <c r="W291" t="inlineStr"/>
      <c r="X291" t="inlineStr"/>
      <c r="Y291" t="inlineStr">
        <is>
          <t>Auto-enabled — no action required</t>
        </is>
      </c>
      <c r="Z291" t="inlineStr">
        <is>
          <t>N</t>
        </is>
      </c>
      <c r="AA291" t="inlineStr">
        <is>
          <t>N</t>
        </is>
      </c>
    </row>
    <row r="292">
      <c r="A292" t="inlineStr">
        <is>
          <t>ASMT_IMP_0267</t>
        </is>
      </c>
      <c r="B292" t="inlineStr">
        <is>
          <t>CLT_DFL001</t>
        </is>
      </c>
      <c r="C292" t="inlineStr">
        <is>
          <t>REL_26C</t>
        </is>
      </c>
      <c r="D292" t="inlineStr">
        <is>
          <t>CHG_IMP_0267</t>
        </is>
      </c>
      <c r="E292" t="inlineStr">
        <is>
          <t>Functional</t>
        </is>
      </c>
      <c r="F292" t="inlineStr">
        <is>
          <t>Configuration</t>
        </is>
      </c>
      <c r="G292" t="inlineStr"/>
      <c r="H292" t="inlineStr">
        <is>
          <t>DFL Payroll impacted by Oracle 26C change</t>
        </is>
      </c>
      <c r="I292" t="inlineStr">
        <is>
          <t>Y</t>
        </is>
      </c>
      <c r="J292" t="inlineStr">
        <is>
          <t>N</t>
        </is>
      </c>
      <c r="K292" t="inlineStr">
        <is>
          <t>N</t>
        </is>
      </c>
      <c r="L292" t="inlineStr">
        <is>
          <t>N</t>
        </is>
      </c>
      <c r="M292" t="n">
        <v>5</v>
      </c>
      <c r="N292" t="n">
        <v>2</v>
      </c>
      <c r="O292" t="n">
        <v>3</v>
      </c>
      <c r="P292" t="n">
        <v>1</v>
      </c>
      <c r="Q292" t="n">
        <v>3</v>
      </c>
      <c r="R292">
        <f>IFERROR(XLOOKUP(XLOOKUP(D292,tblReleaseChanges[Change_ID],tblReleaseChanges[Oracle_Severity],""),tblSeverityMap[Severity_Text],tblSeverityMap[Score],0),0)</f>
        <v/>
      </c>
      <c r="S292" t="n">
        <v>4</v>
      </c>
      <c r="T292">
        <f>ROUND((M292*0.25)+(N292*0.20)+(O292*0.15)+(P292*0.15)+(Q292*0.10)+(R292*0.10)+(S292*0.05),2)</f>
        <v/>
      </c>
      <c r="U292">
        <f>IF(T292&gt;=4.25,"Critical",IF(T292&gt;=3.5,"High",IF(T292&gt;=2,"Medium","Low")))</f>
        <v/>
      </c>
      <c r="V292" t="inlineStr">
        <is>
          <t>Pending Review</t>
        </is>
      </c>
      <c r="W292" t="inlineStr"/>
      <c r="X292" t="inlineStr"/>
      <c r="Y292" t="inlineStr">
        <is>
          <t>Action type: Steps to Enable. To enable any Redwood page in 26C, set the **ORA_HCM_VBCS_PWA_ENABLED** central profile option to **Y** (Enable VBCS Progressive Web Application User Interfaces across HC</t>
        </is>
      </c>
      <c r="Z292" t="inlineStr">
        <is>
          <t>Y</t>
        </is>
      </c>
      <c r="AA292" t="inlineStr">
        <is>
          <t>Y</t>
        </is>
      </c>
    </row>
    <row r="293">
      <c r="A293" t="inlineStr">
        <is>
          <t>ASMT_IMP_0268</t>
        </is>
      </c>
      <c r="B293" t="inlineStr">
        <is>
          <t>CLT_DFL001</t>
        </is>
      </c>
      <c r="C293" t="inlineStr">
        <is>
          <t>REL_26C</t>
        </is>
      </c>
      <c r="D293" t="inlineStr">
        <is>
          <t>CHG_IMP_0268</t>
        </is>
      </c>
      <c r="E293" t="inlineStr">
        <is>
          <t>AI Feature</t>
        </is>
      </c>
      <c r="F293" t="inlineStr">
        <is>
          <t>Configuration</t>
        </is>
      </c>
      <c r="G293" t="inlineStr"/>
      <c r="H293" t="inlineStr">
        <is>
          <t>DFL Recruiting impacted by Oracle 26C change</t>
        </is>
      </c>
      <c r="I293" t="inlineStr">
        <is>
          <t>Y</t>
        </is>
      </c>
      <c r="J293" t="inlineStr">
        <is>
          <t>N</t>
        </is>
      </c>
      <c r="K293" t="inlineStr">
        <is>
          <t>N</t>
        </is>
      </c>
      <c r="L293" t="inlineStr">
        <is>
          <t>N</t>
        </is>
      </c>
      <c r="M293" t="n">
        <v>3</v>
      </c>
      <c r="N293" t="n">
        <v>2</v>
      </c>
      <c r="O293" t="n">
        <v>2</v>
      </c>
      <c r="P293" t="n">
        <v>3</v>
      </c>
      <c r="Q293" t="n">
        <v>3</v>
      </c>
      <c r="R293">
        <f>IFERROR(XLOOKUP(XLOOKUP(D293,tblReleaseChanges[Change_ID],tblReleaseChanges[Oracle_Severity],""),tblSeverityMap[Severity_Text],tblSeverityMap[Score],0),0)</f>
        <v/>
      </c>
      <c r="S293" t="n">
        <v>1</v>
      </c>
      <c r="T293">
        <f>ROUND((M293*0.25)+(N293*0.20)+(O293*0.15)+(P293*0.15)+(Q293*0.10)+(R293*0.10)+(S293*0.05),2)</f>
        <v/>
      </c>
      <c r="U293">
        <f>IF(T293&gt;=4.25,"Critical",IF(T293&gt;=3.5,"High",IF(T293&gt;=2,"Medium","Low")))</f>
        <v/>
      </c>
      <c r="V293" t="inlineStr">
        <is>
          <t>Pending Review</t>
        </is>
      </c>
      <c r="W293" t="inlineStr"/>
      <c r="X293" t="inlineStr"/>
      <c r="Y293" t="inlineStr">
        <is>
          <t>Auto-enabled — no action required</t>
        </is>
      </c>
      <c r="Z293" t="inlineStr">
        <is>
          <t>N</t>
        </is>
      </c>
      <c r="AA293" t="inlineStr">
        <is>
          <t>N</t>
        </is>
      </c>
    </row>
    <row r="294">
      <c r="A294" t="inlineStr">
        <is>
          <t>ASMT_IMP_0269</t>
        </is>
      </c>
      <c r="B294" t="inlineStr">
        <is>
          <t>CLT_DFL001</t>
        </is>
      </c>
      <c r="C294" t="inlineStr">
        <is>
          <t>REL_26C</t>
        </is>
      </c>
      <c r="D294" t="inlineStr">
        <is>
          <t>CHG_IMP_0269</t>
        </is>
      </c>
      <c r="E294" t="inlineStr">
        <is>
          <t>AI Feature</t>
        </is>
      </c>
      <c r="F294" t="inlineStr">
        <is>
          <t>Configuration</t>
        </is>
      </c>
      <c r="G294" t="inlineStr"/>
      <c r="H294" t="inlineStr">
        <is>
          <t>DFL Recruiting impacted by Oracle 26C change</t>
        </is>
      </c>
      <c r="I294" t="inlineStr">
        <is>
          <t>Y</t>
        </is>
      </c>
      <c r="J294" t="inlineStr">
        <is>
          <t>N</t>
        </is>
      </c>
      <c r="K294" t="inlineStr">
        <is>
          <t>N</t>
        </is>
      </c>
      <c r="L294" t="inlineStr">
        <is>
          <t>N</t>
        </is>
      </c>
      <c r="M294" t="n">
        <v>3</v>
      </c>
      <c r="N294" t="n">
        <v>2</v>
      </c>
      <c r="O294" t="n">
        <v>2</v>
      </c>
      <c r="P294" t="n">
        <v>3</v>
      </c>
      <c r="Q294" t="n">
        <v>3</v>
      </c>
      <c r="R294">
        <f>IFERROR(XLOOKUP(XLOOKUP(D294,tblReleaseChanges[Change_ID],tblReleaseChanges[Oracle_Severity],""),tblSeverityMap[Severity_Text],tblSeverityMap[Score],0),0)</f>
        <v/>
      </c>
      <c r="S294" t="n">
        <v>1</v>
      </c>
      <c r="T294">
        <f>ROUND((M294*0.25)+(N294*0.20)+(O294*0.15)+(P294*0.15)+(Q294*0.10)+(R294*0.10)+(S294*0.05),2)</f>
        <v/>
      </c>
      <c r="U294">
        <f>IF(T294&gt;=4.25,"Critical",IF(T294&gt;=3.5,"High",IF(T294&gt;=2,"Medium","Low")))</f>
        <v/>
      </c>
      <c r="V294" t="inlineStr">
        <is>
          <t>Pending Review</t>
        </is>
      </c>
      <c r="W294" t="inlineStr"/>
      <c r="X294" t="inlineStr"/>
      <c r="Y294" t="inlineStr">
        <is>
          <t>Auto-enabled — no action required</t>
        </is>
      </c>
      <c r="Z294" t="inlineStr">
        <is>
          <t>N</t>
        </is>
      </c>
      <c r="AA294" t="inlineStr">
        <is>
          <t>N</t>
        </is>
      </c>
    </row>
    <row r="295">
      <c r="A295" t="inlineStr">
        <is>
          <t>ASMT_IMP_0270</t>
        </is>
      </c>
      <c r="B295" t="inlineStr">
        <is>
          <t>CLT_DFL001</t>
        </is>
      </c>
      <c r="C295" t="inlineStr">
        <is>
          <t>REL_26C</t>
        </is>
      </c>
      <c r="D295" t="inlineStr">
        <is>
          <t>CHG_IMP_0270</t>
        </is>
      </c>
      <c r="E295" t="inlineStr">
        <is>
          <t>Functional</t>
        </is>
      </c>
      <c r="F295" t="inlineStr">
        <is>
          <t>Configuration</t>
        </is>
      </c>
      <c r="G295" t="inlineStr"/>
      <c r="H295" t="inlineStr">
        <is>
          <t>DFL Recruiting impacted by Oracle 26C change</t>
        </is>
      </c>
      <c r="I295" t="inlineStr">
        <is>
          <t>Y</t>
        </is>
      </c>
      <c r="J295" t="inlineStr">
        <is>
          <t>N</t>
        </is>
      </c>
      <c r="K295" t="inlineStr">
        <is>
          <t>N</t>
        </is>
      </c>
      <c r="L295" t="inlineStr">
        <is>
          <t>N</t>
        </is>
      </c>
      <c r="M295" t="n">
        <v>3</v>
      </c>
      <c r="N295" t="n">
        <v>2</v>
      </c>
      <c r="O295" t="n">
        <v>2</v>
      </c>
      <c r="P295" t="n">
        <v>1</v>
      </c>
      <c r="Q295" t="n">
        <v>3</v>
      </c>
      <c r="R295">
        <f>IFERROR(XLOOKUP(XLOOKUP(D295,tblReleaseChanges[Change_ID],tblReleaseChanges[Oracle_Severity],""),tblSeverityMap[Severity_Text],tblSeverityMap[Score],0),0)</f>
        <v/>
      </c>
      <c r="S295" t="n">
        <v>1</v>
      </c>
      <c r="T295">
        <f>ROUND((M295*0.25)+(N295*0.20)+(O295*0.15)+(P295*0.15)+(Q295*0.10)+(R295*0.10)+(S295*0.05),2)</f>
        <v/>
      </c>
      <c r="U295">
        <f>IF(T295&gt;=4.25,"Critical",IF(T295&gt;=3.5,"High",IF(T295&gt;=2,"Medium","Low")))</f>
        <v/>
      </c>
      <c r="V295" t="inlineStr">
        <is>
          <t>Pending Review</t>
        </is>
      </c>
      <c r="W295" t="inlineStr"/>
      <c r="X295" t="inlineStr"/>
      <c r="Y295" t="inlineStr">
        <is>
          <t>Auto-enabled — no action required</t>
        </is>
      </c>
      <c r="Z295" t="inlineStr">
        <is>
          <t>N</t>
        </is>
      </c>
      <c r="AA295" t="inlineStr">
        <is>
          <t>N</t>
        </is>
      </c>
    </row>
    <row r="296">
      <c r="A296" t="inlineStr">
        <is>
          <t>ASMT_IMP_0271</t>
        </is>
      </c>
      <c r="B296" t="inlineStr">
        <is>
          <t>CLT_DFL001</t>
        </is>
      </c>
      <c r="C296" t="inlineStr">
        <is>
          <t>REL_26C</t>
        </is>
      </c>
      <c r="D296" t="inlineStr">
        <is>
          <t>CHG_IMP_0271</t>
        </is>
      </c>
      <c r="E296" t="inlineStr">
        <is>
          <t>Functional</t>
        </is>
      </c>
      <c r="F296" t="inlineStr">
        <is>
          <t>Configuration</t>
        </is>
      </c>
      <c r="G296" t="inlineStr"/>
      <c r="H296" t="inlineStr">
        <is>
          <t>DFL Recruiting impacted by Oracle 26C change</t>
        </is>
      </c>
      <c r="I296" t="inlineStr">
        <is>
          <t>Y</t>
        </is>
      </c>
      <c r="J296" t="inlineStr">
        <is>
          <t>N</t>
        </is>
      </c>
      <c r="K296" t="inlineStr">
        <is>
          <t>N</t>
        </is>
      </c>
      <c r="L296" t="inlineStr">
        <is>
          <t>N</t>
        </is>
      </c>
      <c r="M296" t="n">
        <v>3</v>
      </c>
      <c r="N296" t="n">
        <v>2</v>
      </c>
      <c r="O296" t="n">
        <v>2</v>
      </c>
      <c r="P296" t="n">
        <v>1</v>
      </c>
      <c r="Q296" t="n">
        <v>3</v>
      </c>
      <c r="R296">
        <f>IFERROR(XLOOKUP(XLOOKUP(D296,tblReleaseChanges[Change_ID],tblReleaseChanges[Oracle_Severity],""),tblSeverityMap[Severity_Text],tblSeverityMap[Score],0),0)</f>
        <v/>
      </c>
      <c r="S296" t="n">
        <v>1</v>
      </c>
      <c r="T296">
        <f>ROUND((M296*0.25)+(N296*0.20)+(O296*0.15)+(P296*0.15)+(Q296*0.10)+(R296*0.10)+(S296*0.05),2)</f>
        <v/>
      </c>
      <c r="U296">
        <f>IF(T296&gt;=4.25,"Critical",IF(T296&gt;=3.5,"High",IF(T296&gt;=2,"Medium","Low")))</f>
        <v/>
      </c>
      <c r="V296" t="inlineStr">
        <is>
          <t>Pending Review</t>
        </is>
      </c>
      <c r="W296" t="inlineStr"/>
      <c r="X296" t="inlineStr"/>
      <c r="Y296" t="inlineStr">
        <is>
          <t>Auto-enabled — no action required</t>
        </is>
      </c>
      <c r="Z296" t="inlineStr">
        <is>
          <t>N</t>
        </is>
      </c>
      <c r="AA296" t="inlineStr">
        <is>
          <t>N</t>
        </is>
      </c>
    </row>
    <row r="297">
      <c r="A297" t="inlineStr">
        <is>
          <t>ASMT_IMP_0272</t>
        </is>
      </c>
      <c r="B297" t="inlineStr">
        <is>
          <t>CLT_DFL001</t>
        </is>
      </c>
      <c r="C297" t="inlineStr">
        <is>
          <t>REL_26C</t>
        </is>
      </c>
      <c r="D297" t="inlineStr">
        <is>
          <t>CHG_IMP_0272</t>
        </is>
      </c>
      <c r="E297" t="inlineStr">
        <is>
          <t>Functional</t>
        </is>
      </c>
      <c r="F297" t="inlineStr">
        <is>
          <t>Configuration</t>
        </is>
      </c>
      <c r="G297" t="inlineStr"/>
      <c r="H297" t="inlineStr">
        <is>
          <t>DFL Recruiting impacted by Oracle 26C change</t>
        </is>
      </c>
      <c r="I297" t="inlineStr">
        <is>
          <t>Y</t>
        </is>
      </c>
      <c r="J297" t="inlineStr">
        <is>
          <t>N</t>
        </is>
      </c>
      <c r="K297" t="inlineStr">
        <is>
          <t>N</t>
        </is>
      </c>
      <c r="L297" t="inlineStr">
        <is>
          <t>N</t>
        </is>
      </c>
      <c r="M297" t="n">
        <v>3</v>
      </c>
      <c r="N297" t="n">
        <v>2</v>
      </c>
      <c r="O297" t="n">
        <v>2</v>
      </c>
      <c r="P297" t="n">
        <v>1</v>
      </c>
      <c r="Q297" t="n">
        <v>3</v>
      </c>
      <c r="R297">
        <f>IFERROR(XLOOKUP(XLOOKUP(D297,tblReleaseChanges[Change_ID],tblReleaseChanges[Oracle_Severity],""),tblSeverityMap[Severity_Text],tblSeverityMap[Score],0),0)</f>
        <v/>
      </c>
      <c r="S297" t="n">
        <v>1</v>
      </c>
      <c r="T297">
        <f>ROUND((M297*0.25)+(N297*0.20)+(O297*0.15)+(P297*0.15)+(Q297*0.10)+(R297*0.10)+(S297*0.05),2)</f>
        <v/>
      </c>
      <c r="U297">
        <f>IF(T297&gt;=4.25,"Critical",IF(T297&gt;=3.5,"High",IF(T297&gt;=2,"Medium","Low")))</f>
        <v/>
      </c>
      <c r="V297" t="inlineStr">
        <is>
          <t>Pending Review</t>
        </is>
      </c>
      <c r="W297" t="inlineStr"/>
      <c r="X297" t="inlineStr"/>
      <c r="Y297" t="inlineStr">
        <is>
          <t>Auto-enabled — no action required</t>
        </is>
      </c>
      <c r="Z297" t="inlineStr">
        <is>
          <t>N</t>
        </is>
      </c>
      <c r="AA297" t="inlineStr">
        <is>
          <t>N</t>
        </is>
      </c>
    </row>
    <row r="298">
      <c r="A298" t="inlineStr">
        <is>
          <t>ASMT_IMP_0273</t>
        </is>
      </c>
      <c r="B298" t="inlineStr">
        <is>
          <t>CLT_DFL001</t>
        </is>
      </c>
      <c r="C298" t="inlineStr">
        <is>
          <t>REL_26C</t>
        </is>
      </c>
      <c r="D298" t="inlineStr">
        <is>
          <t>CHG_IMP_0273</t>
        </is>
      </c>
      <c r="E298" t="inlineStr">
        <is>
          <t>Functional</t>
        </is>
      </c>
      <c r="F298" t="inlineStr">
        <is>
          <t>Configuration</t>
        </is>
      </c>
      <c r="G298" t="inlineStr"/>
      <c r="H298" t="inlineStr">
        <is>
          <t>DFL Recruiting impacted by Oracle 26C change</t>
        </is>
      </c>
      <c r="I298" t="inlineStr">
        <is>
          <t>Y</t>
        </is>
      </c>
      <c r="J298" t="inlineStr">
        <is>
          <t>N</t>
        </is>
      </c>
      <c r="K298" t="inlineStr">
        <is>
          <t>N</t>
        </is>
      </c>
      <c r="L298" t="inlineStr">
        <is>
          <t>N</t>
        </is>
      </c>
      <c r="M298" t="n">
        <v>3</v>
      </c>
      <c r="N298" t="n">
        <v>2</v>
      </c>
      <c r="O298" t="n">
        <v>2</v>
      </c>
      <c r="P298" t="n">
        <v>1</v>
      </c>
      <c r="Q298" t="n">
        <v>3</v>
      </c>
      <c r="R298">
        <f>IFERROR(XLOOKUP(XLOOKUP(D298,tblReleaseChanges[Change_ID],tblReleaseChanges[Oracle_Severity],""),tblSeverityMap[Severity_Text],tblSeverityMap[Score],0),0)</f>
        <v/>
      </c>
      <c r="S298" t="n">
        <v>2</v>
      </c>
      <c r="T298">
        <f>ROUND((M298*0.25)+(N298*0.20)+(O298*0.15)+(P298*0.15)+(Q298*0.10)+(R298*0.10)+(S298*0.05),2)</f>
        <v/>
      </c>
      <c r="U298">
        <f>IF(T298&gt;=4.25,"Critical",IF(T298&gt;=3.5,"High",IF(T298&gt;=2,"Medium","Low")))</f>
        <v/>
      </c>
      <c r="V298" t="inlineStr">
        <is>
          <t>Pending Review</t>
        </is>
      </c>
      <c r="W298" t="inlineStr"/>
      <c r="X298" t="inlineStr"/>
      <c r="Y298" t="inlineStr">
        <is>
          <t xml:space="preserve">Action type: Steps to Enable. Select the **Allow adding nonlibrary skills** checkbox for **Skills center**to indicate whether external candidates can add custom non-library skills when they apply for </t>
        </is>
      </c>
      <c r="Z298" t="inlineStr">
        <is>
          <t>Y</t>
        </is>
      </c>
      <c r="AA298" t="inlineStr">
        <is>
          <t>N</t>
        </is>
      </c>
    </row>
    <row r="299">
      <c r="A299" t="inlineStr">
        <is>
          <t>ASMT_IMP_0274</t>
        </is>
      </c>
      <c r="B299" t="inlineStr">
        <is>
          <t>CLT_DFL001</t>
        </is>
      </c>
      <c r="C299" t="inlineStr">
        <is>
          <t>REL_26C</t>
        </is>
      </c>
      <c r="D299" t="inlineStr">
        <is>
          <t>CHG_IMP_0274</t>
        </is>
      </c>
      <c r="E299" t="inlineStr">
        <is>
          <t>Functional</t>
        </is>
      </c>
      <c r="F299" t="inlineStr">
        <is>
          <t>Configuration</t>
        </is>
      </c>
      <c r="G299" t="inlineStr"/>
      <c r="H299" t="inlineStr">
        <is>
          <t>DFL Recruiting impacted by Oracle 26C change</t>
        </is>
      </c>
      <c r="I299" t="inlineStr">
        <is>
          <t>Y</t>
        </is>
      </c>
      <c r="J299" t="inlineStr">
        <is>
          <t>N</t>
        </is>
      </c>
      <c r="K299" t="inlineStr">
        <is>
          <t>N</t>
        </is>
      </c>
      <c r="L299" t="inlineStr">
        <is>
          <t>N</t>
        </is>
      </c>
      <c r="M299" t="n">
        <v>3</v>
      </c>
      <c r="N299" t="n">
        <v>2</v>
      </c>
      <c r="O299" t="n">
        <v>2</v>
      </c>
      <c r="P299" t="n">
        <v>1</v>
      </c>
      <c r="Q299" t="n">
        <v>3</v>
      </c>
      <c r="R299">
        <f>IFERROR(XLOOKUP(XLOOKUP(D299,tblReleaseChanges[Change_ID],tblReleaseChanges[Oracle_Severity],""),tblSeverityMap[Severity_Text],tblSeverityMap[Score],0),0)</f>
        <v/>
      </c>
      <c r="S299" t="n">
        <v>2</v>
      </c>
      <c r="T299">
        <f>ROUND((M299*0.25)+(N299*0.20)+(O299*0.15)+(P299*0.15)+(Q299*0.10)+(R299*0.10)+(S299*0.05),2)</f>
        <v/>
      </c>
      <c r="U299">
        <f>IF(T299&gt;=4.25,"Critical",IF(T299&gt;=3.5,"High",IF(T299&gt;=2,"Medium","Low")))</f>
        <v/>
      </c>
      <c r="V299" t="inlineStr">
        <is>
          <t>Pending Review</t>
        </is>
      </c>
      <c r="W299" t="inlineStr"/>
      <c r="X299" t="inlineStr"/>
      <c r="Y299" t="inlineStr">
        <is>
          <t>Action type: Steps to Enable. For details, see Integration with Direct Apply.</t>
        </is>
      </c>
      <c r="Z299" t="inlineStr">
        <is>
          <t>Y</t>
        </is>
      </c>
      <c r="AA299" t="inlineStr">
        <is>
          <t>N</t>
        </is>
      </c>
    </row>
    <row r="300">
      <c r="A300" t="inlineStr">
        <is>
          <t>ASMT_IMP_0275</t>
        </is>
      </c>
      <c r="B300" t="inlineStr">
        <is>
          <t>CLT_DFL001</t>
        </is>
      </c>
      <c r="C300" t="inlineStr">
        <is>
          <t>REL_26C</t>
        </is>
      </c>
      <c r="D300" t="inlineStr">
        <is>
          <t>CHG_IMP_0275</t>
        </is>
      </c>
      <c r="E300" t="inlineStr">
        <is>
          <t>AI Feature</t>
        </is>
      </c>
      <c r="F300" t="inlineStr">
        <is>
          <t>Configuration</t>
        </is>
      </c>
      <c r="G300" t="inlineStr"/>
      <c r="H300" t="inlineStr">
        <is>
          <t>DFL Recruiting impacted by Oracle 26C change</t>
        </is>
      </c>
      <c r="I300" t="inlineStr">
        <is>
          <t>Y</t>
        </is>
      </c>
      <c r="J300" t="inlineStr">
        <is>
          <t>N</t>
        </is>
      </c>
      <c r="K300" t="inlineStr">
        <is>
          <t>N</t>
        </is>
      </c>
      <c r="L300" t="inlineStr">
        <is>
          <t>N</t>
        </is>
      </c>
      <c r="M300" t="n">
        <v>3</v>
      </c>
      <c r="N300" t="n">
        <v>2</v>
      </c>
      <c r="O300" t="n">
        <v>2</v>
      </c>
      <c r="P300" t="n">
        <v>3</v>
      </c>
      <c r="Q300" t="n">
        <v>3</v>
      </c>
      <c r="R300">
        <f>IFERROR(XLOOKUP(XLOOKUP(D300,tblReleaseChanges[Change_ID],tblReleaseChanges[Oracle_Severity],""),tblSeverityMap[Severity_Text],tblSeverityMap[Score],0),0)</f>
        <v/>
      </c>
      <c r="S300" t="n">
        <v>1</v>
      </c>
      <c r="T300">
        <f>ROUND((M300*0.25)+(N300*0.20)+(O300*0.15)+(P300*0.15)+(Q300*0.10)+(R300*0.10)+(S300*0.05),2)</f>
        <v/>
      </c>
      <c r="U300">
        <f>IF(T300&gt;=4.25,"Critical",IF(T300&gt;=3.5,"High",IF(T300&gt;=2,"Medium","Low")))</f>
        <v/>
      </c>
      <c r="V300" t="inlineStr">
        <is>
          <t>Pending Review</t>
        </is>
      </c>
      <c r="W300" t="inlineStr"/>
      <c r="X300" t="inlineStr"/>
      <c r="Y300" t="inlineStr">
        <is>
          <t>Auto-enabled — no action required</t>
        </is>
      </c>
      <c r="Z300" t="inlineStr">
        <is>
          <t>N</t>
        </is>
      </c>
      <c r="AA300" t="inlineStr">
        <is>
          <t>N</t>
        </is>
      </c>
    </row>
    <row r="301">
      <c r="A301" t="inlineStr">
        <is>
          <t>ASMT_IMP_0276</t>
        </is>
      </c>
      <c r="B301" t="inlineStr">
        <is>
          <t>CLT_DFL001</t>
        </is>
      </c>
      <c r="C301" t="inlineStr">
        <is>
          <t>REL_26C</t>
        </is>
      </c>
      <c r="D301" t="inlineStr">
        <is>
          <t>CHG_IMP_0276</t>
        </is>
      </c>
      <c r="E301" t="inlineStr">
        <is>
          <t>Functional</t>
        </is>
      </c>
      <c r="F301" t="inlineStr">
        <is>
          <t>Configuration</t>
        </is>
      </c>
      <c r="G301" t="inlineStr"/>
      <c r="H301" t="inlineStr">
        <is>
          <t>DFL Recruiting impacted by Oracle 26C change</t>
        </is>
      </c>
      <c r="I301" t="inlineStr">
        <is>
          <t>Y</t>
        </is>
      </c>
      <c r="J301" t="inlineStr">
        <is>
          <t>N</t>
        </is>
      </c>
      <c r="K301" t="inlineStr">
        <is>
          <t>N</t>
        </is>
      </c>
      <c r="L301" t="inlineStr">
        <is>
          <t>N</t>
        </is>
      </c>
      <c r="M301" t="n">
        <v>3</v>
      </c>
      <c r="N301" t="n">
        <v>2</v>
      </c>
      <c r="O301" t="n">
        <v>2</v>
      </c>
      <c r="P301" t="n">
        <v>1</v>
      </c>
      <c r="Q301" t="n">
        <v>3</v>
      </c>
      <c r="R301">
        <f>IFERROR(XLOOKUP(XLOOKUP(D301,tblReleaseChanges[Change_ID],tblReleaseChanges[Oracle_Severity],""),tblSeverityMap[Severity_Text],tblSeverityMap[Score],0),0)</f>
        <v/>
      </c>
      <c r="S301" t="n">
        <v>2</v>
      </c>
      <c r="T301">
        <f>ROUND((M301*0.25)+(N301*0.20)+(O301*0.15)+(P301*0.15)+(Q301*0.10)+(R301*0.10)+(S301*0.05),2)</f>
        <v/>
      </c>
      <c r="U301">
        <f>IF(T301&gt;=4.25,"Critical",IF(T301&gt;=3.5,"High",IF(T301&gt;=2,"Medium","Low")))</f>
        <v/>
      </c>
      <c r="V301" t="inlineStr">
        <is>
          <t>Pending Review</t>
        </is>
      </c>
      <c r="W301" t="inlineStr"/>
      <c r="X301" t="inlineStr"/>
      <c r="Y301" t="inlineStr">
        <is>
          <t>Action type: Steps to Enable. You must enable the following profile option: In **Manage Administrator Profile Values**, set the following profile option to **Yes**: • **Profile Displ</t>
        </is>
      </c>
      <c r="Z301" t="inlineStr">
        <is>
          <t>Y</t>
        </is>
      </c>
      <c r="AA301" t="inlineStr">
        <is>
          <t>N</t>
        </is>
      </c>
    </row>
    <row r="302">
      <c r="A302" t="inlineStr">
        <is>
          <t>ASMT_IMP_0277</t>
        </is>
      </c>
      <c r="B302" t="inlineStr">
        <is>
          <t>CLT_DFL001</t>
        </is>
      </c>
      <c r="C302" t="inlineStr">
        <is>
          <t>REL_26C</t>
        </is>
      </c>
      <c r="D302" t="inlineStr">
        <is>
          <t>CHG_IMP_0277</t>
        </is>
      </c>
      <c r="E302" t="inlineStr">
        <is>
          <t>Functional</t>
        </is>
      </c>
      <c r="F302" t="inlineStr">
        <is>
          <t>Configuration</t>
        </is>
      </c>
      <c r="G302" t="inlineStr"/>
      <c r="H302" t="inlineStr">
        <is>
          <t>DFL Recruiting impacted by Oracle 26C change</t>
        </is>
      </c>
      <c r="I302" t="inlineStr">
        <is>
          <t>Y</t>
        </is>
      </c>
      <c r="J302" t="inlineStr">
        <is>
          <t>N</t>
        </is>
      </c>
      <c r="K302" t="inlineStr">
        <is>
          <t>N</t>
        </is>
      </c>
      <c r="L302" t="inlineStr">
        <is>
          <t>N</t>
        </is>
      </c>
      <c r="M302" t="n">
        <v>3</v>
      </c>
      <c r="N302" t="n">
        <v>2</v>
      </c>
      <c r="O302" t="n">
        <v>2</v>
      </c>
      <c r="P302" t="n">
        <v>1</v>
      </c>
      <c r="Q302" t="n">
        <v>3</v>
      </c>
      <c r="R302">
        <f>IFERROR(XLOOKUP(XLOOKUP(D302,tblReleaseChanges[Change_ID],tblReleaseChanges[Oracle_Severity],""),tblSeverityMap[Severity_Text],tblSeverityMap[Score],0),0)</f>
        <v/>
      </c>
      <c r="S302" t="n">
        <v>1</v>
      </c>
      <c r="T302">
        <f>ROUND((M302*0.25)+(N302*0.20)+(O302*0.15)+(P302*0.15)+(Q302*0.10)+(R302*0.10)+(S302*0.05),2)</f>
        <v/>
      </c>
      <c r="U302">
        <f>IF(T302&gt;=4.25,"Critical",IF(T302&gt;=3.5,"High",IF(T302&gt;=2,"Medium","Low")))</f>
        <v/>
      </c>
      <c r="V302" t="inlineStr">
        <is>
          <t>Pending Review</t>
        </is>
      </c>
      <c r="W302" t="inlineStr"/>
      <c r="X302" t="inlineStr"/>
      <c r="Y302" t="inlineStr">
        <is>
          <t>Auto-enabled — no action required</t>
        </is>
      </c>
      <c r="Z302" t="inlineStr">
        <is>
          <t>N</t>
        </is>
      </c>
      <c r="AA302" t="inlineStr">
        <is>
          <t>N</t>
        </is>
      </c>
    </row>
    <row r="303">
      <c r="A303" t="inlineStr">
        <is>
          <t>ASMT_IMP_0278</t>
        </is>
      </c>
      <c r="B303" t="inlineStr">
        <is>
          <t>CLT_DFL001</t>
        </is>
      </c>
      <c r="C303" t="inlineStr">
        <is>
          <t>REL_26C</t>
        </is>
      </c>
      <c r="D303" t="inlineStr">
        <is>
          <t>CHG_IMP_0278</t>
        </is>
      </c>
      <c r="E303" t="inlineStr">
        <is>
          <t>Functional</t>
        </is>
      </c>
      <c r="F303" t="inlineStr">
        <is>
          <t>Configuration</t>
        </is>
      </c>
      <c r="G303" t="inlineStr"/>
      <c r="H303" t="inlineStr">
        <is>
          <t>DFL Recruiting impacted by Oracle 26C change</t>
        </is>
      </c>
      <c r="I303" t="inlineStr">
        <is>
          <t>Y</t>
        </is>
      </c>
      <c r="J303" t="inlineStr">
        <is>
          <t>N</t>
        </is>
      </c>
      <c r="K303" t="inlineStr">
        <is>
          <t>N</t>
        </is>
      </c>
      <c r="L303" t="inlineStr">
        <is>
          <t>N</t>
        </is>
      </c>
      <c r="M303" t="n">
        <v>3</v>
      </c>
      <c r="N303" t="n">
        <v>2</v>
      </c>
      <c r="O303" t="n">
        <v>2</v>
      </c>
      <c r="P303" t="n">
        <v>1</v>
      </c>
      <c r="Q303" t="n">
        <v>3</v>
      </c>
      <c r="R303">
        <f>IFERROR(XLOOKUP(XLOOKUP(D303,tblReleaseChanges[Change_ID],tblReleaseChanges[Oracle_Severity],""),tblSeverityMap[Severity_Text],tblSeverityMap[Score],0),0)</f>
        <v/>
      </c>
      <c r="S303" t="n">
        <v>2</v>
      </c>
      <c r="T303">
        <f>ROUND((M303*0.25)+(N303*0.20)+(O303*0.15)+(P303*0.15)+(Q303*0.10)+(R303*0.10)+(S303*0.05),2)</f>
        <v/>
      </c>
      <c r="U303">
        <f>IF(T303&gt;=4.25,"Critical",IF(T303&gt;=3.5,"High",IF(T303&gt;=2,"Medium","Low")))</f>
        <v/>
      </c>
      <c r="V303" t="inlineStr">
        <is>
          <t>Pending Review</t>
        </is>
      </c>
      <c r="W303" t="inlineStr"/>
      <c r="X303" t="inlineStr"/>
      <c r="Y303" t="inlineStr">
        <is>
          <t>Action type: Steps to Enable. 1. Enable the Redwood Experience in Recruiting. For details, see Set profile options for Redwood pages. 2. Enable candidate and job application indexes.For details, see R</t>
        </is>
      </c>
      <c r="Z303" t="inlineStr">
        <is>
          <t>Y</t>
        </is>
      </c>
      <c r="AA303" t="inlineStr">
        <is>
          <t>N</t>
        </is>
      </c>
    </row>
    <row r="304">
      <c r="A304" t="inlineStr">
        <is>
          <t>ASMT_IMP_0279</t>
        </is>
      </c>
      <c r="B304" t="inlineStr">
        <is>
          <t>CLT_DFL001</t>
        </is>
      </c>
      <c r="C304" t="inlineStr">
        <is>
          <t>REL_26C</t>
        </is>
      </c>
      <c r="D304" t="inlineStr">
        <is>
          <t>CHG_IMP_0279</t>
        </is>
      </c>
      <c r="E304" t="inlineStr">
        <is>
          <t>Functional</t>
        </is>
      </c>
      <c r="F304" t="inlineStr">
        <is>
          <t>Configuration</t>
        </is>
      </c>
      <c r="G304" t="inlineStr"/>
      <c r="H304" t="inlineStr">
        <is>
          <t>DFL Recruiting impacted by Oracle 26C change</t>
        </is>
      </c>
      <c r="I304" t="inlineStr">
        <is>
          <t>Y</t>
        </is>
      </c>
      <c r="J304" t="inlineStr">
        <is>
          <t>N</t>
        </is>
      </c>
      <c r="K304" t="inlineStr">
        <is>
          <t>N</t>
        </is>
      </c>
      <c r="L304" t="inlineStr">
        <is>
          <t>N</t>
        </is>
      </c>
      <c r="M304" t="n">
        <v>3</v>
      </c>
      <c r="N304" t="n">
        <v>2</v>
      </c>
      <c r="O304" t="n">
        <v>2</v>
      </c>
      <c r="P304" t="n">
        <v>1</v>
      </c>
      <c r="Q304" t="n">
        <v>3</v>
      </c>
      <c r="R304">
        <f>IFERROR(XLOOKUP(XLOOKUP(D304,tblReleaseChanges[Change_ID],tblReleaseChanges[Oracle_Severity],""),tblSeverityMap[Severity_Text],tblSeverityMap[Score],0),0)</f>
        <v/>
      </c>
      <c r="S304" t="n">
        <v>2</v>
      </c>
      <c r="T304">
        <f>ROUND((M304*0.25)+(N304*0.20)+(O304*0.15)+(P304*0.15)+(Q304*0.10)+(R304*0.10)+(S304*0.05),2)</f>
        <v/>
      </c>
      <c r="U304">
        <f>IF(T304&gt;=4.25,"Critical",IF(T304&gt;=3.5,"High",IF(T304&gt;=2,"Medium","Low")))</f>
        <v/>
      </c>
      <c r="V304" t="inlineStr">
        <is>
          <t>Pending Review</t>
        </is>
      </c>
      <c r="W304" t="inlineStr"/>
      <c r="X304" t="inlineStr"/>
      <c r="Y304" t="inlineStr">
        <is>
          <t>Action type: Steps to Enable. Add the Extra Information, Sensitive Personal Information, and Work Preferences blocks when configuring a talent community flow. For details, see Set Up Talent Community.</t>
        </is>
      </c>
      <c r="Z304" t="inlineStr">
        <is>
          <t>Y</t>
        </is>
      </c>
      <c r="AA304" t="inlineStr">
        <is>
          <t>N</t>
        </is>
      </c>
    </row>
    <row r="305">
      <c r="A305" t="inlineStr">
        <is>
          <t>ASMT_IMP_0280</t>
        </is>
      </c>
      <c r="B305" t="inlineStr">
        <is>
          <t>CLT_DFL001</t>
        </is>
      </c>
      <c r="C305" t="inlineStr">
        <is>
          <t>REL_26C</t>
        </is>
      </c>
      <c r="D305" t="inlineStr">
        <is>
          <t>CHG_IMP_0280</t>
        </is>
      </c>
      <c r="E305" t="inlineStr">
        <is>
          <t>Functional</t>
        </is>
      </c>
      <c r="F305" t="inlineStr">
        <is>
          <t>Configuration</t>
        </is>
      </c>
      <c r="G305" t="inlineStr"/>
      <c r="H305" t="inlineStr">
        <is>
          <t>DFL Recruiting impacted by Oracle 26C change</t>
        </is>
      </c>
      <c r="I305" t="inlineStr">
        <is>
          <t>Y</t>
        </is>
      </c>
      <c r="J305" t="inlineStr">
        <is>
          <t>N</t>
        </is>
      </c>
      <c r="K305" t="inlineStr">
        <is>
          <t>N</t>
        </is>
      </c>
      <c r="L305" t="inlineStr">
        <is>
          <t>N</t>
        </is>
      </c>
      <c r="M305" t="n">
        <v>3</v>
      </c>
      <c r="N305" t="n">
        <v>2</v>
      </c>
      <c r="O305" t="n">
        <v>2</v>
      </c>
      <c r="P305" t="n">
        <v>1</v>
      </c>
      <c r="Q305" t="n">
        <v>3</v>
      </c>
      <c r="R305">
        <f>IFERROR(XLOOKUP(XLOOKUP(D305,tblReleaseChanges[Change_ID],tblReleaseChanges[Oracle_Severity],""),tblSeverityMap[Severity_Text],tblSeverityMap[Score],0),0)</f>
        <v/>
      </c>
      <c r="S305" t="n">
        <v>2</v>
      </c>
      <c r="T305">
        <f>ROUND((M305*0.25)+(N305*0.20)+(O305*0.15)+(P305*0.15)+(Q305*0.10)+(R305*0.10)+(S305*0.05),2)</f>
        <v/>
      </c>
      <c r="U305">
        <f>IF(T305&gt;=4.25,"Critical",IF(T305&gt;=3.5,"High",IF(T305&gt;=2,"Medium","Low")))</f>
        <v/>
      </c>
      <c r="V305" t="inlineStr">
        <is>
          <t>Pending Review</t>
        </is>
      </c>
      <c r="W305" t="inlineStr"/>
      <c r="X305" t="inlineStr"/>
      <c r="Y305" t="inlineStr">
        <is>
          <t>Action type: Steps to Enable. You can control the display of fields in the Send message to team panel. In Visual Builder Studio, go to Hiring &gt; Activity Center &gt; Message Team Action and create busines</t>
        </is>
      </c>
      <c r="Z305" t="inlineStr">
        <is>
          <t>Y</t>
        </is>
      </c>
      <c r="AA305" t="inlineStr">
        <is>
          <t>N</t>
        </is>
      </c>
    </row>
    <row r="306">
      <c r="A306" t="inlineStr">
        <is>
          <t>ASMT_IMP_0281</t>
        </is>
      </c>
      <c r="B306" t="inlineStr">
        <is>
          <t>CLT_DFL001</t>
        </is>
      </c>
      <c r="C306" t="inlineStr">
        <is>
          <t>REL_26C</t>
        </is>
      </c>
      <c r="D306" t="inlineStr">
        <is>
          <t>CHG_IMP_0281</t>
        </is>
      </c>
      <c r="E306" t="inlineStr">
        <is>
          <t>Functional</t>
        </is>
      </c>
      <c r="F306" t="inlineStr">
        <is>
          <t>Configuration</t>
        </is>
      </c>
      <c r="G306" t="inlineStr"/>
      <c r="H306" t="inlineStr">
        <is>
          <t>DFL Recruiting impacted by Oracle 26C change</t>
        </is>
      </c>
      <c r="I306" t="inlineStr">
        <is>
          <t>Y</t>
        </is>
      </c>
      <c r="J306" t="inlineStr">
        <is>
          <t>N</t>
        </is>
      </c>
      <c r="K306" t="inlineStr">
        <is>
          <t>N</t>
        </is>
      </c>
      <c r="L306" t="inlineStr">
        <is>
          <t>N</t>
        </is>
      </c>
      <c r="M306" t="n">
        <v>3</v>
      </c>
      <c r="N306" t="n">
        <v>2</v>
      </c>
      <c r="O306" t="n">
        <v>2</v>
      </c>
      <c r="P306" t="n">
        <v>1</v>
      </c>
      <c r="Q306" t="n">
        <v>3</v>
      </c>
      <c r="R306">
        <f>IFERROR(XLOOKUP(XLOOKUP(D306,tblReleaseChanges[Change_ID],tblReleaseChanges[Oracle_Severity],""),tblSeverityMap[Severity_Text],tblSeverityMap[Score],0),0)</f>
        <v/>
      </c>
      <c r="S306" t="n">
        <v>2</v>
      </c>
      <c r="T306">
        <f>ROUND((M306*0.25)+(N306*0.20)+(O306*0.15)+(P306*0.15)+(Q306*0.10)+(R306*0.10)+(S306*0.05),2)</f>
        <v/>
      </c>
      <c r="U306">
        <f>IF(T306&gt;=4.25,"Critical",IF(T306&gt;=3.5,"High",IF(T306&gt;=2,"Medium","Low")))</f>
        <v/>
      </c>
      <c r="V306" t="inlineStr">
        <is>
          <t>Pending Review</t>
        </is>
      </c>
      <c r="W306" t="inlineStr"/>
      <c r="X306" t="inlineStr"/>
      <c r="Y306" t="inlineStr">
        <is>
          <t>Action type: Steps to Enable. **Step 1: Set up the ORA_IRC_PERSON_TYPE LOOKUP lookup** These person types are supported and enabled by default in Recruiting: • ORA_CANDIDATE • EMP • CWK •</t>
        </is>
      </c>
      <c r="Z306" t="inlineStr">
        <is>
          <t>Y</t>
        </is>
      </c>
      <c r="AA306" t="inlineStr">
        <is>
          <t>N</t>
        </is>
      </c>
    </row>
    <row r="307">
      <c r="A307" t="inlineStr">
        <is>
          <t>ASMT_IMP_0282</t>
        </is>
      </c>
      <c r="B307" t="inlineStr">
        <is>
          <t>CLT_DFL001</t>
        </is>
      </c>
      <c r="C307" t="inlineStr">
        <is>
          <t>REL_26C</t>
        </is>
      </c>
      <c r="D307" t="inlineStr">
        <is>
          <t>CHG_IMP_0282</t>
        </is>
      </c>
      <c r="E307" t="inlineStr">
        <is>
          <t>Functional</t>
        </is>
      </c>
      <c r="F307" t="inlineStr">
        <is>
          <t>Configuration</t>
        </is>
      </c>
      <c r="G307" t="inlineStr"/>
      <c r="H307" t="inlineStr">
        <is>
          <t>DFL Recruiting impacted by Oracle 26C change</t>
        </is>
      </c>
      <c r="I307" t="inlineStr">
        <is>
          <t>Y</t>
        </is>
      </c>
      <c r="J307" t="inlineStr">
        <is>
          <t>N</t>
        </is>
      </c>
      <c r="K307" t="inlineStr">
        <is>
          <t>N</t>
        </is>
      </c>
      <c r="L307" t="inlineStr">
        <is>
          <t>N</t>
        </is>
      </c>
      <c r="M307" t="n">
        <v>3</v>
      </c>
      <c r="N307" t="n">
        <v>2</v>
      </c>
      <c r="O307" t="n">
        <v>2</v>
      </c>
      <c r="P307" t="n">
        <v>1</v>
      </c>
      <c r="Q307" t="n">
        <v>3</v>
      </c>
      <c r="R307">
        <f>IFERROR(XLOOKUP(XLOOKUP(D307,tblReleaseChanges[Change_ID],tblReleaseChanges[Oracle_Severity],""),tblSeverityMap[Severity_Text],tblSeverityMap[Score],0),0)</f>
        <v/>
      </c>
      <c r="S307" t="n">
        <v>2</v>
      </c>
      <c r="T307">
        <f>ROUND((M307*0.25)+(N307*0.20)+(O307*0.15)+(P307*0.15)+(Q307*0.10)+(R307*0.10)+(S307*0.05),2)</f>
        <v/>
      </c>
      <c r="U307">
        <f>IF(T307&gt;=4.25,"Critical",IF(T307&gt;=3.5,"High",IF(T307&gt;=2,"Medium","Low")))</f>
        <v/>
      </c>
      <c r="V307" t="inlineStr">
        <is>
          <t>Pending Review</t>
        </is>
      </c>
      <c r="W307" t="inlineStr"/>
      <c r="X307" t="inlineStr"/>
      <c r="Y307" t="inlineStr">
        <is>
          <t xml:space="preserve">Action type: Steps to Enable. To enable advanced search in the Position selector, set the site profile value to Y for the ORA_PER_LOV_ADVANCED_SEARCH_ENABLED profile option. For details, see How do </t>
        </is>
      </c>
      <c r="Z307" t="inlineStr">
        <is>
          <t>Y</t>
        </is>
      </c>
      <c r="AA307" t="inlineStr">
        <is>
          <t>N</t>
        </is>
      </c>
    </row>
    <row r="308">
      <c r="A308" t="inlineStr">
        <is>
          <t>ASMT_IMP_0283</t>
        </is>
      </c>
      <c r="B308" t="inlineStr">
        <is>
          <t>CLT_DFL001</t>
        </is>
      </c>
      <c r="C308" t="inlineStr">
        <is>
          <t>REL_26C</t>
        </is>
      </c>
      <c r="D308" t="inlineStr">
        <is>
          <t>CHG_IMP_0283</t>
        </is>
      </c>
      <c r="E308" t="inlineStr">
        <is>
          <t>Functional</t>
        </is>
      </c>
      <c r="F308" t="inlineStr">
        <is>
          <t>Configuration</t>
        </is>
      </c>
      <c r="G308" t="inlineStr"/>
      <c r="H308" t="inlineStr">
        <is>
          <t>DFL Recruiting impacted by Oracle 26C change</t>
        </is>
      </c>
      <c r="I308" t="inlineStr">
        <is>
          <t>Y</t>
        </is>
      </c>
      <c r="J308" t="inlineStr">
        <is>
          <t>N</t>
        </is>
      </c>
      <c r="K308" t="inlineStr">
        <is>
          <t>N</t>
        </is>
      </c>
      <c r="L308" t="inlineStr">
        <is>
          <t>N</t>
        </is>
      </c>
      <c r="M308" t="n">
        <v>3</v>
      </c>
      <c r="N308" t="n">
        <v>2</v>
      </c>
      <c r="O308" t="n">
        <v>2</v>
      </c>
      <c r="P308" t="n">
        <v>1</v>
      </c>
      <c r="Q308" t="n">
        <v>3</v>
      </c>
      <c r="R308">
        <f>IFERROR(XLOOKUP(XLOOKUP(D308,tblReleaseChanges[Change_ID],tblReleaseChanges[Oracle_Severity],""),tblSeverityMap[Severity_Text],tblSeverityMap[Score],0),0)</f>
        <v/>
      </c>
      <c r="S308" t="n">
        <v>2</v>
      </c>
      <c r="T308">
        <f>ROUND((M308*0.25)+(N308*0.20)+(O308*0.15)+(P308*0.15)+(Q308*0.10)+(R308*0.10)+(S308*0.05),2)</f>
        <v/>
      </c>
      <c r="U308">
        <f>IF(T308&gt;=4.25,"Critical",IF(T308&gt;=3.5,"High",IF(T308&gt;=2,"Medium","Low")))</f>
        <v/>
      </c>
      <c r="V308" t="inlineStr">
        <is>
          <t>Pending Review</t>
        </is>
      </c>
      <c r="W308" t="inlineStr"/>
      <c r="X308" t="inlineStr"/>
      <c r="Y308" t="inlineStr">
        <is>
          <t>Action type: Steps to Enable. For privileges, see the **Access Requirements** section.</t>
        </is>
      </c>
      <c r="Z308" t="inlineStr">
        <is>
          <t>Y</t>
        </is>
      </c>
      <c r="AA308" t="inlineStr">
        <is>
          <t>N</t>
        </is>
      </c>
    </row>
    <row r="309">
      <c r="A309" t="inlineStr">
        <is>
          <t>ASMT_IMP_0284</t>
        </is>
      </c>
      <c r="B309" t="inlineStr">
        <is>
          <t>CLT_DFL001</t>
        </is>
      </c>
      <c r="C309" t="inlineStr">
        <is>
          <t>REL_26C</t>
        </is>
      </c>
      <c r="D309" t="inlineStr">
        <is>
          <t>CHG_IMP_0284</t>
        </is>
      </c>
      <c r="E309" t="inlineStr">
        <is>
          <t>Functional</t>
        </is>
      </c>
      <c r="F309" t="inlineStr">
        <is>
          <t>Configuration</t>
        </is>
      </c>
      <c r="G309" t="inlineStr"/>
      <c r="H309" t="inlineStr">
        <is>
          <t>DFL Recruiting impacted by Oracle 26C change</t>
        </is>
      </c>
      <c r="I309" t="inlineStr">
        <is>
          <t>Y</t>
        </is>
      </c>
      <c r="J309" t="inlineStr">
        <is>
          <t>N</t>
        </is>
      </c>
      <c r="K309" t="inlineStr">
        <is>
          <t>N</t>
        </is>
      </c>
      <c r="L309" t="inlineStr">
        <is>
          <t>N</t>
        </is>
      </c>
      <c r="M309" t="n">
        <v>3</v>
      </c>
      <c r="N309" t="n">
        <v>2</v>
      </c>
      <c r="O309" t="n">
        <v>2</v>
      </c>
      <c r="P309" t="n">
        <v>1</v>
      </c>
      <c r="Q309" t="n">
        <v>3</v>
      </c>
      <c r="R309">
        <f>IFERROR(XLOOKUP(XLOOKUP(D309,tblReleaseChanges[Change_ID],tblReleaseChanges[Oracle_Severity],""),tblSeverityMap[Severity_Text],tblSeverityMap[Score],0),0)</f>
        <v/>
      </c>
      <c r="S309" t="n">
        <v>2</v>
      </c>
      <c r="T309">
        <f>ROUND((M309*0.25)+(N309*0.20)+(O309*0.15)+(P309*0.15)+(Q309*0.10)+(R309*0.10)+(S309*0.05),2)</f>
        <v/>
      </c>
      <c r="U309">
        <f>IF(T309&gt;=4.25,"Critical",IF(T309&gt;=3.5,"High",IF(T309&gt;=2,"Medium","Low")))</f>
        <v/>
      </c>
      <c r="V309" t="inlineStr">
        <is>
          <t>Pending Review</t>
        </is>
      </c>
      <c r="W309" t="inlineStr"/>
      <c r="X309" t="inlineStr"/>
      <c r="Y309" t="inlineStr">
        <is>
          <t>Action type: Steps to Enable. By default, the More Actions button is disabled. To enable it, use the page property of the Requisition List Page in Visual Builder Studio. To use Redwood experienc</t>
        </is>
      </c>
      <c r="Z309" t="inlineStr">
        <is>
          <t>Y</t>
        </is>
      </c>
      <c r="AA309" t="inlineStr">
        <is>
          <t>N</t>
        </is>
      </c>
    </row>
    <row r="310">
      <c r="A310" t="inlineStr">
        <is>
          <t>ASMT_IMP_0285</t>
        </is>
      </c>
      <c r="B310" t="inlineStr">
        <is>
          <t>CLT_DFL001</t>
        </is>
      </c>
      <c r="C310" t="inlineStr">
        <is>
          <t>REL_26C</t>
        </is>
      </c>
      <c r="D310" t="inlineStr">
        <is>
          <t>CHG_IMP_0285</t>
        </is>
      </c>
      <c r="E310" t="inlineStr">
        <is>
          <t>Functional</t>
        </is>
      </c>
      <c r="F310" t="inlineStr">
        <is>
          <t>Configuration</t>
        </is>
      </c>
      <c r="G310" t="inlineStr"/>
      <c r="H310" t="inlineStr">
        <is>
          <t>DFL Recruiting impacted by Oracle 26C change</t>
        </is>
      </c>
      <c r="I310" t="inlineStr">
        <is>
          <t>Y</t>
        </is>
      </c>
      <c r="J310" t="inlineStr">
        <is>
          <t>N</t>
        </is>
      </c>
      <c r="K310" t="inlineStr">
        <is>
          <t>N</t>
        </is>
      </c>
      <c r="L310" t="inlineStr">
        <is>
          <t>N</t>
        </is>
      </c>
      <c r="M310" t="n">
        <v>3</v>
      </c>
      <c r="N310" t="n">
        <v>2</v>
      </c>
      <c r="O310" t="n">
        <v>2</v>
      </c>
      <c r="P310" t="n">
        <v>1</v>
      </c>
      <c r="Q310" t="n">
        <v>3</v>
      </c>
      <c r="R310">
        <f>IFERROR(XLOOKUP(XLOOKUP(D310,tblReleaseChanges[Change_ID],tblReleaseChanges[Oracle_Severity],""),tblSeverityMap[Severity_Text],tblSeverityMap[Score],0),0)</f>
        <v/>
      </c>
      <c r="S310" t="n">
        <v>2</v>
      </c>
      <c r="T310">
        <f>ROUND((M310*0.25)+(N310*0.20)+(O310*0.15)+(P310*0.15)+(Q310*0.10)+(R310*0.10)+(S310*0.05),2)</f>
        <v/>
      </c>
      <c r="U310">
        <f>IF(T310&gt;=4.25,"Critical",IF(T310&gt;=3.5,"High",IF(T310&gt;=2,"Medium","Low")))</f>
        <v/>
      </c>
      <c r="V310" t="inlineStr">
        <is>
          <t>Pending Review</t>
        </is>
      </c>
      <c r="W310" t="inlineStr"/>
      <c r="X310" t="inlineStr"/>
      <c r="Y310" t="inlineStr">
        <is>
          <t xml:space="preserve">Action type: Steps to Enable. To enable bulk candidate creation using resumes, set the site profile value to Y for the ORA_IRC_BULK_CREATE_CANDIDATE_USING_RESUME profile option. For details, </t>
        </is>
      </c>
      <c r="Z310" t="inlineStr">
        <is>
          <t>Y</t>
        </is>
      </c>
      <c r="AA310" t="inlineStr">
        <is>
          <t>N</t>
        </is>
      </c>
    </row>
    <row r="311">
      <c r="A311" t="inlineStr">
        <is>
          <t>ASMT_IMP_0286</t>
        </is>
      </c>
      <c r="B311" t="inlineStr">
        <is>
          <t>CLT_DFL001</t>
        </is>
      </c>
      <c r="C311" t="inlineStr">
        <is>
          <t>REL_26C</t>
        </is>
      </c>
      <c r="D311" t="inlineStr">
        <is>
          <t>CHG_IMP_0286</t>
        </is>
      </c>
      <c r="E311" t="inlineStr">
        <is>
          <t>Functional</t>
        </is>
      </c>
      <c r="F311" t="inlineStr">
        <is>
          <t>Configuration</t>
        </is>
      </c>
      <c r="G311" t="inlineStr"/>
      <c r="H311" t="inlineStr">
        <is>
          <t>DFL Recruiting impacted by Oracle 26C change</t>
        </is>
      </c>
      <c r="I311" t="inlineStr">
        <is>
          <t>Y</t>
        </is>
      </c>
      <c r="J311" t="inlineStr">
        <is>
          <t>N</t>
        </is>
      </c>
      <c r="K311" t="inlineStr">
        <is>
          <t>N</t>
        </is>
      </c>
      <c r="L311" t="inlineStr">
        <is>
          <t>N</t>
        </is>
      </c>
      <c r="M311" t="n">
        <v>3</v>
      </c>
      <c r="N311" t="n">
        <v>2</v>
      </c>
      <c r="O311" t="n">
        <v>2</v>
      </c>
      <c r="P311" t="n">
        <v>1</v>
      </c>
      <c r="Q311" t="n">
        <v>3</v>
      </c>
      <c r="R311">
        <f>IFERROR(XLOOKUP(XLOOKUP(D311,tblReleaseChanges[Change_ID],tblReleaseChanges[Oracle_Severity],""),tblSeverityMap[Severity_Text],tblSeverityMap[Score],0),0)</f>
        <v/>
      </c>
      <c r="S311" t="n">
        <v>2</v>
      </c>
      <c r="T311">
        <f>ROUND((M311*0.25)+(N311*0.20)+(O311*0.15)+(P311*0.15)+(Q311*0.10)+(R311*0.10)+(S311*0.05),2)</f>
        <v/>
      </c>
      <c r="U311">
        <f>IF(T311&gt;=4.25,"Critical",IF(T311&gt;=3.5,"High",IF(T311&gt;=2,"Medium","Low")))</f>
        <v/>
      </c>
      <c r="V311" t="inlineStr">
        <is>
          <t>Pending Review</t>
        </is>
      </c>
      <c r="W311" t="inlineStr"/>
      <c r="X311" t="inlineStr"/>
      <c r="Y311" t="inlineStr">
        <is>
          <t>Action type: Steps to Enable. This feature relies on and invokes several AI Agents. For details on how to configure, use and schedule the agents and processes refer to the **Key Resources** section. T</t>
        </is>
      </c>
      <c r="Z311" t="inlineStr">
        <is>
          <t>Y</t>
        </is>
      </c>
      <c r="AA311" t="inlineStr">
        <is>
          <t>N</t>
        </is>
      </c>
    </row>
    <row r="312">
      <c r="A312" t="inlineStr">
        <is>
          <t>ASMT_IMP_0287</t>
        </is>
      </c>
      <c r="B312" t="inlineStr">
        <is>
          <t>CLT_DFL001</t>
        </is>
      </c>
      <c r="C312" t="inlineStr">
        <is>
          <t>REL_26C</t>
        </is>
      </c>
      <c r="D312" t="inlineStr">
        <is>
          <t>CHG_IMP_0287</t>
        </is>
      </c>
      <c r="E312" t="inlineStr">
        <is>
          <t>Functional</t>
        </is>
      </c>
      <c r="F312" t="inlineStr">
        <is>
          <t>Configuration</t>
        </is>
      </c>
      <c r="G312" t="inlineStr"/>
      <c r="H312" t="inlineStr">
        <is>
          <t>DFL Recruiting impacted by Oracle 26C change</t>
        </is>
      </c>
      <c r="I312" t="inlineStr">
        <is>
          <t>Y</t>
        </is>
      </c>
      <c r="J312" t="inlineStr">
        <is>
          <t>N</t>
        </is>
      </c>
      <c r="K312" t="inlineStr">
        <is>
          <t>N</t>
        </is>
      </c>
      <c r="L312" t="inlineStr">
        <is>
          <t>N</t>
        </is>
      </c>
      <c r="M312" t="n">
        <v>3</v>
      </c>
      <c r="N312" t="n">
        <v>2</v>
      </c>
      <c r="O312" t="n">
        <v>2</v>
      </c>
      <c r="P312" t="n">
        <v>1</v>
      </c>
      <c r="Q312" t="n">
        <v>3</v>
      </c>
      <c r="R312">
        <f>IFERROR(XLOOKUP(XLOOKUP(D312,tblReleaseChanges[Change_ID],tblReleaseChanges[Oracle_Severity],""),tblSeverityMap[Severity_Text],tblSeverityMap[Score],0),0)</f>
        <v/>
      </c>
      <c r="S312" t="n">
        <v>2</v>
      </c>
      <c r="T312">
        <f>ROUND((M312*0.25)+(N312*0.20)+(O312*0.15)+(P312*0.15)+(Q312*0.10)+(R312*0.10)+(S312*0.05),2)</f>
        <v/>
      </c>
      <c r="U312">
        <f>IF(T312&gt;=4.25,"Critical",IF(T312&gt;=3.5,"High",IF(T312&gt;=2,"Medium","Low")))</f>
        <v/>
      </c>
      <c r="V312" t="inlineStr">
        <is>
          <t>Pending Review</t>
        </is>
      </c>
      <c r="W312" t="inlineStr"/>
      <c r="X312" t="inlineStr"/>
      <c r="Y312" t="inlineStr">
        <is>
          <t>Action type: Steps to Enable. To enable the Add candidate signature documents checkbox, set the site profile value to Y for the ORA_IRC_OFFER_MULTI_DOCUMENT_SIGNATURES profile opt</t>
        </is>
      </c>
      <c r="Z312" t="inlineStr">
        <is>
          <t>Y</t>
        </is>
      </c>
      <c r="AA312" t="inlineStr">
        <is>
          <t>N</t>
        </is>
      </c>
    </row>
    <row r="313">
      <c r="A313" t="inlineStr">
        <is>
          <t>ASMT_IMP_0288</t>
        </is>
      </c>
      <c r="B313" t="inlineStr">
        <is>
          <t>CLT_DFL001</t>
        </is>
      </c>
      <c r="C313" t="inlineStr">
        <is>
          <t>REL_26C</t>
        </is>
      </c>
      <c r="D313" t="inlineStr">
        <is>
          <t>CHG_IMP_0288</t>
        </is>
      </c>
      <c r="E313" t="inlineStr">
        <is>
          <t>AI Feature</t>
        </is>
      </c>
      <c r="F313" t="inlineStr">
        <is>
          <t>Configuration</t>
        </is>
      </c>
      <c r="G313" t="inlineStr"/>
      <c r="H313" t="inlineStr">
        <is>
          <t>DFL Recruiting impacted by Oracle 26C change</t>
        </is>
      </c>
      <c r="I313" t="inlineStr">
        <is>
          <t>Y</t>
        </is>
      </c>
      <c r="J313" t="inlineStr">
        <is>
          <t>N</t>
        </is>
      </c>
      <c r="K313" t="inlineStr">
        <is>
          <t>N</t>
        </is>
      </c>
      <c r="L313" t="inlineStr">
        <is>
          <t>N</t>
        </is>
      </c>
      <c r="M313" t="n">
        <v>3</v>
      </c>
      <c r="N313" t="n">
        <v>2</v>
      </c>
      <c r="O313" t="n">
        <v>2</v>
      </c>
      <c r="P313" t="n">
        <v>3</v>
      </c>
      <c r="Q313" t="n">
        <v>3</v>
      </c>
      <c r="R313">
        <f>IFERROR(XLOOKUP(XLOOKUP(D313,tblReleaseChanges[Change_ID],tblReleaseChanges[Oracle_Severity],""),tblSeverityMap[Severity_Text],tblSeverityMap[Score],0),0)</f>
        <v/>
      </c>
      <c r="S313" t="n">
        <v>2</v>
      </c>
      <c r="T313">
        <f>ROUND((M313*0.25)+(N313*0.20)+(O313*0.15)+(P313*0.15)+(Q313*0.10)+(R313*0.10)+(S313*0.05),2)</f>
        <v/>
      </c>
      <c r="U313">
        <f>IF(T313&gt;=4.25,"Critical",IF(T313&gt;=3.5,"High",IF(T313&gt;=2,"Medium","Low")))</f>
        <v/>
      </c>
      <c r="V313" t="inlineStr">
        <is>
          <t>Pending Review</t>
        </is>
      </c>
      <c r="W313" t="inlineStr"/>
      <c r="X313" t="inlineStr"/>
      <c r="Y313" t="inlineStr">
        <is>
          <t>Action type: Steps to Enable. To use this feature, complete these prerequisites: 1. Enable two-way email communications. 2. Enable email attachments. 3. Set up document categories and</t>
        </is>
      </c>
      <c r="Z313" t="inlineStr">
        <is>
          <t>Y</t>
        </is>
      </c>
      <c r="AA313" t="inlineStr">
        <is>
          <t>N</t>
        </is>
      </c>
    </row>
    <row r="314">
      <c r="A314" t="inlineStr">
        <is>
          <t>ASMT_IMP_0289</t>
        </is>
      </c>
      <c r="B314" t="inlineStr">
        <is>
          <t>CLT_DFL001</t>
        </is>
      </c>
      <c r="C314" t="inlineStr">
        <is>
          <t>REL_26C</t>
        </is>
      </c>
      <c r="D314" t="inlineStr">
        <is>
          <t>CHG_IMP_0289</t>
        </is>
      </c>
      <c r="E314" t="inlineStr">
        <is>
          <t>Functional</t>
        </is>
      </c>
      <c r="F314" t="inlineStr">
        <is>
          <t>Configuration</t>
        </is>
      </c>
      <c r="G314" t="inlineStr"/>
      <c r="H314" t="inlineStr">
        <is>
          <t>DFL Recruiting impacted by Oracle 26C change</t>
        </is>
      </c>
      <c r="I314" t="inlineStr">
        <is>
          <t>Y</t>
        </is>
      </c>
      <c r="J314" t="inlineStr">
        <is>
          <t>N</t>
        </is>
      </c>
      <c r="K314" t="inlineStr">
        <is>
          <t>N</t>
        </is>
      </c>
      <c r="L314" t="inlineStr">
        <is>
          <t>N</t>
        </is>
      </c>
      <c r="M314" t="n">
        <v>3</v>
      </c>
      <c r="N314" t="n">
        <v>2</v>
      </c>
      <c r="O314" t="n">
        <v>2</v>
      </c>
      <c r="P314" t="n">
        <v>1</v>
      </c>
      <c r="Q314" t="n">
        <v>3</v>
      </c>
      <c r="R314">
        <f>IFERROR(XLOOKUP(XLOOKUP(D314,tblReleaseChanges[Change_ID],tblReleaseChanges[Oracle_Severity],""),tblSeverityMap[Severity_Text],tblSeverityMap[Score],0),0)</f>
        <v/>
      </c>
      <c r="S314" t="n">
        <v>2</v>
      </c>
      <c r="T314">
        <f>ROUND((M314*0.25)+(N314*0.20)+(O314*0.15)+(P314*0.15)+(Q314*0.10)+(R314*0.10)+(S314*0.05),2)</f>
        <v/>
      </c>
      <c r="U314">
        <f>IF(T314&gt;=4.25,"Critical",IF(T314&gt;=3.5,"High",IF(T314&gt;=2,"Medium","Low")))</f>
        <v/>
      </c>
      <c r="V314" t="inlineStr">
        <is>
          <t>Pending Review</t>
        </is>
      </c>
      <c r="W314" t="inlineStr"/>
      <c r="X314" t="inlineStr"/>
      <c r="Y314" t="inlineStr">
        <is>
          <t>Action type: Steps to Enable. To use Redwood experience, you need to enable the Recruiting Redwood pages profile options. For details, see Set profile options for Redwood pages. For</t>
        </is>
      </c>
      <c r="Z314" t="inlineStr">
        <is>
          <t>Y</t>
        </is>
      </c>
      <c r="AA314" t="inlineStr">
        <is>
          <t>N</t>
        </is>
      </c>
    </row>
    <row r="315">
      <c r="A315" t="inlineStr">
        <is>
          <t>ASMT_IMP_0290</t>
        </is>
      </c>
      <c r="B315" t="inlineStr">
        <is>
          <t>CLT_DFL001</t>
        </is>
      </c>
      <c r="C315" t="inlineStr">
        <is>
          <t>REL_26C</t>
        </is>
      </c>
      <c r="D315" t="inlineStr">
        <is>
          <t>CHG_IMP_0290</t>
        </is>
      </c>
      <c r="E315" t="inlineStr">
        <is>
          <t>AI Feature</t>
        </is>
      </c>
      <c r="F315" t="inlineStr">
        <is>
          <t>Configuration</t>
        </is>
      </c>
      <c r="G315" t="inlineStr"/>
      <c r="H315" t="inlineStr">
        <is>
          <t>DFL Recruiting impacted by Oracle 26C change</t>
        </is>
      </c>
      <c r="I315" t="inlineStr">
        <is>
          <t>Y</t>
        </is>
      </c>
      <c r="J315" t="inlineStr">
        <is>
          <t>N</t>
        </is>
      </c>
      <c r="K315" t="inlineStr">
        <is>
          <t>N</t>
        </is>
      </c>
      <c r="L315" t="inlineStr">
        <is>
          <t>N</t>
        </is>
      </c>
      <c r="M315" t="n">
        <v>3</v>
      </c>
      <c r="N315" t="n">
        <v>2</v>
      </c>
      <c r="O315" t="n">
        <v>2</v>
      </c>
      <c r="P315" t="n">
        <v>3</v>
      </c>
      <c r="Q315" t="n">
        <v>3</v>
      </c>
      <c r="R315">
        <f>IFERROR(XLOOKUP(XLOOKUP(D315,tblReleaseChanges[Change_ID],tblReleaseChanges[Oracle_Severity],""),tblSeverityMap[Severity_Text],tblSeverityMap[Score],0),0)</f>
        <v/>
      </c>
      <c r="S315" t="n">
        <v>2</v>
      </c>
      <c r="T315">
        <f>ROUND((M315*0.25)+(N315*0.20)+(O315*0.15)+(P315*0.15)+(Q315*0.10)+(R315*0.10)+(S315*0.05),2)</f>
        <v/>
      </c>
      <c r="U315">
        <f>IF(T315&gt;=4.25,"Critical",IF(T315&gt;=3.5,"High",IF(T315&gt;=2,"Medium","Low")))</f>
        <v/>
      </c>
      <c r="V315" t="inlineStr">
        <is>
          <t>Pending Review</t>
        </is>
      </c>
      <c r="W315" t="inlineStr"/>
      <c r="X315" t="inlineStr"/>
      <c r="Y315" t="inlineStr">
        <is>
          <t>Action type: Steps to Enable. **Step 1: Opt in to Recruiting Booster** To use the Interview Insights feature, you need to opt in to Recruiting Booster. For details, see</t>
        </is>
      </c>
      <c r="Z315" t="inlineStr">
        <is>
          <t>Y</t>
        </is>
      </c>
      <c r="AA315" t="inlineStr">
        <is>
          <t>N</t>
        </is>
      </c>
    </row>
    <row r="316">
      <c r="A316" t="inlineStr">
        <is>
          <t>ASMT_IMP_0291</t>
        </is>
      </c>
      <c r="B316" t="inlineStr">
        <is>
          <t>CLT_DFL001</t>
        </is>
      </c>
      <c r="C316" t="inlineStr">
        <is>
          <t>REL_26C</t>
        </is>
      </c>
      <c r="D316" t="inlineStr">
        <is>
          <t>CHG_IMP_0291</t>
        </is>
      </c>
      <c r="E316" t="inlineStr">
        <is>
          <t>Functional</t>
        </is>
      </c>
      <c r="F316" t="inlineStr">
        <is>
          <t>Configuration</t>
        </is>
      </c>
      <c r="G316" t="inlineStr"/>
      <c r="H316" t="inlineStr">
        <is>
          <t>DFL Recruiting impacted by Oracle 26C change</t>
        </is>
      </c>
      <c r="I316" t="inlineStr">
        <is>
          <t>Y</t>
        </is>
      </c>
      <c r="J316" t="inlineStr">
        <is>
          <t>N</t>
        </is>
      </c>
      <c r="K316" t="inlineStr">
        <is>
          <t>N</t>
        </is>
      </c>
      <c r="L316" t="inlineStr">
        <is>
          <t>N</t>
        </is>
      </c>
      <c r="M316" t="n">
        <v>3</v>
      </c>
      <c r="N316" t="n">
        <v>2</v>
      </c>
      <c r="O316" t="n">
        <v>2</v>
      </c>
      <c r="P316" t="n">
        <v>1</v>
      </c>
      <c r="Q316" t="n">
        <v>3</v>
      </c>
      <c r="R316">
        <f>IFERROR(XLOOKUP(XLOOKUP(D316,tblReleaseChanges[Change_ID],tblReleaseChanges[Oracle_Severity],""),tblSeverityMap[Severity_Text],tblSeverityMap[Score],0),0)</f>
        <v/>
      </c>
      <c r="S316" t="n">
        <v>2</v>
      </c>
      <c r="T316">
        <f>ROUND((M316*0.25)+(N316*0.20)+(O316*0.15)+(P316*0.15)+(Q316*0.10)+(R316*0.10)+(S316*0.05),2)</f>
        <v/>
      </c>
      <c r="U316">
        <f>IF(T316&gt;=4.25,"Critical",IF(T316&gt;=3.5,"High",IF(T316&gt;=2,"Medium","Low")))</f>
        <v/>
      </c>
      <c r="V316" t="inlineStr">
        <is>
          <t>Pending Review</t>
        </is>
      </c>
      <c r="W316" t="inlineStr"/>
      <c r="X316" t="inlineStr"/>
      <c r="Y316" t="inlineStr">
        <is>
          <t xml:space="preserve">Action type: Steps to Enable. To customize the Payroll region, in Visual Builder Studio, go to Hiring &gt; Create or Edit Job Offer &gt; Payroll info and create business rules. </t>
        </is>
      </c>
      <c r="Z316" t="inlineStr">
        <is>
          <t>Y</t>
        </is>
      </c>
      <c r="AA316" t="inlineStr">
        <is>
          <t>N</t>
        </is>
      </c>
    </row>
    <row r="317">
      <c r="A317" t="inlineStr">
        <is>
          <t>ASMT_IMP_0292</t>
        </is>
      </c>
      <c r="B317" t="inlineStr">
        <is>
          <t>CLT_DFL001</t>
        </is>
      </c>
      <c r="C317" t="inlineStr">
        <is>
          <t>REL_26C</t>
        </is>
      </c>
      <c r="D317" t="inlineStr">
        <is>
          <t>CHG_IMP_0292</t>
        </is>
      </c>
      <c r="E317" t="inlineStr">
        <is>
          <t>Functional</t>
        </is>
      </c>
      <c r="F317" t="inlineStr">
        <is>
          <t>Configuration</t>
        </is>
      </c>
      <c r="G317" t="inlineStr"/>
      <c r="H317" t="inlineStr">
        <is>
          <t>DFL Recruiting impacted by Oracle 26C change</t>
        </is>
      </c>
      <c r="I317" t="inlineStr">
        <is>
          <t>Y</t>
        </is>
      </c>
      <c r="J317" t="inlineStr">
        <is>
          <t>N</t>
        </is>
      </c>
      <c r="K317" t="inlineStr">
        <is>
          <t>N</t>
        </is>
      </c>
      <c r="L317" t="inlineStr">
        <is>
          <t>N</t>
        </is>
      </c>
      <c r="M317" t="n">
        <v>3</v>
      </c>
      <c r="N317" t="n">
        <v>2</v>
      </c>
      <c r="O317" t="n">
        <v>2</v>
      </c>
      <c r="P317" t="n">
        <v>1</v>
      </c>
      <c r="Q317" t="n">
        <v>3</v>
      </c>
      <c r="R317">
        <f>IFERROR(XLOOKUP(XLOOKUP(D317,tblReleaseChanges[Change_ID],tblReleaseChanges[Oracle_Severity],""),tblSeverityMap[Severity_Text],tblSeverityMap[Score],0),0)</f>
        <v/>
      </c>
      <c r="S317" t="n">
        <v>2</v>
      </c>
      <c r="T317">
        <f>ROUND((M317*0.25)+(N317*0.20)+(O317*0.15)+(P317*0.15)+(Q317*0.10)+(R317*0.10)+(S317*0.05),2)</f>
        <v/>
      </c>
      <c r="U317">
        <f>IF(T317&gt;=4.25,"Critical",IF(T317&gt;=3.5,"High",IF(T317&gt;=2,"Medium","Low")))</f>
        <v/>
      </c>
      <c r="V317" t="inlineStr">
        <is>
          <t>Pending Review</t>
        </is>
      </c>
      <c r="W317" t="inlineStr"/>
      <c r="X317" t="inlineStr"/>
      <c r="Y317" t="inlineStr">
        <is>
          <t>Action type: Steps to Enable. See the **Access Requirements** section. To use Redwood experience, you need to enable the Recruiting Redw</t>
        </is>
      </c>
      <c r="Z317" t="inlineStr">
        <is>
          <t>Y</t>
        </is>
      </c>
      <c r="AA317" t="inlineStr">
        <is>
          <t>N</t>
        </is>
      </c>
    </row>
    <row r="318">
      <c r="A318" t="inlineStr">
        <is>
          <t>ASMT_IMP_0293</t>
        </is>
      </c>
      <c r="B318" t="inlineStr">
        <is>
          <t>CLT_DFL001</t>
        </is>
      </c>
      <c r="C318" t="inlineStr">
        <is>
          <t>REL_26C</t>
        </is>
      </c>
      <c r="D318" t="inlineStr">
        <is>
          <t>CHG_IMP_0293</t>
        </is>
      </c>
      <c r="E318" t="inlineStr">
        <is>
          <t>Functional</t>
        </is>
      </c>
      <c r="F318" t="inlineStr">
        <is>
          <t>Configuration</t>
        </is>
      </c>
      <c r="G318" t="inlineStr"/>
      <c r="H318" t="inlineStr">
        <is>
          <t>DFL Recruiting impacted by Oracle 26C change</t>
        </is>
      </c>
      <c r="I318" t="inlineStr">
        <is>
          <t>Y</t>
        </is>
      </c>
      <c r="J318" t="inlineStr">
        <is>
          <t>N</t>
        </is>
      </c>
      <c r="K318" t="inlineStr">
        <is>
          <t>N</t>
        </is>
      </c>
      <c r="L318" t="inlineStr">
        <is>
          <t>N</t>
        </is>
      </c>
      <c r="M318" t="n">
        <v>3</v>
      </c>
      <c r="N318" t="n">
        <v>2</v>
      </c>
      <c r="O318" t="n">
        <v>2</v>
      </c>
      <c r="P318" t="n">
        <v>1</v>
      </c>
      <c r="Q318" t="n">
        <v>3</v>
      </c>
      <c r="R318">
        <f>IFERROR(XLOOKUP(XLOOKUP(D318,tblReleaseChanges[Change_ID],tblReleaseChanges[Oracle_Severity],""),tblSeverityMap[Severity_Text],tblSeverityMap[Score],0),0)</f>
        <v/>
      </c>
      <c r="S318" t="n">
        <v>2</v>
      </c>
      <c r="T318">
        <f>ROUND((M318*0.25)+(N318*0.20)+(O318*0.15)+(P318*0.15)+(Q318*0.10)+(R318*0.10)+(S318*0.05),2)</f>
        <v/>
      </c>
      <c r="U318">
        <f>IF(T318&gt;=4.25,"Critical",IF(T318&gt;=3.5,"High",IF(T318&gt;=2,"Medium","Low")))</f>
        <v/>
      </c>
      <c r="V318" t="inlineStr">
        <is>
          <t>Pending Review</t>
        </is>
      </c>
      <c r="W318" t="inlineStr"/>
      <c r="X318" t="inlineStr"/>
      <c r="Y318" t="inlineStr">
        <is>
          <t xml:space="preserve">Action type: Steps to Enable. To use Redwood experience, you need to enable the Recruiting Redwood pages profile options. For details, see </t>
        </is>
      </c>
      <c r="Z318" t="inlineStr">
        <is>
          <t>Y</t>
        </is>
      </c>
      <c r="AA318" t="inlineStr">
        <is>
          <t>N</t>
        </is>
      </c>
    </row>
    <row r="319">
      <c r="A319" t="inlineStr">
        <is>
          <t>ASMT_IMP_0294</t>
        </is>
      </c>
      <c r="B319" t="inlineStr">
        <is>
          <t>CLT_DFL001</t>
        </is>
      </c>
      <c r="C319" t="inlineStr">
        <is>
          <t>REL_26C</t>
        </is>
      </c>
      <c r="D319" t="inlineStr">
        <is>
          <t>CHG_IMP_0294</t>
        </is>
      </c>
      <c r="E319" t="inlineStr">
        <is>
          <t>Functional</t>
        </is>
      </c>
      <c r="F319" t="inlineStr">
        <is>
          <t>Configuration</t>
        </is>
      </c>
      <c r="G319" t="inlineStr"/>
      <c r="H319" t="inlineStr">
        <is>
          <t>DFL Recruiting impacted by Oracle 26C change</t>
        </is>
      </c>
      <c r="I319" t="inlineStr">
        <is>
          <t>Y</t>
        </is>
      </c>
      <c r="J319" t="inlineStr">
        <is>
          <t>N</t>
        </is>
      </c>
      <c r="K319" t="inlineStr">
        <is>
          <t>N</t>
        </is>
      </c>
      <c r="L319" t="inlineStr">
        <is>
          <t>N</t>
        </is>
      </c>
      <c r="M319" t="n">
        <v>3</v>
      </c>
      <c r="N319" t="n">
        <v>2</v>
      </c>
      <c r="O319" t="n">
        <v>2</v>
      </c>
      <c r="P319" t="n">
        <v>1</v>
      </c>
      <c r="Q319" t="n">
        <v>3</v>
      </c>
      <c r="R319">
        <f>IFERROR(XLOOKUP(XLOOKUP(D319,tblReleaseChanges[Change_ID],tblReleaseChanges[Oracle_Severity],""),tblSeverityMap[Severity_Text],tblSeverityMap[Score],0),0)</f>
        <v/>
      </c>
      <c r="S319" t="n">
        <v>2</v>
      </c>
      <c r="T319">
        <f>ROUND((M319*0.25)+(N319*0.20)+(O319*0.15)+(P319*0.15)+(Q319*0.10)+(R319*0.10)+(S319*0.05),2)</f>
        <v/>
      </c>
      <c r="U319">
        <f>IF(T319&gt;=4.25,"Critical",IF(T319&gt;=3.5,"High",IF(T319&gt;=2,"Medium","Low")))</f>
        <v/>
      </c>
      <c r="V319" t="inlineStr">
        <is>
          <t>Pending Review</t>
        </is>
      </c>
      <c r="W319" t="inlineStr"/>
      <c r="X319" t="inlineStr"/>
      <c r="Y319" t="inlineStr">
        <is>
          <t>Action type: Steps to Enable. To use Redwood experience, you need to enable the Recruiting Redwood pages profile options. For details, see Set profile options for Redwood pag</t>
        </is>
      </c>
      <c r="Z319" t="inlineStr">
        <is>
          <t>Y</t>
        </is>
      </c>
      <c r="AA319" t="inlineStr">
        <is>
          <t>N</t>
        </is>
      </c>
    </row>
    <row r="320">
      <c r="A320" t="inlineStr">
        <is>
          <t>ASMT_IMP_0295</t>
        </is>
      </c>
      <c r="B320" t="inlineStr">
        <is>
          <t>CLT_DFL001</t>
        </is>
      </c>
      <c r="C320" t="inlineStr">
        <is>
          <t>REL_26C</t>
        </is>
      </c>
      <c r="D320" t="inlineStr">
        <is>
          <t>CHG_IMP_0295</t>
        </is>
      </c>
      <c r="E320" t="inlineStr">
        <is>
          <t>Functional</t>
        </is>
      </c>
      <c r="F320" t="inlineStr">
        <is>
          <t>Configuration</t>
        </is>
      </c>
      <c r="G320" t="inlineStr"/>
      <c r="H320" t="inlineStr">
        <is>
          <t>DFL Recruiting impacted by Oracle 26C change</t>
        </is>
      </c>
      <c r="I320" t="inlineStr">
        <is>
          <t>Y</t>
        </is>
      </c>
      <c r="J320" t="inlineStr">
        <is>
          <t>N</t>
        </is>
      </c>
      <c r="K320" t="inlineStr">
        <is>
          <t>N</t>
        </is>
      </c>
      <c r="L320" t="inlineStr">
        <is>
          <t>N</t>
        </is>
      </c>
      <c r="M320" t="n">
        <v>3</v>
      </c>
      <c r="N320" t="n">
        <v>2</v>
      </c>
      <c r="O320" t="n">
        <v>2</v>
      </c>
      <c r="P320" t="n">
        <v>1</v>
      </c>
      <c r="Q320" t="n">
        <v>3</v>
      </c>
      <c r="R320">
        <f>IFERROR(XLOOKUP(XLOOKUP(D320,tblReleaseChanges[Change_ID],tblReleaseChanges[Oracle_Severity],""),tblSeverityMap[Severity_Text],tblSeverityMap[Score],0),0)</f>
        <v/>
      </c>
      <c r="S320" t="n">
        <v>2</v>
      </c>
      <c r="T320">
        <f>ROUND((M320*0.25)+(N320*0.20)+(O320*0.15)+(P320*0.15)+(Q320*0.10)+(R320*0.10)+(S320*0.05),2)</f>
        <v/>
      </c>
      <c r="U320">
        <f>IF(T320&gt;=4.25,"Critical",IF(T320&gt;=3.5,"High",IF(T320&gt;=2,"Medium","Low")))</f>
        <v/>
      </c>
      <c r="V320" t="inlineStr">
        <is>
          <t>Pending Review</t>
        </is>
      </c>
      <c r="W320" t="inlineStr"/>
      <c r="X320" t="inlineStr"/>
      <c r="Y320" t="inlineStr">
        <is>
          <t>Action type: Steps to Enable. For privileges, see the **Access Requirements** section.</t>
        </is>
      </c>
      <c r="Z320" t="inlineStr">
        <is>
          <t>Y</t>
        </is>
      </c>
      <c r="AA320" t="inlineStr">
        <is>
          <t>N</t>
        </is>
      </c>
    </row>
    <row r="321">
      <c r="A321" t="inlineStr">
        <is>
          <t>ASMT_IMP_0296</t>
        </is>
      </c>
      <c r="B321" t="inlineStr">
        <is>
          <t>CLT_DFL001</t>
        </is>
      </c>
      <c r="C321" t="inlineStr">
        <is>
          <t>REL_26C</t>
        </is>
      </c>
      <c r="D321" t="inlineStr">
        <is>
          <t>CHG_IMP_0296</t>
        </is>
      </c>
      <c r="E321" t="inlineStr">
        <is>
          <t>Functional</t>
        </is>
      </c>
      <c r="F321" t="inlineStr">
        <is>
          <t>Configuration</t>
        </is>
      </c>
      <c r="G321" t="inlineStr"/>
      <c r="H321" t="inlineStr">
        <is>
          <t>DFL Recruiting impacted by Oracle 26C change</t>
        </is>
      </c>
      <c r="I321" t="inlineStr">
        <is>
          <t>Y</t>
        </is>
      </c>
      <c r="J321" t="inlineStr">
        <is>
          <t>N</t>
        </is>
      </c>
      <c r="K321" t="inlineStr">
        <is>
          <t>N</t>
        </is>
      </c>
      <c r="L321" t="inlineStr">
        <is>
          <t>N</t>
        </is>
      </c>
      <c r="M321" t="n">
        <v>3</v>
      </c>
      <c r="N321" t="n">
        <v>2</v>
      </c>
      <c r="O321" t="n">
        <v>2</v>
      </c>
      <c r="P321" t="n">
        <v>1</v>
      </c>
      <c r="Q321" t="n">
        <v>3</v>
      </c>
      <c r="R321">
        <f>IFERROR(XLOOKUP(XLOOKUP(D321,tblReleaseChanges[Change_ID],tblReleaseChanges[Oracle_Severity],""),tblSeverityMap[Severity_Text],tblSeverityMap[Score],0),0)</f>
        <v/>
      </c>
      <c r="S321" t="n">
        <v>2</v>
      </c>
      <c r="T321">
        <f>ROUND((M321*0.25)+(N321*0.20)+(O321*0.15)+(P321*0.15)+(Q321*0.10)+(R321*0.10)+(S321*0.05),2)</f>
        <v/>
      </c>
      <c r="U321">
        <f>IF(T321&gt;=4.25,"Critical",IF(T321&gt;=3.5,"High",IF(T321&gt;=2,"Medium","Low")))</f>
        <v/>
      </c>
      <c r="V321" t="inlineStr">
        <is>
          <t>Pending Review</t>
        </is>
      </c>
      <c r="W321" t="inlineStr"/>
      <c r="X321" t="inlineStr"/>
      <c r="Y321" t="inlineStr">
        <is>
          <t>Action type: Steps to Enable. To use the Coordinate Interviews feature, you need to opt in to Recruiting Booster. For details, see Opt in to Recruiting Booster. To use Redwood experience, you n</t>
        </is>
      </c>
      <c r="Z321" t="inlineStr">
        <is>
          <t>Y</t>
        </is>
      </c>
      <c r="AA321" t="inlineStr">
        <is>
          <t>N</t>
        </is>
      </c>
    </row>
    <row r="322">
      <c r="A322" t="inlineStr">
        <is>
          <t>ASMT_IMP_0297</t>
        </is>
      </c>
      <c r="B322" t="inlineStr">
        <is>
          <t>CLT_DFL001</t>
        </is>
      </c>
      <c r="C322" t="inlineStr">
        <is>
          <t>REL_26C</t>
        </is>
      </c>
      <c r="D322" t="inlineStr">
        <is>
          <t>CHG_IMP_0297</t>
        </is>
      </c>
      <c r="E322" t="inlineStr">
        <is>
          <t>AI Feature</t>
        </is>
      </c>
      <c r="F322" t="inlineStr">
        <is>
          <t>Configuration</t>
        </is>
      </c>
      <c r="G322" t="inlineStr"/>
      <c r="H322" t="inlineStr">
        <is>
          <t>DFL Recruiting impacted by Oracle 26C change</t>
        </is>
      </c>
      <c r="I322" t="inlineStr">
        <is>
          <t>Y</t>
        </is>
      </c>
      <c r="J322" t="inlineStr">
        <is>
          <t>N</t>
        </is>
      </c>
      <c r="K322" t="inlineStr">
        <is>
          <t>N</t>
        </is>
      </c>
      <c r="L322" t="inlineStr">
        <is>
          <t>N</t>
        </is>
      </c>
      <c r="M322" t="n">
        <v>3</v>
      </c>
      <c r="N322" t="n">
        <v>2</v>
      </c>
      <c r="O322" t="n">
        <v>2</v>
      </c>
      <c r="P322" t="n">
        <v>3</v>
      </c>
      <c r="Q322" t="n">
        <v>3</v>
      </c>
      <c r="R322">
        <f>IFERROR(XLOOKUP(XLOOKUP(D322,tblReleaseChanges[Change_ID],tblReleaseChanges[Oracle_Severity],""),tblSeverityMap[Severity_Text],tblSeverityMap[Score],0),0)</f>
        <v/>
      </c>
      <c r="S322" t="n">
        <v>2</v>
      </c>
      <c r="T322">
        <f>ROUND((M322*0.25)+(N322*0.20)+(O322*0.15)+(P322*0.15)+(Q322*0.10)+(R322*0.10)+(S322*0.05),2)</f>
        <v/>
      </c>
      <c r="U322">
        <f>IF(T322&gt;=4.25,"Critical",IF(T322&gt;=3.5,"High",IF(T322&gt;=2,"Medium","Low")))</f>
        <v/>
      </c>
      <c r="V322" t="inlineStr">
        <is>
          <t>Pending Review</t>
        </is>
      </c>
      <c r="W322" t="inlineStr"/>
      <c r="X322" t="inlineStr"/>
      <c r="Y322" t="inlineStr">
        <is>
          <t>Action type: Steps to Enable. You can enable the automatic generation of interview guidelines using the AI Agent. In Visual Builder Studio, go to Hiring &gt; Create Interview Schedule or Create I</t>
        </is>
      </c>
      <c r="Z322" t="inlineStr">
        <is>
          <t>Y</t>
        </is>
      </c>
      <c r="AA322" t="inlineStr">
        <is>
          <t>N</t>
        </is>
      </c>
    </row>
    <row r="323">
      <c r="A323" t="inlineStr">
        <is>
          <t>ASMT_IMP_0298</t>
        </is>
      </c>
      <c r="B323" t="inlineStr">
        <is>
          <t>CLT_DFL001</t>
        </is>
      </c>
      <c r="C323" t="inlineStr">
        <is>
          <t>REL_26C</t>
        </is>
      </c>
      <c r="D323" t="inlineStr">
        <is>
          <t>CHG_IMP_0298</t>
        </is>
      </c>
      <c r="E323" t="inlineStr">
        <is>
          <t>AI Feature</t>
        </is>
      </c>
      <c r="F323" t="inlineStr">
        <is>
          <t>Configuration</t>
        </is>
      </c>
      <c r="G323" t="inlineStr"/>
      <c r="H323" t="inlineStr">
        <is>
          <t>DFL Recruiting impacted by Oracle 26C change</t>
        </is>
      </c>
      <c r="I323" t="inlineStr">
        <is>
          <t>Y</t>
        </is>
      </c>
      <c r="J323" t="inlineStr">
        <is>
          <t>N</t>
        </is>
      </c>
      <c r="K323" t="inlineStr">
        <is>
          <t>N</t>
        </is>
      </c>
      <c r="L323" t="inlineStr">
        <is>
          <t>N</t>
        </is>
      </c>
      <c r="M323" t="n">
        <v>3</v>
      </c>
      <c r="N323" t="n">
        <v>2</v>
      </c>
      <c r="O323" t="n">
        <v>2</v>
      </c>
      <c r="P323" t="n">
        <v>3</v>
      </c>
      <c r="Q323" t="n">
        <v>3</v>
      </c>
      <c r="R323">
        <f>IFERROR(XLOOKUP(XLOOKUP(D323,tblReleaseChanges[Change_ID],tblReleaseChanges[Oracle_Severity],""),tblSeverityMap[Severity_Text],tblSeverityMap[Score],0),0)</f>
        <v/>
      </c>
      <c r="S323" t="n">
        <v>2</v>
      </c>
      <c r="T323">
        <f>ROUND((M323*0.25)+(N323*0.20)+(O323*0.15)+(P323*0.15)+(Q323*0.10)+(R323*0.10)+(S323*0.05),2)</f>
        <v/>
      </c>
      <c r="U323">
        <f>IF(T323&gt;=4.25,"Critical",IF(T323&gt;=3.5,"High",IF(T323&gt;=2,"Medium","Low")))</f>
        <v/>
      </c>
      <c r="V323" t="inlineStr">
        <is>
          <t>Pending Review</t>
        </is>
      </c>
      <c r="W323" t="inlineStr"/>
      <c r="X323" t="inlineStr"/>
      <c r="Y323" t="inlineStr">
        <is>
          <t>Action type: Steps to Enable. The Qualifications and Responsibilities fields are hidden by default. To make them visible, in Visual Builder Studio go to Hiring &gt; Job Requisitio</t>
        </is>
      </c>
      <c r="Z323" t="inlineStr">
        <is>
          <t>Y</t>
        </is>
      </c>
      <c r="AA323" t="inlineStr">
        <is>
          <t>N</t>
        </is>
      </c>
    </row>
    <row r="324">
      <c r="A324" t="inlineStr">
        <is>
          <t>ASMT_IMP_0299</t>
        </is>
      </c>
      <c r="B324" t="inlineStr">
        <is>
          <t>CLT_DFL001</t>
        </is>
      </c>
      <c r="C324" t="inlineStr">
        <is>
          <t>REL_26C</t>
        </is>
      </c>
      <c r="D324" t="inlineStr">
        <is>
          <t>CHG_IMP_0299</t>
        </is>
      </c>
      <c r="E324" t="inlineStr">
        <is>
          <t>Functional</t>
        </is>
      </c>
      <c r="F324" t="inlineStr">
        <is>
          <t>Configuration</t>
        </is>
      </c>
      <c r="G324" t="inlineStr"/>
      <c r="H324" t="inlineStr">
        <is>
          <t>DFL Recruiting impacted by Oracle 26C change</t>
        </is>
      </c>
      <c r="I324" t="inlineStr">
        <is>
          <t>Y</t>
        </is>
      </c>
      <c r="J324" t="inlineStr">
        <is>
          <t>N</t>
        </is>
      </c>
      <c r="K324" t="inlineStr">
        <is>
          <t>N</t>
        </is>
      </c>
      <c r="L324" t="inlineStr">
        <is>
          <t>N</t>
        </is>
      </c>
      <c r="M324" t="n">
        <v>3</v>
      </c>
      <c r="N324" t="n">
        <v>2</v>
      </c>
      <c r="O324" t="n">
        <v>2</v>
      </c>
      <c r="P324" t="n">
        <v>1</v>
      </c>
      <c r="Q324" t="n">
        <v>3</v>
      </c>
      <c r="R324">
        <f>IFERROR(XLOOKUP(XLOOKUP(D324,tblReleaseChanges[Change_ID],tblReleaseChanges[Oracle_Severity],""),tblSeverityMap[Severity_Text],tblSeverityMap[Score],0),0)</f>
        <v/>
      </c>
      <c r="S324" t="n">
        <v>2</v>
      </c>
      <c r="T324">
        <f>ROUND((M324*0.25)+(N324*0.20)+(O324*0.15)+(P324*0.15)+(Q324*0.10)+(R324*0.10)+(S324*0.05),2)</f>
        <v/>
      </c>
      <c r="U324">
        <f>IF(T324&gt;=4.25,"Critical",IF(T324&gt;=3.5,"High",IF(T324&gt;=2,"Medium","Low")))</f>
        <v/>
      </c>
      <c r="V324" t="inlineStr">
        <is>
          <t>Pending Review</t>
        </is>
      </c>
      <c r="W324" t="inlineStr"/>
      <c r="X324" t="inlineStr"/>
      <c r="Y324" t="inlineStr">
        <is>
          <t>Action type: Steps to Enable. 1. In the Setup and Maintenance work area, enable Oracle Recruiting Hiring Events. 2. Configure recruiter security privileges. See the **Access Requirements** section. 3.</t>
        </is>
      </c>
      <c r="Z324" t="inlineStr">
        <is>
          <t>Y</t>
        </is>
      </c>
      <c r="AA324" t="inlineStr">
        <is>
          <t>N</t>
        </is>
      </c>
    </row>
    <row r="325">
      <c r="A325" t="inlineStr">
        <is>
          <t>ASMT_IMP_0300</t>
        </is>
      </c>
      <c r="B325" t="inlineStr">
        <is>
          <t>CLT_DFL001</t>
        </is>
      </c>
      <c r="C325" t="inlineStr">
        <is>
          <t>REL_26C</t>
        </is>
      </c>
      <c r="D325" t="inlineStr">
        <is>
          <t>CHG_IMP_0300</t>
        </is>
      </c>
      <c r="E325" t="inlineStr">
        <is>
          <t>Functional</t>
        </is>
      </c>
      <c r="F325" t="inlineStr">
        <is>
          <t>Configuration</t>
        </is>
      </c>
      <c r="G325" t="inlineStr"/>
      <c r="H325" t="inlineStr">
        <is>
          <t>DFL Recruiting impacted by Oracle 26C change</t>
        </is>
      </c>
      <c r="I325" t="inlineStr">
        <is>
          <t>Y</t>
        </is>
      </c>
      <c r="J325" t="inlineStr">
        <is>
          <t>N</t>
        </is>
      </c>
      <c r="K325" t="inlineStr">
        <is>
          <t>N</t>
        </is>
      </c>
      <c r="L325" t="inlineStr">
        <is>
          <t>N</t>
        </is>
      </c>
      <c r="M325" t="n">
        <v>3</v>
      </c>
      <c r="N325" t="n">
        <v>2</v>
      </c>
      <c r="O325" t="n">
        <v>2</v>
      </c>
      <c r="P325" t="n">
        <v>1</v>
      </c>
      <c r="Q325" t="n">
        <v>3</v>
      </c>
      <c r="R325">
        <f>IFERROR(XLOOKUP(XLOOKUP(D325,tblReleaseChanges[Change_ID],tblReleaseChanges[Oracle_Severity],""),tblSeverityMap[Severity_Text],tblSeverityMap[Score],0),0)</f>
        <v/>
      </c>
      <c r="S325" t="n">
        <v>2</v>
      </c>
      <c r="T325">
        <f>ROUND((M325*0.25)+(N325*0.20)+(O325*0.15)+(P325*0.15)+(Q325*0.10)+(R325*0.10)+(S325*0.05),2)</f>
        <v/>
      </c>
      <c r="U325">
        <f>IF(T325&gt;=4.25,"Critical",IF(T325&gt;=3.5,"High",IF(T325&gt;=2,"Medium","Low")))</f>
        <v/>
      </c>
      <c r="V325" t="inlineStr">
        <is>
          <t>Pending Review</t>
        </is>
      </c>
      <c r="W325" t="inlineStr"/>
      <c r="X325" t="inlineStr"/>
      <c r="Y325" t="inlineStr">
        <is>
          <t>Action type: Steps to Enable. **Step 1: Opt in to Recruiting Booster** To use Interview Companion, you need to opt in to Recruiting Booster. For details, see Opt in to Recruiting Booster. **Step 2: En</t>
        </is>
      </c>
      <c r="Z325" t="inlineStr">
        <is>
          <t>Y</t>
        </is>
      </c>
      <c r="AA325" t="inlineStr">
        <is>
          <t>N</t>
        </is>
      </c>
    </row>
    <row r="326">
      <c r="A326" t="inlineStr">
        <is>
          <t>ASMT_IMP_0301</t>
        </is>
      </c>
      <c r="B326" t="inlineStr">
        <is>
          <t>CLT_DFL001</t>
        </is>
      </c>
      <c r="C326" t="inlineStr">
        <is>
          <t>REL_26C</t>
        </is>
      </c>
      <c r="D326" t="inlineStr">
        <is>
          <t>CHG_IMP_0301</t>
        </is>
      </c>
      <c r="E326" t="inlineStr">
        <is>
          <t>Functional</t>
        </is>
      </c>
      <c r="F326" t="inlineStr">
        <is>
          <t>Configuration</t>
        </is>
      </c>
      <c r="G326" t="inlineStr"/>
      <c r="H326" t="inlineStr">
        <is>
          <t>DFL Recruiting impacted by Oracle 26C change</t>
        </is>
      </c>
      <c r="I326" t="inlineStr">
        <is>
          <t>Y</t>
        </is>
      </c>
      <c r="J326" t="inlineStr">
        <is>
          <t>N</t>
        </is>
      </c>
      <c r="K326" t="inlineStr">
        <is>
          <t>N</t>
        </is>
      </c>
      <c r="L326" t="inlineStr">
        <is>
          <t>N</t>
        </is>
      </c>
      <c r="M326" t="n">
        <v>3</v>
      </c>
      <c r="N326" t="n">
        <v>2</v>
      </c>
      <c r="O326" t="n">
        <v>2</v>
      </c>
      <c r="P326" t="n">
        <v>1</v>
      </c>
      <c r="Q326" t="n">
        <v>3</v>
      </c>
      <c r="R326">
        <f>IFERROR(XLOOKUP(XLOOKUP(D326,tblReleaseChanges[Change_ID],tblReleaseChanges[Oracle_Severity],""),tblSeverityMap[Severity_Text],tblSeverityMap[Score],0),0)</f>
        <v/>
      </c>
      <c r="S326" t="n">
        <v>2</v>
      </c>
      <c r="T326">
        <f>ROUND((M326*0.25)+(N326*0.20)+(O326*0.15)+(P326*0.15)+(Q326*0.10)+(R326*0.10)+(S326*0.05),2)</f>
        <v/>
      </c>
      <c r="U326">
        <f>IF(T326&gt;=4.25,"Critical",IF(T326&gt;=3.5,"High",IF(T326&gt;=2,"Medium","Low")))</f>
        <v/>
      </c>
      <c r="V326" t="inlineStr">
        <is>
          <t>Pending Review</t>
        </is>
      </c>
      <c r="W326" t="inlineStr"/>
      <c r="X326" t="inlineStr"/>
      <c r="Y326" t="inlineStr">
        <is>
          <t>Action type: Steps to Enable. To use Redwood experience, you need to enable the Recruiting Redwood pages profile options. For details, see Set profile options for Redwood pages. To setup the feat</t>
        </is>
      </c>
      <c r="Z326" t="inlineStr">
        <is>
          <t>Y</t>
        </is>
      </c>
      <c r="AA326" t="inlineStr">
        <is>
          <t>N</t>
        </is>
      </c>
    </row>
    <row r="327">
      <c r="A327" t="inlineStr">
        <is>
          <t>ASMT_IMP_0302</t>
        </is>
      </c>
      <c r="B327" t="inlineStr">
        <is>
          <t>CLT_DFL001</t>
        </is>
      </c>
      <c r="C327" t="inlineStr">
        <is>
          <t>REL_26C</t>
        </is>
      </c>
      <c r="D327" t="inlineStr">
        <is>
          <t>CHG_IMP_0302</t>
        </is>
      </c>
      <c r="E327" t="inlineStr">
        <is>
          <t>Functional</t>
        </is>
      </c>
      <c r="F327" t="inlineStr">
        <is>
          <t>Configuration</t>
        </is>
      </c>
      <c r="G327" t="inlineStr"/>
      <c r="H327" t="inlineStr">
        <is>
          <t>DFL Recruiting impacted by Oracle 26C change</t>
        </is>
      </c>
      <c r="I327" t="inlineStr">
        <is>
          <t>Y</t>
        </is>
      </c>
      <c r="J327" t="inlineStr">
        <is>
          <t>N</t>
        </is>
      </c>
      <c r="K327" t="inlineStr">
        <is>
          <t>N</t>
        </is>
      </c>
      <c r="L327" t="inlineStr">
        <is>
          <t>N</t>
        </is>
      </c>
      <c r="M327" t="n">
        <v>3</v>
      </c>
      <c r="N327" t="n">
        <v>2</v>
      </c>
      <c r="O327" t="n">
        <v>2</v>
      </c>
      <c r="P327" t="n">
        <v>1</v>
      </c>
      <c r="Q327" t="n">
        <v>3</v>
      </c>
      <c r="R327">
        <f>IFERROR(XLOOKUP(XLOOKUP(D327,tblReleaseChanges[Change_ID],tblReleaseChanges[Oracle_Severity],""),tblSeverityMap[Severity_Text],tblSeverityMap[Score],0),0)</f>
        <v/>
      </c>
      <c r="S327" t="n">
        <v>2</v>
      </c>
      <c r="T327">
        <f>ROUND((M327*0.25)+(N327*0.20)+(O327*0.15)+(P327*0.15)+(Q327*0.10)+(R327*0.10)+(S327*0.05),2)</f>
        <v/>
      </c>
      <c r="U327">
        <f>IF(T327&gt;=4.25,"Critical",IF(T327&gt;=3.5,"High",IF(T327&gt;=2,"Medium","Low")))</f>
        <v/>
      </c>
      <c r="V327" t="inlineStr">
        <is>
          <t>Pending Review</t>
        </is>
      </c>
      <c r="W327" t="inlineStr"/>
      <c r="X327" t="inlineStr"/>
      <c r="Y327" t="inlineStr">
        <is>
          <t>Action type: Steps to Enable. To use Redwood experience, you need to enable the Recruiting Redwood pages profile options. For details, see Set profile options for Redwood pages. For detai</t>
        </is>
      </c>
      <c r="Z327" t="inlineStr">
        <is>
          <t>Y</t>
        </is>
      </c>
      <c r="AA327" t="inlineStr">
        <is>
          <t>N</t>
        </is>
      </c>
    </row>
    <row r="328">
      <c r="A328" t="inlineStr">
        <is>
          <t>ASMT_IMP_0303</t>
        </is>
      </c>
      <c r="B328" t="inlineStr">
        <is>
          <t>CLT_DFL001</t>
        </is>
      </c>
      <c r="C328" t="inlineStr">
        <is>
          <t>REL_26C</t>
        </is>
      </c>
      <c r="D328" t="inlineStr">
        <is>
          <t>CHG_IMP_0303</t>
        </is>
      </c>
      <c r="E328" t="inlineStr">
        <is>
          <t>Functional</t>
        </is>
      </c>
      <c r="F328" t="inlineStr">
        <is>
          <t>Configuration</t>
        </is>
      </c>
      <c r="G328" t="inlineStr"/>
      <c r="H328" t="inlineStr">
        <is>
          <t>DFL Recruiting impacted by Oracle 26C change</t>
        </is>
      </c>
      <c r="I328" t="inlineStr">
        <is>
          <t>Y</t>
        </is>
      </c>
      <c r="J328" t="inlineStr">
        <is>
          <t>N</t>
        </is>
      </c>
      <c r="K328" t="inlineStr">
        <is>
          <t>N</t>
        </is>
      </c>
      <c r="L328" t="inlineStr">
        <is>
          <t>N</t>
        </is>
      </c>
      <c r="M328" t="n">
        <v>3</v>
      </c>
      <c r="N328" t="n">
        <v>2</v>
      </c>
      <c r="O328" t="n">
        <v>2</v>
      </c>
      <c r="P328" t="n">
        <v>1</v>
      </c>
      <c r="Q328" t="n">
        <v>3</v>
      </c>
      <c r="R328">
        <f>IFERROR(XLOOKUP(XLOOKUP(D328,tblReleaseChanges[Change_ID],tblReleaseChanges[Oracle_Severity],""),tblSeverityMap[Severity_Text],tblSeverityMap[Score],0),0)</f>
        <v/>
      </c>
      <c r="S328" t="n">
        <v>2</v>
      </c>
      <c r="T328">
        <f>ROUND((M328*0.25)+(N328*0.20)+(O328*0.15)+(P328*0.15)+(Q328*0.10)+(R328*0.10)+(S328*0.05),2)</f>
        <v/>
      </c>
      <c r="U328">
        <f>IF(T328&gt;=4.25,"Critical",IF(T328&gt;=3.5,"High",IF(T328&gt;=2,"Medium","Low")))</f>
        <v/>
      </c>
      <c r="V328" t="inlineStr">
        <is>
          <t>Pending Review</t>
        </is>
      </c>
      <c r="W328" t="inlineStr"/>
      <c r="X328" t="inlineStr"/>
      <c r="Y328" t="inlineStr">
        <is>
          <t>Action type: Steps to Enable. To use Redwood experience, you need to enable the Recruiting Redwood pages profile options. For details, see Set profile options for Redwood pa</t>
        </is>
      </c>
      <c r="Z328" t="inlineStr">
        <is>
          <t>Y</t>
        </is>
      </c>
      <c r="AA328" t="inlineStr">
        <is>
          <t>N</t>
        </is>
      </c>
    </row>
    <row r="329">
      <c r="A329" t="inlineStr">
        <is>
          <t>ASMT_IMP_0304</t>
        </is>
      </c>
      <c r="B329" t="inlineStr">
        <is>
          <t>CLT_DFL001</t>
        </is>
      </c>
      <c r="C329" t="inlineStr">
        <is>
          <t>REL_26C</t>
        </is>
      </c>
      <c r="D329" t="inlineStr">
        <is>
          <t>CHG_IMP_0304</t>
        </is>
      </c>
      <c r="E329" t="inlineStr">
        <is>
          <t>Functional</t>
        </is>
      </c>
      <c r="F329" t="inlineStr">
        <is>
          <t>Configuration</t>
        </is>
      </c>
      <c r="G329" t="inlineStr"/>
      <c r="H329" t="inlineStr">
        <is>
          <t>DFL Recruiting impacted by Oracle 26C change</t>
        </is>
      </c>
      <c r="I329" t="inlineStr">
        <is>
          <t>Y</t>
        </is>
      </c>
      <c r="J329" t="inlineStr">
        <is>
          <t>N</t>
        </is>
      </c>
      <c r="K329" t="inlineStr">
        <is>
          <t>N</t>
        </is>
      </c>
      <c r="L329" t="inlineStr">
        <is>
          <t>N</t>
        </is>
      </c>
      <c r="M329" t="n">
        <v>3</v>
      </c>
      <c r="N329" t="n">
        <v>2</v>
      </c>
      <c r="O329" t="n">
        <v>2</v>
      </c>
      <c r="P329" t="n">
        <v>1</v>
      </c>
      <c r="Q329" t="n">
        <v>3</v>
      </c>
      <c r="R329">
        <f>IFERROR(XLOOKUP(XLOOKUP(D329,tblReleaseChanges[Change_ID],tblReleaseChanges[Oracle_Severity],""),tblSeverityMap[Severity_Text],tblSeverityMap[Score],0),0)</f>
        <v/>
      </c>
      <c r="S329" t="n">
        <v>2</v>
      </c>
      <c r="T329">
        <f>ROUND((M329*0.25)+(N329*0.20)+(O329*0.15)+(P329*0.15)+(Q329*0.10)+(R329*0.10)+(S329*0.05),2)</f>
        <v/>
      </c>
      <c r="U329">
        <f>IF(T329&gt;=4.25,"Critical",IF(T329&gt;=3.5,"High",IF(T329&gt;=2,"Medium","Low")))</f>
        <v/>
      </c>
      <c r="V329" t="inlineStr">
        <is>
          <t>Pending Review</t>
        </is>
      </c>
      <c r="W329" t="inlineStr"/>
      <c r="X329" t="inlineStr"/>
      <c r="Y329" t="inlineStr">
        <is>
          <t>Action type: Steps to Enable. **Step 1: Select the Enable versioning of job offer option** Go to Setup and Maintenance &gt; Recruiting and Candidate Experience &gt; Recruiting and Candidate Experience M</t>
        </is>
      </c>
      <c r="Z329" t="inlineStr">
        <is>
          <t>Y</t>
        </is>
      </c>
      <c r="AA329" t="inlineStr">
        <is>
          <t>N</t>
        </is>
      </c>
    </row>
    <row r="330">
      <c r="A330" t="inlineStr">
        <is>
          <t>ASMT_IMP_0305</t>
        </is>
      </c>
      <c r="B330" t="inlineStr">
        <is>
          <t>CLT_DFL001</t>
        </is>
      </c>
      <c r="C330" t="inlineStr">
        <is>
          <t>REL_26C</t>
        </is>
      </c>
      <c r="D330" t="inlineStr">
        <is>
          <t>CHG_IMP_0305</t>
        </is>
      </c>
      <c r="E330" t="inlineStr">
        <is>
          <t>Functional</t>
        </is>
      </c>
      <c r="F330" t="inlineStr">
        <is>
          <t>Configuration</t>
        </is>
      </c>
      <c r="G330" t="inlineStr"/>
      <c r="H330" t="inlineStr">
        <is>
          <t>DFL Recruiting impacted by Oracle 26C change</t>
        </is>
      </c>
      <c r="I330" t="inlineStr">
        <is>
          <t>Y</t>
        </is>
      </c>
      <c r="J330" t="inlineStr">
        <is>
          <t>N</t>
        </is>
      </c>
      <c r="K330" t="inlineStr">
        <is>
          <t>N</t>
        </is>
      </c>
      <c r="L330" t="inlineStr">
        <is>
          <t>N</t>
        </is>
      </c>
      <c r="M330" t="n">
        <v>3</v>
      </c>
      <c r="N330" t="n">
        <v>2</v>
      </c>
      <c r="O330" t="n">
        <v>2</v>
      </c>
      <c r="P330" t="n">
        <v>1</v>
      </c>
      <c r="Q330" t="n">
        <v>3</v>
      </c>
      <c r="R330">
        <f>IFERROR(XLOOKUP(XLOOKUP(D330,tblReleaseChanges[Change_ID],tblReleaseChanges[Oracle_Severity],""),tblSeverityMap[Severity_Text],tblSeverityMap[Score],0),0)</f>
        <v/>
      </c>
      <c r="S330" t="n">
        <v>1</v>
      </c>
      <c r="T330">
        <f>ROUND((M330*0.25)+(N330*0.20)+(O330*0.15)+(P330*0.15)+(Q330*0.10)+(R330*0.10)+(S330*0.05),2)</f>
        <v/>
      </c>
      <c r="U330">
        <f>IF(T330&gt;=4.25,"Critical",IF(T330&gt;=3.5,"High",IF(T330&gt;=2,"Medium","Low")))</f>
        <v/>
      </c>
      <c r="V330" t="inlineStr">
        <is>
          <t>Pending Review</t>
        </is>
      </c>
      <c r="W330" t="inlineStr"/>
      <c r="X330" t="inlineStr"/>
      <c r="Y330" t="inlineStr">
        <is>
          <t>Auto-enabled — no action required</t>
        </is>
      </c>
      <c r="Z330" t="inlineStr">
        <is>
          <t>N</t>
        </is>
      </c>
      <c r="AA330" t="inlineStr">
        <is>
          <t>N</t>
        </is>
      </c>
    </row>
    <row r="331">
      <c r="A331" t="inlineStr">
        <is>
          <t>ASMT_IMP_0306</t>
        </is>
      </c>
      <c r="B331" t="inlineStr">
        <is>
          <t>CLT_DFL001</t>
        </is>
      </c>
      <c r="C331" t="inlineStr">
        <is>
          <t>REL_26C</t>
        </is>
      </c>
      <c r="D331" t="inlineStr">
        <is>
          <t>CHG_IMP_0306</t>
        </is>
      </c>
      <c r="E331" t="inlineStr">
        <is>
          <t>Functional</t>
        </is>
      </c>
      <c r="F331" t="inlineStr">
        <is>
          <t>Configuration</t>
        </is>
      </c>
      <c r="G331" t="inlineStr"/>
      <c r="H331" t="inlineStr">
        <is>
          <t>DFL Recruiting impacted by Oracle 26C change</t>
        </is>
      </c>
      <c r="I331" t="inlineStr">
        <is>
          <t>Y</t>
        </is>
      </c>
      <c r="J331" t="inlineStr">
        <is>
          <t>N</t>
        </is>
      </c>
      <c r="K331" t="inlineStr">
        <is>
          <t>N</t>
        </is>
      </c>
      <c r="L331" t="inlineStr">
        <is>
          <t>N</t>
        </is>
      </c>
      <c r="M331" t="n">
        <v>3</v>
      </c>
      <c r="N331" t="n">
        <v>2</v>
      </c>
      <c r="O331" t="n">
        <v>2</v>
      </c>
      <c r="P331" t="n">
        <v>1</v>
      </c>
      <c r="Q331" t="n">
        <v>3</v>
      </c>
      <c r="R331">
        <f>IFERROR(XLOOKUP(XLOOKUP(D331,tblReleaseChanges[Change_ID],tblReleaseChanges[Oracle_Severity],""),tblSeverityMap[Severity_Text],tblSeverityMap[Score],0),0)</f>
        <v/>
      </c>
      <c r="S331" t="n">
        <v>2</v>
      </c>
      <c r="T331">
        <f>ROUND((M331*0.25)+(N331*0.20)+(O331*0.15)+(P331*0.15)+(Q331*0.10)+(R331*0.10)+(S331*0.05),2)</f>
        <v/>
      </c>
      <c r="U331">
        <f>IF(T331&gt;=4.25,"Critical",IF(T331&gt;=3.5,"High",IF(T331&gt;=2,"Medium","Low")))</f>
        <v/>
      </c>
      <c r="V331" t="inlineStr">
        <is>
          <t>Pending Review</t>
        </is>
      </c>
      <c r="W331" t="inlineStr"/>
      <c r="X331" t="inlineStr"/>
      <c r="Y331" t="inlineStr">
        <is>
          <t>Action type: Steps to Enable. To use Redwood experience, you need to enable the Recruiting Redwood pages profile options. For details, see Set profile op</t>
        </is>
      </c>
      <c r="Z331" t="inlineStr">
        <is>
          <t>Y</t>
        </is>
      </c>
      <c r="AA331" t="inlineStr">
        <is>
          <t>N</t>
        </is>
      </c>
    </row>
    <row r="332">
      <c r="A332" t="inlineStr">
        <is>
          <t>ASMT_IMP_0307</t>
        </is>
      </c>
      <c r="B332" t="inlineStr">
        <is>
          <t>CLT_DFL001</t>
        </is>
      </c>
      <c r="C332" t="inlineStr">
        <is>
          <t>REL_26C</t>
        </is>
      </c>
      <c r="D332" t="inlineStr">
        <is>
          <t>CHG_IMP_0307</t>
        </is>
      </c>
      <c r="E332" t="inlineStr">
        <is>
          <t>Functional</t>
        </is>
      </c>
      <c r="F332" t="inlineStr">
        <is>
          <t>Configuration</t>
        </is>
      </c>
      <c r="G332" t="inlineStr"/>
      <c r="H332" t="inlineStr">
        <is>
          <t>DFL Recruiting impacted by Oracle 26C change</t>
        </is>
      </c>
      <c r="I332" t="inlineStr">
        <is>
          <t>Y</t>
        </is>
      </c>
      <c r="J332" t="inlineStr">
        <is>
          <t>N</t>
        </is>
      </c>
      <c r="K332" t="inlineStr">
        <is>
          <t>N</t>
        </is>
      </c>
      <c r="L332" t="inlineStr">
        <is>
          <t>N</t>
        </is>
      </c>
      <c r="M332" t="n">
        <v>3</v>
      </c>
      <c r="N332" t="n">
        <v>2</v>
      </c>
      <c r="O332" t="n">
        <v>2</v>
      </c>
      <c r="P332" t="n">
        <v>1</v>
      </c>
      <c r="Q332" t="n">
        <v>3</v>
      </c>
      <c r="R332">
        <f>IFERROR(XLOOKUP(XLOOKUP(D332,tblReleaseChanges[Change_ID],tblReleaseChanges[Oracle_Severity],""),tblSeverityMap[Severity_Text],tblSeverityMap[Score],0),0)</f>
        <v/>
      </c>
      <c r="S332" t="n">
        <v>2</v>
      </c>
      <c r="T332">
        <f>ROUND((M332*0.25)+(N332*0.20)+(O332*0.15)+(P332*0.15)+(Q332*0.10)+(R332*0.10)+(S332*0.05),2)</f>
        <v/>
      </c>
      <c r="U332">
        <f>IF(T332&gt;=4.25,"Critical",IF(T332&gt;=3.5,"High",IF(T332&gt;=2,"Medium","Low")))</f>
        <v/>
      </c>
      <c r="V332" t="inlineStr">
        <is>
          <t>Pending Review</t>
        </is>
      </c>
      <c r="W332" t="inlineStr"/>
      <c r="X332" t="inlineStr"/>
      <c r="Y332" t="inlineStr">
        <is>
          <t>Action type: Steps to Enable. You can control the display of fields in the Move application panel. In Visual Builder Studio, go to Hiring &gt; Job Appli</t>
        </is>
      </c>
      <c r="Z332" t="inlineStr">
        <is>
          <t>Y</t>
        </is>
      </c>
      <c r="AA332" t="inlineStr">
        <is>
          <t>N</t>
        </is>
      </c>
    </row>
    <row r="333">
      <c r="A333" t="inlineStr">
        <is>
          <t>ASMT_IMP_0308</t>
        </is>
      </c>
      <c r="B333" t="inlineStr">
        <is>
          <t>CLT_DFL001</t>
        </is>
      </c>
      <c r="C333" t="inlineStr">
        <is>
          <t>REL_26C</t>
        </is>
      </c>
      <c r="D333" t="inlineStr">
        <is>
          <t>CHG_IMP_0308</t>
        </is>
      </c>
      <c r="E333" t="inlineStr">
        <is>
          <t>Functional</t>
        </is>
      </c>
      <c r="F333" t="inlineStr">
        <is>
          <t>Configuration</t>
        </is>
      </c>
      <c r="G333" t="inlineStr"/>
      <c r="H333" t="inlineStr">
        <is>
          <t>DFL Recruiting impacted by Oracle 26C change</t>
        </is>
      </c>
      <c r="I333" t="inlineStr">
        <is>
          <t>Y</t>
        </is>
      </c>
      <c r="J333" t="inlineStr">
        <is>
          <t>N</t>
        </is>
      </c>
      <c r="K333" t="inlineStr">
        <is>
          <t>N</t>
        </is>
      </c>
      <c r="L333" t="inlineStr">
        <is>
          <t>N</t>
        </is>
      </c>
      <c r="M333" t="n">
        <v>3</v>
      </c>
      <c r="N333" t="n">
        <v>2</v>
      </c>
      <c r="O333" t="n">
        <v>2</v>
      </c>
      <c r="P333" t="n">
        <v>1</v>
      </c>
      <c r="Q333" t="n">
        <v>3</v>
      </c>
      <c r="R333">
        <f>IFERROR(XLOOKUP(XLOOKUP(D333,tblReleaseChanges[Change_ID],tblReleaseChanges[Oracle_Severity],""),tblSeverityMap[Severity_Text],tblSeverityMap[Score],0),0)</f>
        <v/>
      </c>
      <c r="S333" t="n">
        <v>2</v>
      </c>
      <c r="T333">
        <f>ROUND((M333*0.25)+(N333*0.20)+(O333*0.15)+(P333*0.15)+(Q333*0.10)+(R333*0.10)+(S333*0.05),2)</f>
        <v/>
      </c>
      <c r="U333">
        <f>IF(T333&gt;=4.25,"Critical",IF(T333&gt;=3.5,"High",IF(T333&gt;=2,"Medium","Low")))</f>
        <v/>
      </c>
      <c r="V333" t="inlineStr">
        <is>
          <t>Pending Review</t>
        </is>
      </c>
      <c r="W333" t="inlineStr"/>
      <c r="X333" t="inlineStr"/>
      <c r="Y333" t="inlineStr">
        <is>
          <t>Action type: Steps to Enable. You can display the Move and Continue action on the job applications list and job application details page. In Visual Builder Studio, go to Hiring &gt; Jo</t>
        </is>
      </c>
      <c r="Z333" t="inlineStr">
        <is>
          <t>Y</t>
        </is>
      </c>
      <c r="AA333" t="inlineStr">
        <is>
          <t>N</t>
        </is>
      </c>
    </row>
    <row r="334">
      <c r="A334" t="inlineStr">
        <is>
          <t>ASMT_IMP_0309</t>
        </is>
      </c>
      <c r="B334" t="inlineStr">
        <is>
          <t>CLT_DFL001</t>
        </is>
      </c>
      <c r="C334" t="inlineStr">
        <is>
          <t>REL_26C</t>
        </is>
      </c>
      <c r="D334" t="inlineStr">
        <is>
          <t>CHG_IMP_0309</t>
        </is>
      </c>
      <c r="E334" t="inlineStr">
        <is>
          <t>Functional</t>
        </is>
      </c>
      <c r="F334" t="inlineStr">
        <is>
          <t>Configuration</t>
        </is>
      </c>
      <c r="G334" t="inlineStr"/>
      <c r="H334" t="inlineStr">
        <is>
          <t>DFL Recruiting impacted by Oracle 26C change</t>
        </is>
      </c>
      <c r="I334" t="inlineStr">
        <is>
          <t>Y</t>
        </is>
      </c>
      <c r="J334" t="inlineStr">
        <is>
          <t>N</t>
        </is>
      </c>
      <c r="K334" t="inlineStr">
        <is>
          <t>N</t>
        </is>
      </c>
      <c r="L334" t="inlineStr">
        <is>
          <t>N</t>
        </is>
      </c>
      <c r="M334" t="n">
        <v>3</v>
      </c>
      <c r="N334" t="n">
        <v>2</v>
      </c>
      <c r="O334" t="n">
        <v>2</v>
      </c>
      <c r="P334" t="n">
        <v>1</v>
      </c>
      <c r="Q334" t="n">
        <v>3</v>
      </c>
      <c r="R334">
        <f>IFERROR(XLOOKUP(XLOOKUP(D334,tblReleaseChanges[Change_ID],tblReleaseChanges[Oracle_Severity],""),tblSeverityMap[Severity_Text],tblSeverityMap[Score],0),0)</f>
        <v/>
      </c>
      <c r="S334" t="n">
        <v>2</v>
      </c>
      <c r="T334">
        <f>ROUND((M334*0.25)+(N334*0.20)+(O334*0.15)+(P334*0.15)+(Q334*0.10)+(R334*0.10)+(S334*0.05),2)</f>
        <v/>
      </c>
      <c r="U334">
        <f>IF(T334&gt;=4.25,"Critical",IF(T334&gt;=3.5,"High",IF(T334&gt;=2,"Medium","Low")))</f>
        <v/>
      </c>
      <c r="V334" t="inlineStr">
        <is>
          <t>Pending Review</t>
        </is>
      </c>
      <c r="W334" t="inlineStr"/>
      <c r="X334" t="inlineStr"/>
      <c r="Y334" t="inlineStr">
        <is>
          <t xml:space="preserve">Action type: Steps to Enable. To use the Interviews feature, you need to opt in to Recruiting Booster. For details, see Opt in to Recruiting Booster. To use Redwood experience, you need to enable the </t>
        </is>
      </c>
      <c r="Z334" t="inlineStr">
        <is>
          <t>Y</t>
        </is>
      </c>
      <c r="AA334" t="inlineStr">
        <is>
          <t>N</t>
        </is>
      </c>
    </row>
    <row r="335">
      <c r="A335" t="inlineStr">
        <is>
          <t>ASMT_IMP_0310</t>
        </is>
      </c>
      <c r="B335" t="inlineStr">
        <is>
          <t>CLT_DFL001</t>
        </is>
      </c>
      <c r="C335" t="inlineStr">
        <is>
          <t>REL_26C</t>
        </is>
      </c>
      <c r="D335" t="inlineStr">
        <is>
          <t>CHG_IMP_0310</t>
        </is>
      </c>
      <c r="E335" t="inlineStr">
        <is>
          <t>Functional</t>
        </is>
      </c>
      <c r="F335" t="inlineStr">
        <is>
          <t>Configuration</t>
        </is>
      </c>
      <c r="G335" t="inlineStr"/>
      <c r="H335" t="inlineStr">
        <is>
          <t>DFL Recruiting impacted by Oracle 26C change</t>
        </is>
      </c>
      <c r="I335" t="inlineStr">
        <is>
          <t>Y</t>
        </is>
      </c>
      <c r="J335" t="inlineStr">
        <is>
          <t>N</t>
        </is>
      </c>
      <c r="K335" t="inlineStr">
        <is>
          <t>N</t>
        </is>
      </c>
      <c r="L335" t="inlineStr">
        <is>
          <t>N</t>
        </is>
      </c>
      <c r="M335" t="n">
        <v>3</v>
      </c>
      <c r="N335" t="n">
        <v>2</v>
      </c>
      <c r="O335" t="n">
        <v>2</v>
      </c>
      <c r="P335" t="n">
        <v>1</v>
      </c>
      <c r="Q335" t="n">
        <v>3</v>
      </c>
      <c r="R335">
        <f>IFERROR(XLOOKUP(XLOOKUP(D335,tblReleaseChanges[Change_ID],tblReleaseChanges[Oracle_Severity],""),tblSeverityMap[Severity_Text],tblSeverityMap[Score],0),0)</f>
        <v/>
      </c>
      <c r="S335" t="n">
        <v>2</v>
      </c>
      <c r="T335">
        <f>ROUND((M335*0.25)+(N335*0.20)+(O335*0.15)+(P335*0.15)+(Q335*0.10)+(R335*0.10)+(S335*0.05),2)</f>
        <v/>
      </c>
      <c r="U335">
        <f>IF(T335&gt;=4.25,"Critical",IF(T335&gt;=3.5,"High",IF(T335&gt;=2,"Medium","Low")))</f>
        <v/>
      </c>
      <c r="V335" t="inlineStr">
        <is>
          <t>Pending Review</t>
        </is>
      </c>
      <c r="W335" t="inlineStr"/>
      <c r="X335" t="inlineStr"/>
      <c r="Y335" t="inlineStr">
        <is>
          <t>Action type: Steps to Enable. The tokens available to be used as recipients for the new unsolicited feedback notification (IRC_Feedbk_Completed_Unsolicited) are: • RequisitionRecruiterUserName (</t>
        </is>
      </c>
      <c r="Z335" t="inlineStr">
        <is>
          <t>Y</t>
        </is>
      </c>
      <c r="AA335" t="inlineStr">
        <is>
          <t>N</t>
        </is>
      </c>
    </row>
    <row r="336">
      <c r="A336" t="inlineStr">
        <is>
          <t>ASMT_IMP_0311</t>
        </is>
      </c>
      <c r="B336" t="inlineStr">
        <is>
          <t>CLT_DFL001</t>
        </is>
      </c>
      <c r="C336" t="inlineStr">
        <is>
          <t>REL_26C</t>
        </is>
      </c>
      <c r="D336" t="inlineStr">
        <is>
          <t>CHG_IMP_0311</t>
        </is>
      </c>
      <c r="E336" t="inlineStr">
        <is>
          <t>Functional</t>
        </is>
      </c>
      <c r="F336" t="inlineStr">
        <is>
          <t>Configuration</t>
        </is>
      </c>
      <c r="G336" t="inlineStr"/>
      <c r="H336" t="inlineStr">
        <is>
          <t>DFL Recruiting impacted by Oracle 26C change</t>
        </is>
      </c>
      <c r="I336" t="inlineStr">
        <is>
          <t>Y</t>
        </is>
      </c>
      <c r="J336" t="inlineStr">
        <is>
          <t>N</t>
        </is>
      </c>
      <c r="K336" t="inlineStr">
        <is>
          <t>N</t>
        </is>
      </c>
      <c r="L336" t="inlineStr">
        <is>
          <t>N</t>
        </is>
      </c>
      <c r="M336" t="n">
        <v>3</v>
      </c>
      <c r="N336" t="n">
        <v>2</v>
      </c>
      <c r="O336" t="n">
        <v>2</v>
      </c>
      <c r="P336" t="n">
        <v>1</v>
      </c>
      <c r="Q336" t="n">
        <v>3</v>
      </c>
      <c r="R336">
        <f>IFERROR(XLOOKUP(XLOOKUP(D336,tblReleaseChanges[Change_ID],tblReleaseChanges[Oracle_Severity],""),tblSeverityMap[Severity_Text],tblSeverityMap[Score],0),0)</f>
        <v/>
      </c>
      <c r="S336" t="n">
        <v>2</v>
      </c>
      <c r="T336">
        <f>ROUND((M336*0.25)+(N336*0.20)+(O336*0.15)+(P336*0.15)+(Q336*0.10)+(R336*0.10)+(S336*0.05),2)</f>
        <v/>
      </c>
      <c r="U336">
        <f>IF(T336&gt;=4.25,"Critical",IF(T336&gt;=3.5,"High",IF(T336&gt;=2,"Medium","Low")))</f>
        <v/>
      </c>
      <c r="V336" t="inlineStr">
        <is>
          <t>Pending Review</t>
        </is>
      </c>
      <c r="W336" t="inlineStr"/>
      <c r="X336" t="inlineStr"/>
      <c r="Y336" t="inlineStr">
        <is>
          <t>Action type: Steps to Enable. To use Redwood experience, you need to enable the Recruiting Redwood pages profile options. For details, see Set profile options for Redwood pages. For details on enablin</t>
        </is>
      </c>
      <c r="Z336" t="inlineStr">
        <is>
          <t>Y</t>
        </is>
      </c>
      <c r="AA336" t="inlineStr">
        <is>
          <t>N</t>
        </is>
      </c>
    </row>
    <row r="337">
      <c r="A337" t="inlineStr">
        <is>
          <t>ASMT_IMP_0312</t>
        </is>
      </c>
      <c r="B337" t="inlineStr">
        <is>
          <t>CLT_DFL001</t>
        </is>
      </c>
      <c r="C337" t="inlineStr">
        <is>
          <t>REL_26C</t>
        </is>
      </c>
      <c r="D337" t="inlineStr">
        <is>
          <t>CHG_IMP_0312</t>
        </is>
      </c>
      <c r="E337" t="inlineStr">
        <is>
          <t>Functional</t>
        </is>
      </c>
      <c r="F337" t="inlineStr">
        <is>
          <t>Configuration</t>
        </is>
      </c>
      <c r="G337" t="inlineStr"/>
      <c r="H337" t="inlineStr">
        <is>
          <t>DFL Recruiting impacted by Oracle 26C change</t>
        </is>
      </c>
      <c r="I337" t="inlineStr">
        <is>
          <t>Y</t>
        </is>
      </c>
      <c r="J337" t="inlineStr">
        <is>
          <t>N</t>
        </is>
      </c>
      <c r="K337" t="inlineStr">
        <is>
          <t>N</t>
        </is>
      </c>
      <c r="L337" t="inlineStr">
        <is>
          <t>N</t>
        </is>
      </c>
      <c r="M337" t="n">
        <v>3</v>
      </c>
      <c r="N337" t="n">
        <v>2</v>
      </c>
      <c r="O337" t="n">
        <v>2</v>
      </c>
      <c r="P337" t="n">
        <v>1</v>
      </c>
      <c r="Q337" t="n">
        <v>3</v>
      </c>
      <c r="R337">
        <f>IFERROR(XLOOKUP(XLOOKUP(D337,tblReleaseChanges[Change_ID],tblReleaseChanges[Oracle_Severity],""),tblSeverityMap[Severity_Text],tblSeverityMap[Score],0),0)</f>
        <v/>
      </c>
      <c r="S337" t="n">
        <v>2</v>
      </c>
      <c r="T337">
        <f>ROUND((M337*0.25)+(N337*0.20)+(O337*0.15)+(P337*0.15)+(Q337*0.10)+(R337*0.10)+(S337*0.05),2)</f>
        <v/>
      </c>
      <c r="U337">
        <f>IF(T337&gt;=4.25,"Critical",IF(T337&gt;=3.5,"High",IF(T337&gt;=2,"Medium","Low")))</f>
        <v/>
      </c>
      <c r="V337" t="inlineStr">
        <is>
          <t>Pending Review</t>
        </is>
      </c>
      <c r="W337" t="inlineStr"/>
      <c r="X337" t="inlineStr"/>
      <c r="Y337" t="inlineStr">
        <is>
          <t>Action type: Steps to Enable. To use Redwood experience, you need to enable the Recruiting Redwood pages profile options. For details, see Set profile options for Redwood pages. For det</t>
        </is>
      </c>
      <c r="Z337" t="inlineStr">
        <is>
          <t>Y</t>
        </is>
      </c>
      <c r="AA337" t="inlineStr">
        <is>
          <t>N</t>
        </is>
      </c>
    </row>
    <row r="338">
      <c r="A338" t="inlineStr">
        <is>
          <t>ASMT_IMP_0313</t>
        </is>
      </c>
      <c r="B338" t="inlineStr">
        <is>
          <t>CLT_DFL001</t>
        </is>
      </c>
      <c r="C338" t="inlineStr">
        <is>
          <t>REL_26C</t>
        </is>
      </c>
      <c r="D338" t="inlineStr">
        <is>
          <t>CHG_IMP_0313</t>
        </is>
      </c>
      <c r="E338" t="inlineStr">
        <is>
          <t>Functional</t>
        </is>
      </c>
      <c r="F338" t="inlineStr">
        <is>
          <t>Configuration</t>
        </is>
      </c>
      <c r="G338" t="inlineStr"/>
      <c r="H338" t="inlineStr">
        <is>
          <t>DFL Recruiting impacted by Oracle 26C change</t>
        </is>
      </c>
      <c r="I338" t="inlineStr">
        <is>
          <t>Y</t>
        </is>
      </c>
      <c r="J338" t="inlineStr">
        <is>
          <t>N</t>
        </is>
      </c>
      <c r="K338" t="inlineStr">
        <is>
          <t>N</t>
        </is>
      </c>
      <c r="L338" t="inlineStr">
        <is>
          <t>N</t>
        </is>
      </c>
      <c r="M338" t="n">
        <v>3</v>
      </c>
      <c r="N338" t="n">
        <v>2</v>
      </c>
      <c r="O338" t="n">
        <v>2</v>
      </c>
      <c r="P338" t="n">
        <v>1</v>
      </c>
      <c r="Q338" t="n">
        <v>3</v>
      </c>
      <c r="R338">
        <f>IFERROR(XLOOKUP(XLOOKUP(D338,tblReleaseChanges[Change_ID],tblReleaseChanges[Oracle_Severity],""),tblSeverityMap[Severity_Text],tblSeverityMap[Score],0),0)</f>
        <v/>
      </c>
      <c r="S338" t="n">
        <v>2</v>
      </c>
      <c r="T338">
        <f>ROUND((M338*0.25)+(N338*0.20)+(O338*0.15)+(P338*0.15)+(Q338*0.10)+(R338*0.10)+(S338*0.05),2)</f>
        <v/>
      </c>
      <c r="U338">
        <f>IF(T338&gt;=4.25,"Critical",IF(T338&gt;=3.5,"High",IF(T338&gt;=2,"Medium","Low")))</f>
        <v/>
      </c>
      <c r="V338" t="inlineStr">
        <is>
          <t>Pending Review</t>
        </is>
      </c>
      <c r="W338" t="inlineStr"/>
      <c r="X338" t="inlineStr"/>
      <c r="Y338" t="inlineStr">
        <is>
          <t>Action type: Steps to Enable. To send notifications, you can use the same email address that’s used to notify administrators for SMS and WhatsApp threshold limits using the Recruiting Messaging Config</t>
        </is>
      </c>
      <c r="Z338" t="inlineStr">
        <is>
          <t>Y</t>
        </is>
      </c>
      <c r="AA338" t="inlineStr">
        <is>
          <t>N</t>
        </is>
      </c>
    </row>
    <row r="339">
      <c r="A339" t="inlineStr">
        <is>
          <t>ASMT_IMP_0314</t>
        </is>
      </c>
      <c r="B339" t="inlineStr">
        <is>
          <t>CLT_DFL001</t>
        </is>
      </c>
      <c r="C339" t="inlineStr">
        <is>
          <t>REL_26C</t>
        </is>
      </c>
      <c r="D339" t="inlineStr">
        <is>
          <t>CHG_IMP_0314</t>
        </is>
      </c>
      <c r="E339" t="inlineStr">
        <is>
          <t>Functional</t>
        </is>
      </c>
      <c r="F339" t="inlineStr">
        <is>
          <t>Configuration</t>
        </is>
      </c>
      <c r="G339" t="inlineStr"/>
      <c r="H339" t="inlineStr">
        <is>
          <t>DFL Recruiting impacted by Oracle 26C change</t>
        </is>
      </c>
      <c r="I339" t="inlineStr">
        <is>
          <t>Y</t>
        </is>
      </c>
      <c r="J339" t="inlineStr">
        <is>
          <t>N</t>
        </is>
      </c>
      <c r="K339" t="inlineStr">
        <is>
          <t>N</t>
        </is>
      </c>
      <c r="L339" t="inlineStr">
        <is>
          <t>N</t>
        </is>
      </c>
      <c r="M339" t="n">
        <v>3</v>
      </c>
      <c r="N339" t="n">
        <v>2</v>
      </c>
      <c r="O339" t="n">
        <v>2</v>
      </c>
      <c r="P339" t="n">
        <v>1</v>
      </c>
      <c r="Q339" t="n">
        <v>3</v>
      </c>
      <c r="R339">
        <f>IFERROR(XLOOKUP(XLOOKUP(D339,tblReleaseChanges[Change_ID],tblReleaseChanges[Oracle_Severity],""),tblSeverityMap[Severity_Text],tblSeverityMap[Score],0),0)</f>
        <v/>
      </c>
      <c r="S339" t="n">
        <v>2</v>
      </c>
      <c r="T339">
        <f>ROUND((M339*0.25)+(N339*0.20)+(O339*0.15)+(P339*0.15)+(Q339*0.10)+(R339*0.10)+(S339*0.05),2)</f>
        <v/>
      </c>
      <c r="U339">
        <f>IF(T339&gt;=4.25,"Critical",IF(T339&gt;=3.5,"High",IF(T339&gt;=2,"Medium","Low")))</f>
        <v/>
      </c>
      <c r="V339" t="inlineStr">
        <is>
          <t>Pending Review</t>
        </is>
      </c>
      <c r="W339" t="inlineStr"/>
      <c r="X339" t="inlineStr"/>
      <c r="Y339" t="inlineStr">
        <is>
          <t>Action type: Steps to Enable. You need to enable Smart Search. For details, see How do I enable smart search for candidate experience? You also need to configure the location settings for the career s</t>
        </is>
      </c>
      <c r="Z339" t="inlineStr">
        <is>
          <t>Y</t>
        </is>
      </c>
      <c r="AA339" t="inlineStr">
        <is>
          <t>N</t>
        </is>
      </c>
    </row>
    <row r="340">
      <c r="A340" t="inlineStr">
        <is>
          <t>ASMT_IMP_0315</t>
        </is>
      </c>
      <c r="B340" t="inlineStr">
        <is>
          <t>CLT_DFL001</t>
        </is>
      </c>
      <c r="C340" t="inlineStr">
        <is>
          <t>REL_26C</t>
        </is>
      </c>
      <c r="D340" t="inlineStr">
        <is>
          <t>CHG_IMP_0315</t>
        </is>
      </c>
      <c r="E340" t="inlineStr">
        <is>
          <t>Functional</t>
        </is>
      </c>
      <c r="F340" t="inlineStr">
        <is>
          <t>Configuration</t>
        </is>
      </c>
      <c r="G340" t="inlineStr"/>
      <c r="H340" t="inlineStr">
        <is>
          <t>DFL Recruiting impacted by Oracle 26C change</t>
        </is>
      </c>
      <c r="I340" t="inlineStr">
        <is>
          <t>Y</t>
        </is>
      </c>
      <c r="J340" t="inlineStr">
        <is>
          <t>N</t>
        </is>
      </c>
      <c r="K340" t="inlineStr">
        <is>
          <t>N</t>
        </is>
      </c>
      <c r="L340" t="inlineStr">
        <is>
          <t>N</t>
        </is>
      </c>
      <c r="M340" t="n">
        <v>3</v>
      </c>
      <c r="N340" t="n">
        <v>2</v>
      </c>
      <c r="O340" t="n">
        <v>2</v>
      </c>
      <c r="P340" t="n">
        <v>1</v>
      </c>
      <c r="Q340" t="n">
        <v>3</v>
      </c>
      <c r="R340">
        <f>IFERROR(XLOOKUP(XLOOKUP(D340,tblReleaseChanges[Change_ID],tblReleaseChanges[Oracle_Severity],""),tblSeverityMap[Severity_Text],tblSeverityMap[Score],0),0)</f>
        <v/>
      </c>
      <c r="S340" t="n">
        <v>2</v>
      </c>
      <c r="T340">
        <f>ROUND((M340*0.25)+(N340*0.20)+(O340*0.15)+(P340*0.15)+(Q340*0.10)+(R340*0.10)+(S340*0.05),2)</f>
        <v/>
      </c>
      <c r="U340">
        <f>IF(T340&gt;=4.25,"Critical",IF(T340&gt;=3.5,"High",IF(T340&gt;=2,"Medium","Low")))</f>
        <v/>
      </c>
      <c r="V340" t="inlineStr">
        <is>
          <t>Pending Review</t>
        </is>
      </c>
      <c r="W340" t="inlineStr"/>
      <c r="X340" t="inlineStr"/>
      <c r="Y340" t="inlineStr">
        <is>
          <t>Action type: Steps to Enable. The Candidate Sourcing tile appears when these profile options are enabled: • ORA_IRC_RECRUITING_REDWOOD_ENABLED • ORA_IRC_ENABLE_RAC For details, se</t>
        </is>
      </c>
      <c r="Z340" t="inlineStr">
        <is>
          <t>Y</t>
        </is>
      </c>
      <c r="AA340" t="inlineStr">
        <is>
          <t>N</t>
        </is>
      </c>
    </row>
    <row r="341">
      <c r="A341" t="inlineStr">
        <is>
          <t>ASMT_IMP_0316</t>
        </is>
      </c>
      <c r="B341" t="inlineStr">
        <is>
          <t>CLT_DFL001</t>
        </is>
      </c>
      <c r="C341" t="inlineStr">
        <is>
          <t>REL_26C</t>
        </is>
      </c>
      <c r="D341" t="inlineStr">
        <is>
          <t>CHG_IMP_0316</t>
        </is>
      </c>
      <c r="E341" t="inlineStr">
        <is>
          <t>Functional</t>
        </is>
      </c>
      <c r="F341" t="inlineStr">
        <is>
          <t>Configuration</t>
        </is>
      </c>
      <c r="G341" t="inlineStr"/>
      <c r="H341" t="inlineStr">
        <is>
          <t>DFL Recruiting impacted by Oracle 26C change</t>
        </is>
      </c>
      <c r="I341" t="inlineStr">
        <is>
          <t>Y</t>
        </is>
      </c>
      <c r="J341" t="inlineStr">
        <is>
          <t>N</t>
        </is>
      </c>
      <c r="K341" t="inlineStr">
        <is>
          <t>N</t>
        </is>
      </c>
      <c r="L341" t="inlineStr">
        <is>
          <t>N</t>
        </is>
      </c>
      <c r="M341" t="n">
        <v>3</v>
      </c>
      <c r="N341" t="n">
        <v>2</v>
      </c>
      <c r="O341" t="n">
        <v>2</v>
      </c>
      <c r="P341" t="n">
        <v>1</v>
      </c>
      <c r="Q341" t="n">
        <v>3</v>
      </c>
      <c r="R341">
        <f>IFERROR(XLOOKUP(XLOOKUP(D341,tblReleaseChanges[Change_ID],tblReleaseChanges[Oracle_Severity],""),tblSeverityMap[Severity_Text],tblSeverityMap[Score],0),0)</f>
        <v/>
      </c>
      <c r="S341" t="n">
        <v>2</v>
      </c>
      <c r="T341">
        <f>ROUND((M341*0.25)+(N341*0.20)+(O341*0.15)+(P341*0.15)+(Q341*0.10)+(R341*0.10)+(S341*0.05),2)</f>
        <v/>
      </c>
      <c r="U341">
        <f>IF(T341&gt;=4.25,"Critical",IF(T341&gt;=3.5,"High",IF(T341&gt;=2,"Medium","Low")))</f>
        <v/>
      </c>
      <c r="V341" t="inlineStr">
        <is>
          <t>Pending Review</t>
        </is>
      </c>
      <c r="W341" t="inlineStr"/>
      <c r="X341" t="inlineStr"/>
      <c r="Y341" t="inlineStr">
        <is>
          <t>Action type: Steps to Enable. There's no setup for this feature. For additional details, see Deprecation of AI Configurator and Transition to AI Agent Studio</t>
        </is>
      </c>
      <c r="Z341" t="inlineStr">
        <is>
          <t>Y</t>
        </is>
      </c>
      <c r="AA341" t="inlineStr">
        <is>
          <t>N</t>
        </is>
      </c>
    </row>
    <row r="342">
      <c r="A342" t="inlineStr">
        <is>
          <t>ASMT_IMP_0317</t>
        </is>
      </c>
      <c r="B342" t="inlineStr">
        <is>
          <t>CLT_DFL001</t>
        </is>
      </c>
      <c r="C342" t="inlineStr">
        <is>
          <t>REL_26C</t>
        </is>
      </c>
      <c r="D342" t="inlineStr">
        <is>
          <t>CHG_IMP_0317</t>
        </is>
      </c>
      <c r="E342" t="inlineStr">
        <is>
          <t>AI Feature</t>
        </is>
      </c>
      <c r="F342" t="inlineStr">
        <is>
          <t>Configuration</t>
        </is>
      </c>
      <c r="G342" t="inlineStr"/>
      <c r="H342" t="inlineStr">
        <is>
          <t>DFL Talent Management impacted by Oracle 26C change</t>
        </is>
      </c>
      <c r="I342" t="inlineStr">
        <is>
          <t>Y</t>
        </is>
      </c>
      <c r="J342" t="inlineStr">
        <is>
          <t>N</t>
        </is>
      </c>
      <c r="K342" t="inlineStr">
        <is>
          <t>N</t>
        </is>
      </c>
      <c r="L342" t="inlineStr">
        <is>
          <t>N</t>
        </is>
      </c>
      <c r="M342" t="n">
        <v>2</v>
      </c>
      <c r="N342" t="n">
        <v>2</v>
      </c>
      <c r="O342" t="n">
        <v>2</v>
      </c>
      <c r="P342" t="n">
        <v>3</v>
      </c>
      <c r="Q342" t="n">
        <v>3</v>
      </c>
      <c r="R342">
        <f>IFERROR(XLOOKUP(XLOOKUP(D342,tblReleaseChanges[Change_ID],tblReleaseChanges[Oracle_Severity],""),tblSeverityMap[Severity_Text],tblSeverityMap[Score],0),0)</f>
        <v/>
      </c>
      <c r="S342" t="n">
        <v>1</v>
      </c>
      <c r="T342">
        <f>ROUND((M342*0.25)+(N342*0.20)+(O342*0.15)+(P342*0.15)+(Q342*0.10)+(R342*0.10)+(S342*0.05),2)</f>
        <v/>
      </c>
      <c r="U342">
        <f>IF(T342&gt;=4.25,"Critical",IF(T342&gt;=3.5,"High",IF(T342&gt;=2,"Medium","Low")))</f>
        <v/>
      </c>
      <c r="V342" t="inlineStr">
        <is>
          <t>Pending Review</t>
        </is>
      </c>
      <c r="W342" t="inlineStr"/>
      <c r="X342" t="inlineStr"/>
      <c r="Y342" t="inlineStr">
        <is>
          <t>Action type: Steps to Enable. Enable Intelligent Talent Profile Search for person profile. For details, see How can I enable Intelligent Talent Profile Search for Talent Profile or Team Skills Center?</t>
        </is>
      </c>
      <c r="Z342" t="inlineStr">
        <is>
          <t>N</t>
        </is>
      </c>
      <c r="AA342" t="inlineStr">
        <is>
          <t>N</t>
        </is>
      </c>
    </row>
    <row r="343">
      <c r="A343" t="inlineStr">
        <is>
          <t>ASMT_IMP_0318</t>
        </is>
      </c>
      <c r="B343" t="inlineStr">
        <is>
          <t>CLT_DFL001</t>
        </is>
      </c>
      <c r="C343" t="inlineStr">
        <is>
          <t>REL_26C</t>
        </is>
      </c>
      <c r="D343" t="inlineStr">
        <is>
          <t>CHG_IMP_0318</t>
        </is>
      </c>
      <c r="E343" t="inlineStr">
        <is>
          <t>AI Feature</t>
        </is>
      </c>
      <c r="F343" t="inlineStr">
        <is>
          <t>Configuration</t>
        </is>
      </c>
      <c r="G343" t="inlineStr"/>
      <c r="H343" t="inlineStr">
        <is>
          <t>DFL Talent Management impacted by Oracle 26C change</t>
        </is>
      </c>
      <c r="I343" t="inlineStr">
        <is>
          <t>Y</t>
        </is>
      </c>
      <c r="J343" t="inlineStr">
        <is>
          <t>N</t>
        </is>
      </c>
      <c r="K343" t="inlineStr">
        <is>
          <t>N</t>
        </is>
      </c>
      <c r="L343" t="inlineStr">
        <is>
          <t>N</t>
        </is>
      </c>
      <c r="M343" t="n">
        <v>2</v>
      </c>
      <c r="N343" t="n">
        <v>2</v>
      </c>
      <c r="O343" t="n">
        <v>2</v>
      </c>
      <c r="P343" t="n">
        <v>3</v>
      </c>
      <c r="Q343" t="n">
        <v>3</v>
      </c>
      <c r="R343">
        <f>IFERROR(XLOOKUP(XLOOKUP(D343,tblReleaseChanges[Change_ID],tblReleaseChanges[Oracle_Severity],""),tblSeverityMap[Severity_Text],tblSeverityMap[Score],0),0)</f>
        <v/>
      </c>
      <c r="S343" t="n">
        <v>1</v>
      </c>
      <c r="T343">
        <f>ROUND((M343*0.25)+(N343*0.20)+(O343*0.15)+(P343*0.15)+(Q343*0.10)+(R343*0.10)+(S343*0.05),2)</f>
        <v/>
      </c>
      <c r="U343">
        <f>IF(T343&gt;=4.25,"Critical",IF(T343&gt;=3.5,"High",IF(T343&gt;=2,"Medium","Low")))</f>
        <v/>
      </c>
      <c r="V343" t="inlineStr">
        <is>
          <t>Pending Review</t>
        </is>
      </c>
      <c r="W343" t="inlineStr"/>
      <c r="X343" t="inlineStr"/>
      <c r="Y343" t="inlineStr">
        <is>
          <t>Action type: Steps to Enable. • Your environment must have certain necessary configurations. Ask your help desk to contact Oracle Support, who can verify what your environment has and addr</t>
        </is>
      </c>
      <c r="Z343" t="inlineStr">
        <is>
          <t>N</t>
        </is>
      </c>
      <c r="AA343" t="inlineStr">
        <is>
          <t>N</t>
        </is>
      </c>
    </row>
    <row r="344">
      <c r="A344" t="inlineStr">
        <is>
          <t>ASMT_IMP_0319</t>
        </is>
      </c>
      <c r="B344" t="inlineStr">
        <is>
          <t>CLT_DFL001</t>
        </is>
      </c>
      <c r="C344" t="inlineStr">
        <is>
          <t>REL_26C</t>
        </is>
      </c>
      <c r="D344" t="inlineStr">
        <is>
          <t>CHG_IMP_0319</t>
        </is>
      </c>
      <c r="E344" t="inlineStr">
        <is>
          <t>Functional</t>
        </is>
      </c>
      <c r="F344" t="inlineStr">
        <is>
          <t>Configuration</t>
        </is>
      </c>
      <c r="G344" t="inlineStr"/>
      <c r="H344" t="inlineStr">
        <is>
          <t>DFL Talent Management impacted by Oracle 26C change</t>
        </is>
      </c>
      <c r="I344" t="inlineStr">
        <is>
          <t>Y</t>
        </is>
      </c>
      <c r="J344" t="inlineStr">
        <is>
          <t>N</t>
        </is>
      </c>
      <c r="K344" t="inlineStr">
        <is>
          <t>N</t>
        </is>
      </c>
      <c r="L344" t="inlineStr">
        <is>
          <t>N</t>
        </is>
      </c>
      <c r="M344" t="n">
        <v>2</v>
      </c>
      <c r="N344" t="n">
        <v>2</v>
      </c>
      <c r="O344" t="n">
        <v>2</v>
      </c>
      <c r="P344" t="n">
        <v>1</v>
      </c>
      <c r="Q344" t="n">
        <v>3</v>
      </c>
      <c r="R344">
        <f>IFERROR(XLOOKUP(XLOOKUP(D344,tblReleaseChanges[Change_ID],tblReleaseChanges[Oracle_Severity],""),tblSeverityMap[Severity_Text],tblSeverityMap[Score],0),0)</f>
        <v/>
      </c>
      <c r="S344" t="n">
        <v>1</v>
      </c>
      <c r="T344">
        <f>ROUND((M344*0.25)+(N344*0.20)+(O344*0.15)+(P344*0.15)+(Q344*0.10)+(R344*0.10)+(S344*0.05),2)</f>
        <v/>
      </c>
      <c r="U344">
        <f>IF(T344&gt;=4.25,"Critical",IF(T344&gt;=3.5,"High",IF(T344&gt;=2,"Medium","Low")))</f>
        <v/>
      </c>
      <c r="V344" t="inlineStr">
        <is>
          <t>Pending Review</t>
        </is>
      </c>
      <c r="W344" t="inlineStr"/>
      <c r="X344" t="inlineStr"/>
      <c r="Y344" t="inlineStr">
        <is>
          <t>Auto-enabled — no action required</t>
        </is>
      </c>
      <c r="Z344" t="inlineStr">
        <is>
          <t>N</t>
        </is>
      </c>
      <c r="AA344" t="inlineStr">
        <is>
          <t>N</t>
        </is>
      </c>
    </row>
    <row r="345">
      <c r="A345" t="inlineStr">
        <is>
          <t>ASMT_IMP_0320</t>
        </is>
      </c>
      <c r="B345" t="inlineStr">
        <is>
          <t>CLT_DFL001</t>
        </is>
      </c>
      <c r="C345" t="inlineStr">
        <is>
          <t>REL_26C</t>
        </is>
      </c>
      <c r="D345" t="inlineStr">
        <is>
          <t>CHG_IMP_0320</t>
        </is>
      </c>
      <c r="E345" t="inlineStr">
        <is>
          <t>Functional</t>
        </is>
      </c>
      <c r="F345" t="inlineStr">
        <is>
          <t>Configuration</t>
        </is>
      </c>
      <c r="G345" t="inlineStr"/>
      <c r="H345" t="inlineStr">
        <is>
          <t>DFL Talent Management impacted by Oracle 26C change</t>
        </is>
      </c>
      <c r="I345" t="inlineStr">
        <is>
          <t>Y</t>
        </is>
      </c>
      <c r="J345" t="inlineStr">
        <is>
          <t>N</t>
        </is>
      </c>
      <c r="K345" t="inlineStr">
        <is>
          <t>N</t>
        </is>
      </c>
      <c r="L345" t="inlineStr">
        <is>
          <t>N</t>
        </is>
      </c>
      <c r="M345" t="n">
        <v>2</v>
      </c>
      <c r="N345" t="n">
        <v>2</v>
      </c>
      <c r="O345" t="n">
        <v>2</v>
      </c>
      <c r="P345" t="n">
        <v>1</v>
      </c>
      <c r="Q345" t="n">
        <v>3</v>
      </c>
      <c r="R345">
        <f>IFERROR(XLOOKUP(XLOOKUP(D345,tblReleaseChanges[Change_ID],tblReleaseChanges[Oracle_Severity],""),tblSeverityMap[Severity_Text],tblSeverityMap[Score],0),0)</f>
        <v/>
      </c>
      <c r="S345" t="n">
        <v>1</v>
      </c>
      <c r="T345">
        <f>ROUND((M345*0.25)+(N345*0.20)+(O345*0.15)+(P345*0.15)+(Q345*0.10)+(R345*0.10)+(S345*0.05),2)</f>
        <v/>
      </c>
      <c r="U345">
        <f>IF(T345&gt;=4.25,"Critical",IF(T345&gt;=3.5,"High",IF(T345&gt;=2,"Medium","Low")))</f>
        <v/>
      </c>
      <c r="V345" t="inlineStr">
        <is>
          <t>Pending Review</t>
        </is>
      </c>
      <c r="W345" t="inlineStr"/>
      <c r="X345" t="inlineStr"/>
      <c r="Y345" t="inlineStr">
        <is>
          <t>Auto-enabled — no action required</t>
        </is>
      </c>
      <c r="Z345" t="inlineStr">
        <is>
          <t>N</t>
        </is>
      </c>
      <c r="AA345" t="inlineStr">
        <is>
          <t>N</t>
        </is>
      </c>
    </row>
    <row r="346">
      <c r="A346" t="inlineStr">
        <is>
          <t>ASMT_IMP_0321</t>
        </is>
      </c>
      <c r="B346" t="inlineStr">
        <is>
          <t>CLT_DFL001</t>
        </is>
      </c>
      <c r="C346" t="inlineStr">
        <is>
          <t>REL_26C</t>
        </is>
      </c>
      <c r="D346" t="inlineStr">
        <is>
          <t>CHG_IMP_0321</t>
        </is>
      </c>
      <c r="E346" t="inlineStr">
        <is>
          <t>AI Feature</t>
        </is>
      </c>
      <c r="F346" t="inlineStr">
        <is>
          <t>Configuration</t>
        </is>
      </c>
      <c r="G346" t="inlineStr"/>
      <c r="H346" t="inlineStr">
        <is>
          <t>DFL Talent Management impacted by Oracle 26C change</t>
        </is>
      </c>
      <c r="I346" t="inlineStr">
        <is>
          <t>Y</t>
        </is>
      </c>
      <c r="J346" t="inlineStr">
        <is>
          <t>N</t>
        </is>
      </c>
      <c r="K346" t="inlineStr">
        <is>
          <t>N</t>
        </is>
      </c>
      <c r="L346" t="inlineStr">
        <is>
          <t>N</t>
        </is>
      </c>
      <c r="M346" t="n">
        <v>2</v>
      </c>
      <c r="N346" t="n">
        <v>2</v>
      </c>
      <c r="O346" t="n">
        <v>2</v>
      </c>
      <c r="P346" t="n">
        <v>3</v>
      </c>
      <c r="Q346" t="n">
        <v>3</v>
      </c>
      <c r="R346">
        <f>IFERROR(XLOOKUP(XLOOKUP(D346,tblReleaseChanges[Change_ID],tblReleaseChanges[Oracle_Severity],""),tblSeverityMap[Severity_Text],tblSeverityMap[Score],0),0)</f>
        <v/>
      </c>
      <c r="S346" t="n">
        <v>1</v>
      </c>
      <c r="T346">
        <f>ROUND((M346*0.25)+(N346*0.20)+(O346*0.15)+(P346*0.15)+(Q346*0.10)+(R346*0.10)+(S346*0.05),2)</f>
        <v/>
      </c>
      <c r="U346">
        <f>IF(T346&gt;=4.25,"Critical",IF(T346&gt;=3.5,"High",IF(T346&gt;=2,"Medium","Low")))</f>
        <v/>
      </c>
      <c r="V346" t="inlineStr">
        <is>
          <t>Pending Review</t>
        </is>
      </c>
      <c r="W346" t="inlineStr"/>
      <c r="X346" t="inlineStr"/>
      <c r="Y346" t="inlineStr">
        <is>
          <t xml:space="preserve">Action type: Steps to Enable. Your environment must have certain necessary configurations. Ask your help desk to contact Oracle Support, who can verify what your environment has </t>
        </is>
      </c>
      <c r="Z346" t="inlineStr">
        <is>
          <t>N</t>
        </is>
      </c>
      <c r="AA346" t="inlineStr">
        <is>
          <t>N</t>
        </is>
      </c>
    </row>
    <row r="347">
      <c r="A347" t="inlineStr">
        <is>
          <t>ASMT_IMP_0322</t>
        </is>
      </c>
      <c r="B347" t="inlineStr">
        <is>
          <t>CLT_DFL001</t>
        </is>
      </c>
      <c r="C347" t="inlineStr">
        <is>
          <t>REL_26C</t>
        </is>
      </c>
      <c r="D347" t="inlineStr">
        <is>
          <t>CHG_IMP_0322</t>
        </is>
      </c>
      <c r="E347" t="inlineStr">
        <is>
          <t>AI Feature</t>
        </is>
      </c>
      <c r="F347" t="inlineStr">
        <is>
          <t>Configuration</t>
        </is>
      </c>
      <c r="G347" t="inlineStr"/>
      <c r="H347" t="inlineStr">
        <is>
          <t>DFL Talent Management impacted by Oracle 26C change</t>
        </is>
      </c>
      <c r="I347" t="inlineStr">
        <is>
          <t>Y</t>
        </is>
      </c>
      <c r="J347" t="inlineStr">
        <is>
          <t>N</t>
        </is>
      </c>
      <c r="K347" t="inlineStr">
        <is>
          <t>N</t>
        </is>
      </c>
      <c r="L347" t="inlineStr">
        <is>
          <t>N</t>
        </is>
      </c>
      <c r="M347" t="n">
        <v>2</v>
      </c>
      <c r="N347" t="n">
        <v>2</v>
      </c>
      <c r="O347" t="n">
        <v>2</v>
      </c>
      <c r="P347" t="n">
        <v>3</v>
      </c>
      <c r="Q347" t="n">
        <v>3</v>
      </c>
      <c r="R347">
        <f>IFERROR(XLOOKUP(XLOOKUP(D347,tblReleaseChanges[Change_ID],tblReleaseChanges[Oracle_Severity],""),tblSeverityMap[Severity_Text],tblSeverityMap[Score],0),0)</f>
        <v/>
      </c>
      <c r="S347" t="n">
        <v>1</v>
      </c>
      <c r="T347">
        <f>ROUND((M347*0.25)+(N347*0.20)+(O347*0.15)+(P347*0.15)+(Q347*0.10)+(R347*0.10)+(S347*0.05),2)</f>
        <v/>
      </c>
      <c r="U347">
        <f>IF(T347&gt;=4.25,"Critical",IF(T347&gt;=3.5,"High",IF(T347&gt;=2,"Medium","Low")))</f>
        <v/>
      </c>
      <c r="V347" t="inlineStr">
        <is>
          <t>Pending Review</t>
        </is>
      </c>
      <c r="W347" t="inlineStr"/>
      <c r="X347" t="inlineStr"/>
      <c r="Y347" t="inlineStr">
        <is>
          <t>Action type: Steps to Enable. Your environment must have certain necessary configurations. Ask your help desk to contact Oracle Support, who can verify what</t>
        </is>
      </c>
      <c r="Z347" t="inlineStr">
        <is>
          <t>N</t>
        </is>
      </c>
      <c r="AA347" t="inlineStr">
        <is>
          <t>N</t>
        </is>
      </c>
    </row>
    <row r="348">
      <c r="A348" t="inlineStr">
        <is>
          <t>ASMT_IMP_0323</t>
        </is>
      </c>
      <c r="B348" t="inlineStr">
        <is>
          <t>CLT_DFL001</t>
        </is>
      </c>
      <c r="C348" t="inlineStr">
        <is>
          <t>REL_26C</t>
        </is>
      </c>
      <c r="D348" t="inlineStr">
        <is>
          <t>CHG_IMP_0323</t>
        </is>
      </c>
      <c r="E348" t="inlineStr">
        <is>
          <t>AI Feature</t>
        </is>
      </c>
      <c r="F348" t="inlineStr">
        <is>
          <t>Configuration</t>
        </is>
      </c>
      <c r="G348" t="inlineStr"/>
      <c r="H348" t="inlineStr">
        <is>
          <t>DFL Talent Management impacted by Oracle 26C change</t>
        </is>
      </c>
      <c r="I348" t="inlineStr">
        <is>
          <t>Y</t>
        </is>
      </c>
      <c r="J348" t="inlineStr">
        <is>
          <t>N</t>
        </is>
      </c>
      <c r="K348" t="inlineStr">
        <is>
          <t>N</t>
        </is>
      </c>
      <c r="L348" t="inlineStr">
        <is>
          <t>N</t>
        </is>
      </c>
      <c r="M348" t="n">
        <v>2</v>
      </c>
      <c r="N348" t="n">
        <v>2</v>
      </c>
      <c r="O348" t="n">
        <v>2</v>
      </c>
      <c r="P348" t="n">
        <v>3</v>
      </c>
      <c r="Q348" t="n">
        <v>3</v>
      </c>
      <c r="R348">
        <f>IFERROR(XLOOKUP(XLOOKUP(D348,tblReleaseChanges[Change_ID],tblReleaseChanges[Oracle_Severity],""),tblSeverityMap[Severity_Text],tblSeverityMap[Score],0),0)</f>
        <v/>
      </c>
      <c r="S348" t="n">
        <v>1</v>
      </c>
      <c r="T348">
        <f>ROUND((M348*0.25)+(N348*0.20)+(O348*0.15)+(P348*0.15)+(Q348*0.10)+(R348*0.10)+(S348*0.05),2)</f>
        <v/>
      </c>
      <c r="U348">
        <f>IF(T348&gt;=4.25,"Critical",IF(T348&gt;=3.5,"High",IF(T348&gt;=2,"Medium","Low")))</f>
        <v/>
      </c>
      <c r="V348" t="inlineStr">
        <is>
          <t>Pending Review</t>
        </is>
      </c>
      <c r="W348" t="inlineStr"/>
      <c r="X348" t="inlineStr"/>
      <c r="Y348" t="inlineStr">
        <is>
          <t>Action type: Steps to Enable. **Note**: The switch to the new agents is automatic and can't be skipped. Your environment must have certain necessary config</t>
        </is>
      </c>
      <c r="Z348" t="inlineStr">
        <is>
          <t>N</t>
        </is>
      </c>
      <c r="AA348" t="inlineStr">
        <is>
          <t>N</t>
        </is>
      </c>
    </row>
    <row r="349">
      <c r="A349" t="inlineStr">
        <is>
          <t>ASMT_IMP_0324</t>
        </is>
      </c>
      <c r="B349" t="inlineStr">
        <is>
          <t>CLT_DFL001</t>
        </is>
      </c>
      <c r="C349" t="inlineStr">
        <is>
          <t>REL_26C</t>
        </is>
      </c>
      <c r="D349" t="inlineStr">
        <is>
          <t>CHG_IMP_0324</t>
        </is>
      </c>
      <c r="E349" t="inlineStr">
        <is>
          <t>Functional</t>
        </is>
      </c>
      <c r="F349" t="inlineStr">
        <is>
          <t>Configuration</t>
        </is>
      </c>
      <c r="G349" t="inlineStr"/>
      <c r="H349" t="inlineStr">
        <is>
          <t>DFL Talent Management impacted by Oracle 26C change</t>
        </is>
      </c>
      <c r="I349" t="inlineStr">
        <is>
          <t>Y</t>
        </is>
      </c>
      <c r="J349" t="inlineStr">
        <is>
          <t>N</t>
        </is>
      </c>
      <c r="K349" t="inlineStr">
        <is>
          <t>N</t>
        </is>
      </c>
      <c r="L349" t="inlineStr">
        <is>
          <t>N</t>
        </is>
      </c>
      <c r="M349" t="n">
        <v>2</v>
      </c>
      <c r="N349" t="n">
        <v>2</v>
      </c>
      <c r="O349" t="n">
        <v>2</v>
      </c>
      <c r="P349" t="n">
        <v>1</v>
      </c>
      <c r="Q349" t="n">
        <v>3</v>
      </c>
      <c r="R349">
        <f>IFERROR(XLOOKUP(XLOOKUP(D349,tblReleaseChanges[Change_ID],tblReleaseChanges[Oracle_Severity],""),tblSeverityMap[Severity_Text],tblSeverityMap[Score],0),0)</f>
        <v/>
      </c>
      <c r="S349" t="n">
        <v>1</v>
      </c>
      <c r="T349">
        <f>ROUND((M349*0.25)+(N349*0.20)+(O349*0.15)+(P349*0.15)+(Q349*0.10)+(R349*0.10)+(S349*0.05),2)</f>
        <v/>
      </c>
      <c r="U349">
        <f>IF(T349&gt;=4.25,"Critical",IF(T349&gt;=3.5,"High",IF(T349&gt;=2,"Medium","Low")))</f>
        <v/>
      </c>
      <c r="V349" t="inlineStr">
        <is>
          <t>Pending Review</t>
        </is>
      </c>
      <c r="W349" t="inlineStr"/>
      <c r="X349" t="inlineStr"/>
      <c r="Y349" t="inlineStr">
        <is>
          <t xml:space="preserve">Action type: Steps to Enable. To hide worker calculated ratings using page properties: 1. Open VB Studio Express Mode on the All-in-One Evaluations page. 2. In Page Properties, go to the **Calculated </t>
        </is>
      </c>
      <c r="Z349" t="inlineStr">
        <is>
          <t>N</t>
        </is>
      </c>
      <c r="AA349" t="inlineStr">
        <is>
          <t>N</t>
        </is>
      </c>
    </row>
    <row r="350">
      <c r="A350" t="inlineStr">
        <is>
          <t>ASMT_IMP_0325</t>
        </is>
      </c>
      <c r="B350" t="inlineStr">
        <is>
          <t>CLT_DFL001</t>
        </is>
      </c>
      <c r="C350" t="inlineStr">
        <is>
          <t>REL_26C</t>
        </is>
      </c>
      <c r="D350" t="inlineStr">
        <is>
          <t>CHG_IMP_0325</t>
        </is>
      </c>
      <c r="E350" t="inlineStr">
        <is>
          <t>Functional</t>
        </is>
      </c>
      <c r="F350" t="inlineStr">
        <is>
          <t>Configuration</t>
        </is>
      </c>
      <c r="G350" t="inlineStr"/>
      <c r="H350" t="inlineStr">
        <is>
          <t>DFL Talent Management impacted by Oracle 26C change</t>
        </is>
      </c>
      <c r="I350" t="inlineStr">
        <is>
          <t>Y</t>
        </is>
      </c>
      <c r="J350" t="inlineStr">
        <is>
          <t>N</t>
        </is>
      </c>
      <c r="K350" t="inlineStr">
        <is>
          <t>N</t>
        </is>
      </c>
      <c r="L350" t="inlineStr">
        <is>
          <t>N</t>
        </is>
      </c>
      <c r="M350" t="n">
        <v>2</v>
      </c>
      <c r="N350" t="n">
        <v>2</v>
      </c>
      <c r="O350" t="n">
        <v>2</v>
      </c>
      <c r="P350" t="n">
        <v>1</v>
      </c>
      <c r="Q350" t="n">
        <v>3</v>
      </c>
      <c r="R350">
        <f>IFERROR(XLOOKUP(XLOOKUP(D350,tblReleaseChanges[Change_ID],tblReleaseChanges[Oracle_Severity],""),tblSeverityMap[Severity_Text],tblSeverityMap[Score],0),0)</f>
        <v/>
      </c>
      <c r="S350" t="n">
        <v>1</v>
      </c>
      <c r="T350">
        <f>ROUND((M350*0.25)+(N350*0.20)+(O350*0.15)+(P350*0.15)+(Q350*0.10)+(R350*0.10)+(S350*0.05),2)</f>
        <v/>
      </c>
      <c r="U350">
        <f>IF(T350&gt;=4.25,"Critical",IF(T350&gt;=3.5,"High",IF(T350&gt;=2,"Medium","Low")))</f>
        <v/>
      </c>
      <c r="V350" t="inlineStr">
        <is>
          <t>Pending Review</t>
        </is>
      </c>
      <c r="W350" t="inlineStr"/>
      <c r="X350" t="inlineStr"/>
      <c r="Y350" t="inlineStr">
        <is>
          <t xml:space="preserve">Action type: Steps to Enable. For details on how a manager creates Team Sync template, see: How do I create a Team Sync template? For details on how HR Specialist creates Team Sync template, see: How </t>
        </is>
      </c>
      <c r="Z350" t="inlineStr">
        <is>
          <t>N</t>
        </is>
      </c>
      <c r="AA350" t="inlineStr">
        <is>
          <t>N</t>
        </is>
      </c>
    </row>
    <row r="351">
      <c r="A351" t="inlineStr">
        <is>
          <t>ASMT_IMP_0326</t>
        </is>
      </c>
      <c r="B351" t="inlineStr">
        <is>
          <t>CLT_DFL001</t>
        </is>
      </c>
      <c r="C351" t="inlineStr">
        <is>
          <t>REL_26C</t>
        </is>
      </c>
      <c r="D351" t="inlineStr">
        <is>
          <t>CHG_IMP_0326</t>
        </is>
      </c>
      <c r="E351" t="inlineStr">
        <is>
          <t>Functional</t>
        </is>
      </c>
      <c r="F351" t="inlineStr">
        <is>
          <t>Configuration</t>
        </is>
      </c>
      <c r="G351" t="inlineStr"/>
      <c r="H351" t="inlineStr">
        <is>
          <t>DFL Talent Management impacted by Oracle 26C change</t>
        </is>
      </c>
      <c r="I351" t="inlineStr">
        <is>
          <t>Y</t>
        </is>
      </c>
      <c r="J351" t="inlineStr">
        <is>
          <t>N</t>
        </is>
      </c>
      <c r="K351" t="inlineStr">
        <is>
          <t>N</t>
        </is>
      </c>
      <c r="L351" t="inlineStr">
        <is>
          <t>N</t>
        </is>
      </c>
      <c r="M351" t="n">
        <v>2</v>
      </c>
      <c r="N351" t="n">
        <v>2</v>
      </c>
      <c r="O351" t="n">
        <v>2</v>
      </c>
      <c r="P351" t="n">
        <v>1</v>
      </c>
      <c r="Q351" t="n">
        <v>3</v>
      </c>
      <c r="R351">
        <f>IFERROR(XLOOKUP(XLOOKUP(D351,tblReleaseChanges[Change_ID],tblReleaseChanges[Oracle_Severity],""),tblSeverityMap[Severity_Text],tblSeverityMap[Score],0),0)</f>
        <v/>
      </c>
      <c r="S351" t="n">
        <v>1</v>
      </c>
      <c r="T351">
        <f>ROUND((M351*0.25)+(N351*0.20)+(O351*0.15)+(P351*0.15)+(Q351*0.10)+(R351*0.10)+(S351*0.05),2)</f>
        <v/>
      </c>
      <c r="U351">
        <f>IF(T351&gt;=4.25,"Critical",IF(T351&gt;=3.5,"High",IF(T351&gt;=2,"Medium","Low")))</f>
        <v/>
      </c>
      <c r="V351" t="inlineStr">
        <is>
          <t>Pending Review</t>
        </is>
      </c>
      <c r="W351" t="inlineStr"/>
      <c r="X351" t="inlineStr"/>
      <c r="Y351" t="inlineStr">
        <is>
          <t>Action type: Steps to Enable. Use the newly added attributes for your reporting requirements. Subject Area | Folder | Attribute Workforce Talent Review - Talent Review Meeting R</t>
        </is>
      </c>
      <c r="Z351" t="inlineStr">
        <is>
          <t>N</t>
        </is>
      </c>
      <c r="AA351" t="inlineStr">
        <is>
          <t>N</t>
        </is>
      </c>
    </row>
    <row r="352">
      <c r="A352" t="inlineStr">
        <is>
          <t>ASMT_IMP_0327</t>
        </is>
      </c>
      <c r="B352" t="inlineStr">
        <is>
          <t>CLT_DFL001</t>
        </is>
      </c>
      <c r="C352" t="inlineStr">
        <is>
          <t>REL_26C</t>
        </is>
      </c>
      <c r="D352" t="inlineStr">
        <is>
          <t>CHG_IMP_0327</t>
        </is>
      </c>
      <c r="E352" t="inlineStr">
        <is>
          <t>Functional</t>
        </is>
      </c>
      <c r="F352" t="inlineStr">
        <is>
          <t>Configuration</t>
        </is>
      </c>
      <c r="G352" t="inlineStr"/>
      <c r="H352" t="inlineStr">
        <is>
          <t>DFL Talent Management impacted by Oracle 26C change</t>
        </is>
      </c>
      <c r="I352" t="inlineStr">
        <is>
          <t>Y</t>
        </is>
      </c>
      <c r="J352" t="inlineStr">
        <is>
          <t>N</t>
        </is>
      </c>
      <c r="K352" t="inlineStr">
        <is>
          <t>N</t>
        </is>
      </c>
      <c r="L352" t="inlineStr">
        <is>
          <t>N</t>
        </is>
      </c>
      <c r="M352" t="n">
        <v>2</v>
      </c>
      <c r="N352" t="n">
        <v>2</v>
      </c>
      <c r="O352" t="n">
        <v>2</v>
      </c>
      <c r="P352" t="n">
        <v>1</v>
      </c>
      <c r="Q352" t="n">
        <v>3</v>
      </c>
      <c r="R352">
        <f>IFERROR(XLOOKUP(XLOOKUP(D352,tblReleaseChanges[Change_ID],tblReleaseChanges[Oracle_Severity],""),tblSeverityMap[Severity_Text],tblSeverityMap[Score],0),0)</f>
        <v/>
      </c>
      <c r="S352" t="n">
        <v>1</v>
      </c>
      <c r="T352">
        <f>ROUND((M352*0.25)+(N352*0.20)+(O352*0.15)+(P352*0.15)+(Q352*0.10)+(R352*0.10)+(S352*0.05),2)</f>
        <v/>
      </c>
      <c r="U352">
        <f>IF(T352&gt;=4.25,"Critical",IF(T352&gt;=3.5,"High",IF(T352&gt;=2,"Medium","Low")))</f>
        <v/>
      </c>
      <c r="V352" t="inlineStr">
        <is>
          <t>Pending Review</t>
        </is>
      </c>
      <c r="W352" t="inlineStr"/>
      <c r="X352" t="inlineStr"/>
      <c r="Y352" t="inlineStr">
        <is>
          <t>Action type: Steps to Enable. To enable Redwood Goals Center, you need to enable the profile options indicated in the table. Profile Option Code | Profile Option Display Name | Value ORA_HCM_VBCS_PWA</t>
        </is>
      </c>
      <c r="Z352" t="inlineStr">
        <is>
          <t>N</t>
        </is>
      </c>
      <c r="AA352" t="inlineStr">
        <is>
          <t>N</t>
        </is>
      </c>
    </row>
    <row r="353">
      <c r="A353" t="inlineStr">
        <is>
          <t>ASMT_IMP_0328</t>
        </is>
      </c>
      <c r="B353" t="inlineStr">
        <is>
          <t>CLT_DFL001</t>
        </is>
      </c>
      <c r="C353" t="inlineStr">
        <is>
          <t>REL_26C</t>
        </is>
      </c>
      <c r="D353" t="inlineStr">
        <is>
          <t>CHG_IMP_0328</t>
        </is>
      </c>
      <c r="E353" t="inlineStr">
        <is>
          <t>Functional</t>
        </is>
      </c>
      <c r="F353" t="inlineStr">
        <is>
          <t>Configuration</t>
        </is>
      </c>
      <c r="G353" t="inlineStr"/>
      <c r="H353" t="inlineStr">
        <is>
          <t>DFL Talent Management impacted by Oracle 26C change</t>
        </is>
      </c>
      <c r="I353" t="inlineStr">
        <is>
          <t>Y</t>
        </is>
      </c>
      <c r="J353" t="inlineStr">
        <is>
          <t>N</t>
        </is>
      </c>
      <c r="K353" t="inlineStr">
        <is>
          <t>N</t>
        </is>
      </c>
      <c r="L353" t="inlineStr">
        <is>
          <t>N</t>
        </is>
      </c>
      <c r="M353" t="n">
        <v>2</v>
      </c>
      <c r="N353" t="n">
        <v>2</v>
      </c>
      <c r="O353" t="n">
        <v>2</v>
      </c>
      <c r="P353" t="n">
        <v>1</v>
      </c>
      <c r="Q353" t="n">
        <v>3</v>
      </c>
      <c r="R353">
        <f>IFERROR(XLOOKUP(XLOOKUP(D353,tblReleaseChanges[Change_ID],tblReleaseChanges[Oracle_Severity],""),tblSeverityMap[Severity_Text],tblSeverityMap[Score],0),0)</f>
        <v/>
      </c>
      <c r="S353" t="n">
        <v>1</v>
      </c>
      <c r="T353">
        <f>ROUND((M353*0.25)+(N353*0.20)+(O353*0.15)+(P353*0.15)+(Q353*0.10)+(R353*0.10)+(S353*0.05),2)</f>
        <v/>
      </c>
      <c r="U353">
        <f>IF(T353&gt;=4.25,"Critical",IF(T353&gt;=3.5,"High",IF(T353&gt;=2,"Medium","Low")))</f>
        <v/>
      </c>
      <c r="V353" t="inlineStr">
        <is>
          <t>Pending Review</t>
        </is>
      </c>
      <c r="W353" t="inlineStr"/>
      <c r="X353" t="inlineStr"/>
      <c r="Y353" t="inlineStr">
        <is>
          <t>Action type: Steps to Enable. To view the Redwood redesigned Talent Review meeting pages, you need to enable the profile options indicated in the table. Profile Option Code | Profile Opt</t>
        </is>
      </c>
      <c r="Z353" t="inlineStr">
        <is>
          <t>N</t>
        </is>
      </c>
      <c r="AA353" t="inlineStr">
        <is>
          <t>N</t>
        </is>
      </c>
    </row>
    <row r="354">
      <c r="A354" t="inlineStr">
        <is>
          <t>ASMT_IMP_0329</t>
        </is>
      </c>
      <c r="B354" t="inlineStr">
        <is>
          <t>CLT_DFL001</t>
        </is>
      </c>
      <c r="C354" t="inlineStr">
        <is>
          <t>REL_26C</t>
        </is>
      </c>
      <c r="D354" t="inlineStr">
        <is>
          <t>CHG_IMP_0329</t>
        </is>
      </c>
      <c r="E354" t="inlineStr">
        <is>
          <t>Functional</t>
        </is>
      </c>
      <c r="F354" t="inlineStr">
        <is>
          <t>Configuration</t>
        </is>
      </c>
      <c r="G354" t="inlineStr"/>
      <c r="H354" t="inlineStr">
        <is>
          <t>DFL Talent Management impacted by Oracle 26C change</t>
        </is>
      </c>
      <c r="I354" t="inlineStr">
        <is>
          <t>Y</t>
        </is>
      </c>
      <c r="J354" t="inlineStr">
        <is>
          <t>N</t>
        </is>
      </c>
      <c r="K354" t="inlineStr">
        <is>
          <t>N</t>
        </is>
      </c>
      <c r="L354" t="inlineStr">
        <is>
          <t>N</t>
        </is>
      </c>
      <c r="M354" t="n">
        <v>2</v>
      </c>
      <c r="N354" t="n">
        <v>2</v>
      </c>
      <c r="O354" t="n">
        <v>2</v>
      </c>
      <c r="P354" t="n">
        <v>1</v>
      </c>
      <c r="Q354" t="n">
        <v>3</v>
      </c>
      <c r="R354">
        <f>IFERROR(XLOOKUP(XLOOKUP(D354,tblReleaseChanges[Change_ID],tblReleaseChanges[Oracle_Severity],""),tblSeverityMap[Severity_Text],tblSeverityMap[Score],0),0)</f>
        <v/>
      </c>
      <c r="S354" t="n">
        <v>1</v>
      </c>
      <c r="T354">
        <f>ROUND((M354*0.25)+(N354*0.20)+(O354*0.15)+(P354*0.15)+(Q354*0.10)+(R354*0.10)+(S354*0.05),2)</f>
        <v/>
      </c>
      <c r="U354">
        <f>IF(T354&gt;=4.25,"Critical",IF(T354&gt;=3.5,"High",IF(T354&gt;=2,"Medium","Low")))</f>
        <v/>
      </c>
      <c r="V354" t="inlineStr">
        <is>
          <t>Pending Review</t>
        </is>
      </c>
      <c r="W354" t="inlineStr"/>
      <c r="X354" t="inlineStr"/>
      <c r="Y354" t="inlineStr">
        <is>
          <t>Action type: Steps to Enable. To enable Redwood Goals Center, you need to enable the profile options indicated in the table. Profile Option Code | Profile</t>
        </is>
      </c>
      <c r="Z354" t="inlineStr">
        <is>
          <t>N</t>
        </is>
      </c>
      <c r="AA354" t="inlineStr">
        <is>
          <t>N</t>
        </is>
      </c>
    </row>
    <row r="355">
      <c r="A355" t="inlineStr">
        <is>
          <t>ASMT_IMP_0330</t>
        </is>
      </c>
      <c r="B355" t="inlineStr">
        <is>
          <t>CLT_DFL001</t>
        </is>
      </c>
      <c r="C355" t="inlineStr">
        <is>
          <t>REL_26C</t>
        </is>
      </c>
      <c r="D355" t="inlineStr">
        <is>
          <t>CHG_IMP_0330</t>
        </is>
      </c>
      <c r="E355" t="inlineStr">
        <is>
          <t>Functional</t>
        </is>
      </c>
      <c r="F355" t="inlineStr">
        <is>
          <t>Configuration</t>
        </is>
      </c>
      <c r="G355" t="inlineStr"/>
      <c r="H355" t="inlineStr">
        <is>
          <t>DFL Talent Management impacted by Oracle 26C change</t>
        </is>
      </c>
      <c r="I355" t="inlineStr">
        <is>
          <t>Y</t>
        </is>
      </c>
      <c r="J355" t="inlineStr">
        <is>
          <t>N</t>
        </is>
      </c>
      <c r="K355" t="inlineStr">
        <is>
          <t>N</t>
        </is>
      </c>
      <c r="L355" t="inlineStr">
        <is>
          <t>N</t>
        </is>
      </c>
      <c r="M355" t="n">
        <v>2</v>
      </c>
      <c r="N355" t="n">
        <v>2</v>
      </c>
      <c r="O355" t="n">
        <v>2</v>
      </c>
      <c r="P355" t="n">
        <v>1</v>
      </c>
      <c r="Q355" t="n">
        <v>3</v>
      </c>
      <c r="R355">
        <f>IFERROR(XLOOKUP(XLOOKUP(D355,tblReleaseChanges[Change_ID],tblReleaseChanges[Oracle_Severity],""),tblSeverityMap[Severity_Text],tblSeverityMap[Score],0),0)</f>
        <v/>
      </c>
      <c r="S355" t="n">
        <v>1</v>
      </c>
      <c r="T355">
        <f>ROUND((M355*0.25)+(N355*0.20)+(O355*0.15)+(P355*0.15)+(Q355*0.10)+(R355*0.10)+(S355*0.05),2)</f>
        <v/>
      </c>
      <c r="U355">
        <f>IF(T355&gt;=4.25,"Critical",IF(T355&gt;=3.5,"High",IF(T355&gt;=2,"Medium","Low")))</f>
        <v/>
      </c>
      <c r="V355" t="inlineStr">
        <is>
          <t>Pending Review</t>
        </is>
      </c>
      <c r="W355" t="inlineStr"/>
      <c r="X355" t="inlineStr"/>
      <c r="Y355" t="inlineStr">
        <is>
          <t>Action type: Steps to Enable. To enable Redwood Goals Center, you need to enable the profile options indicated in the table. Profile Option Code | Profile Option Display Name | Val</t>
        </is>
      </c>
      <c r="Z355" t="inlineStr">
        <is>
          <t>N</t>
        </is>
      </c>
      <c r="AA355" t="inlineStr">
        <is>
          <t>N</t>
        </is>
      </c>
    </row>
    <row r="356">
      <c r="A356" t="inlineStr">
        <is>
          <t>ASMT_IMP_0331</t>
        </is>
      </c>
      <c r="B356" t="inlineStr">
        <is>
          <t>CLT_DFL001</t>
        </is>
      </c>
      <c r="C356" t="inlineStr">
        <is>
          <t>REL_26C</t>
        </is>
      </c>
      <c r="D356" t="inlineStr">
        <is>
          <t>CHG_IMP_0331</t>
        </is>
      </c>
      <c r="E356" t="inlineStr">
        <is>
          <t>Functional</t>
        </is>
      </c>
      <c r="F356" t="inlineStr">
        <is>
          <t>Configuration</t>
        </is>
      </c>
      <c r="G356" t="inlineStr"/>
      <c r="H356" t="inlineStr">
        <is>
          <t>DFL Talent Management impacted by Oracle 26C change</t>
        </is>
      </c>
      <c r="I356" t="inlineStr">
        <is>
          <t>Y</t>
        </is>
      </c>
      <c r="J356" t="inlineStr">
        <is>
          <t>N</t>
        </is>
      </c>
      <c r="K356" t="inlineStr">
        <is>
          <t>N</t>
        </is>
      </c>
      <c r="L356" t="inlineStr">
        <is>
          <t>N</t>
        </is>
      </c>
      <c r="M356" t="n">
        <v>2</v>
      </c>
      <c r="N356" t="n">
        <v>2</v>
      </c>
      <c r="O356" t="n">
        <v>2</v>
      </c>
      <c r="P356" t="n">
        <v>1</v>
      </c>
      <c r="Q356" t="n">
        <v>3</v>
      </c>
      <c r="R356">
        <f>IFERROR(XLOOKUP(XLOOKUP(D356,tblReleaseChanges[Change_ID],tblReleaseChanges[Oracle_Severity],""),tblSeverityMap[Severity_Text],tblSeverityMap[Score],0),0)</f>
        <v/>
      </c>
      <c r="S356" t="n">
        <v>1</v>
      </c>
      <c r="T356">
        <f>ROUND((M356*0.25)+(N356*0.20)+(O356*0.15)+(P356*0.15)+(Q356*0.10)+(R356*0.10)+(S356*0.05),2)</f>
        <v/>
      </c>
      <c r="U356">
        <f>IF(T356&gt;=4.25,"Critical",IF(T356&gt;=3.5,"High",IF(T356&gt;=2,"Medium","Low")))</f>
        <v/>
      </c>
      <c r="V356" t="inlineStr">
        <is>
          <t>Pending Review</t>
        </is>
      </c>
      <c r="W356" t="inlineStr"/>
      <c r="X356" t="inlineStr"/>
      <c r="Y356" t="inlineStr">
        <is>
          <t>Action type: Steps to Enable. To view the Redwood redesigned Talent Review meeting pages, you need to enable the profile options indicated in the table. Profile Option Code | Profil</t>
        </is>
      </c>
      <c r="Z356" t="inlineStr">
        <is>
          <t>N</t>
        </is>
      </c>
      <c r="AA356" t="inlineStr">
        <is>
          <t>N</t>
        </is>
      </c>
    </row>
    <row r="357">
      <c r="A357" t="inlineStr">
        <is>
          <t>ASMT_IMP_0332</t>
        </is>
      </c>
      <c r="B357" t="inlineStr">
        <is>
          <t>CLT_DFL001</t>
        </is>
      </c>
      <c r="C357" t="inlineStr">
        <is>
          <t>REL_26C</t>
        </is>
      </c>
      <c r="D357" t="inlineStr">
        <is>
          <t>CHG_IMP_0332</t>
        </is>
      </c>
      <c r="E357" t="inlineStr">
        <is>
          <t>Functional</t>
        </is>
      </c>
      <c r="F357" t="inlineStr">
        <is>
          <t>Configuration</t>
        </is>
      </c>
      <c r="G357" t="inlineStr"/>
      <c r="H357" t="inlineStr">
        <is>
          <t>DFL Talent Management impacted by Oracle 26C change</t>
        </is>
      </c>
      <c r="I357" t="inlineStr">
        <is>
          <t>Y</t>
        </is>
      </c>
      <c r="J357" t="inlineStr">
        <is>
          <t>N</t>
        </is>
      </c>
      <c r="K357" t="inlineStr">
        <is>
          <t>N</t>
        </is>
      </c>
      <c r="L357" t="inlineStr">
        <is>
          <t>N</t>
        </is>
      </c>
      <c r="M357" t="n">
        <v>2</v>
      </c>
      <c r="N357" t="n">
        <v>2</v>
      </c>
      <c r="O357" t="n">
        <v>2</v>
      </c>
      <c r="P357" t="n">
        <v>1</v>
      </c>
      <c r="Q357" t="n">
        <v>3</v>
      </c>
      <c r="R357">
        <f>IFERROR(XLOOKUP(XLOOKUP(D357,tblReleaseChanges[Change_ID],tblReleaseChanges[Oracle_Severity],""),tblSeverityMap[Severity_Text],tblSeverityMap[Score],0),0)</f>
        <v/>
      </c>
      <c r="S357" t="n">
        <v>1</v>
      </c>
      <c r="T357">
        <f>ROUND((M357*0.25)+(N357*0.20)+(O357*0.15)+(P357*0.15)+(Q357*0.10)+(R357*0.10)+(S357*0.05),2)</f>
        <v/>
      </c>
      <c r="U357">
        <f>IF(T357&gt;=4.25,"Critical",IF(T357&gt;=3.5,"High",IF(T357&gt;=2,"Medium","Low")))</f>
        <v/>
      </c>
      <c r="V357" t="inlineStr">
        <is>
          <t>Pending Review</t>
        </is>
      </c>
      <c r="W357" t="inlineStr"/>
      <c r="X357" t="inlineStr"/>
      <c r="Y357" t="inlineStr">
        <is>
          <t>Action type: Steps to Enable. To view the Redwood redesigned Talent Review meeting pages, you need to enable the profile options indicated in the table. Profile Option Code | Profile Option Display Na</t>
        </is>
      </c>
      <c r="Z357" t="inlineStr">
        <is>
          <t>N</t>
        </is>
      </c>
      <c r="AA357" t="inlineStr">
        <is>
          <t>N</t>
        </is>
      </c>
    </row>
    <row r="358">
      <c r="A358" t="inlineStr">
        <is>
          <t>ASMT_IMP_0333</t>
        </is>
      </c>
      <c r="B358" t="inlineStr">
        <is>
          <t>CLT_DFL001</t>
        </is>
      </c>
      <c r="C358" t="inlineStr">
        <is>
          <t>REL_26C</t>
        </is>
      </c>
      <c r="D358" t="inlineStr">
        <is>
          <t>CHG_IMP_0333</t>
        </is>
      </c>
      <c r="E358" t="inlineStr">
        <is>
          <t>Functional</t>
        </is>
      </c>
      <c r="F358" t="inlineStr">
        <is>
          <t>Configuration</t>
        </is>
      </c>
      <c r="G358" t="inlineStr"/>
      <c r="H358" t="inlineStr">
        <is>
          <t>DFL Talent Management impacted by Oracle 26C change</t>
        </is>
      </c>
      <c r="I358" t="inlineStr">
        <is>
          <t>Y</t>
        </is>
      </c>
      <c r="J358" t="inlineStr">
        <is>
          <t>N</t>
        </is>
      </c>
      <c r="K358" t="inlineStr">
        <is>
          <t>N</t>
        </is>
      </c>
      <c r="L358" t="inlineStr">
        <is>
          <t>N</t>
        </is>
      </c>
      <c r="M358" t="n">
        <v>2</v>
      </c>
      <c r="N358" t="n">
        <v>2</v>
      </c>
      <c r="O358" t="n">
        <v>2</v>
      </c>
      <c r="P358" t="n">
        <v>1</v>
      </c>
      <c r="Q358" t="n">
        <v>3</v>
      </c>
      <c r="R358">
        <f>IFERROR(XLOOKUP(XLOOKUP(D358,tblReleaseChanges[Change_ID],tblReleaseChanges[Oracle_Severity],""),tblSeverityMap[Severity_Text],tblSeverityMap[Score],0),0)</f>
        <v/>
      </c>
      <c r="S358" t="n">
        <v>1</v>
      </c>
      <c r="T358">
        <f>ROUND((M358*0.25)+(N358*0.20)+(O358*0.15)+(P358*0.15)+(Q358*0.10)+(R358*0.10)+(S358*0.05),2)</f>
        <v/>
      </c>
      <c r="U358">
        <f>IF(T358&gt;=4.25,"Critical",IF(T358&gt;=3.5,"High",IF(T358&gt;=2,"Medium","Low")))</f>
        <v/>
      </c>
      <c r="V358" t="inlineStr">
        <is>
          <t>Pending Review</t>
        </is>
      </c>
      <c r="W358" t="inlineStr"/>
      <c r="X358" t="inlineStr"/>
      <c r="Y358" t="inlineStr">
        <is>
          <t>Action type: Steps to Enable. You need to configure the profile option as indicated in the following table. Profile Option Code | Description | Value ORA_HRA_SETUP_REDWOOD_ ENABLED | E</t>
        </is>
      </c>
      <c r="Z358" t="inlineStr">
        <is>
          <t>N</t>
        </is>
      </c>
      <c r="AA358" t="inlineStr">
        <is>
          <t>N</t>
        </is>
      </c>
    </row>
    <row r="359">
      <c r="A359" t="inlineStr">
        <is>
          <t>ASMT_IMP_0334</t>
        </is>
      </c>
      <c r="B359" t="inlineStr">
        <is>
          <t>CLT_DFL001</t>
        </is>
      </c>
      <c r="C359" t="inlineStr">
        <is>
          <t>REL_26C</t>
        </is>
      </c>
      <c r="D359" t="inlineStr">
        <is>
          <t>CHG_IMP_0334</t>
        </is>
      </c>
      <c r="E359" t="inlineStr">
        <is>
          <t>Functional</t>
        </is>
      </c>
      <c r="F359" t="inlineStr">
        <is>
          <t>Configuration</t>
        </is>
      </c>
      <c r="G359" t="inlineStr"/>
      <c r="H359" t="inlineStr">
        <is>
          <t>DFL Talent Management impacted by Oracle 26C change</t>
        </is>
      </c>
      <c r="I359" t="inlineStr">
        <is>
          <t>Y</t>
        </is>
      </c>
      <c r="J359" t="inlineStr">
        <is>
          <t>N</t>
        </is>
      </c>
      <c r="K359" t="inlineStr">
        <is>
          <t>N</t>
        </is>
      </c>
      <c r="L359" t="inlineStr">
        <is>
          <t>N</t>
        </is>
      </c>
      <c r="M359" t="n">
        <v>2</v>
      </c>
      <c r="N359" t="n">
        <v>2</v>
      </c>
      <c r="O359" t="n">
        <v>2</v>
      </c>
      <c r="P359" t="n">
        <v>1</v>
      </c>
      <c r="Q359" t="n">
        <v>3</v>
      </c>
      <c r="R359">
        <f>IFERROR(XLOOKUP(XLOOKUP(D359,tblReleaseChanges[Change_ID],tblReleaseChanges[Oracle_Severity],""),tblSeverityMap[Severity_Text],tblSeverityMap[Score],0),0)</f>
        <v/>
      </c>
      <c r="S359" t="n">
        <v>1</v>
      </c>
      <c r="T359">
        <f>ROUND((M359*0.25)+(N359*0.20)+(O359*0.15)+(P359*0.15)+(Q359*0.10)+(R359*0.10)+(S359*0.05),2)</f>
        <v/>
      </c>
      <c r="U359">
        <f>IF(T359&gt;=4.25,"Critical",IF(T359&gt;=3.5,"High",IF(T359&gt;=2,"Medium","Low")))</f>
        <v/>
      </c>
      <c r="V359" t="inlineStr">
        <is>
          <t>Pending Review</t>
        </is>
      </c>
      <c r="W359" t="inlineStr"/>
      <c r="X359" t="inlineStr"/>
      <c r="Y359" t="inlineStr">
        <is>
          <t>Action type: Steps to Enable. To view the Redwood redesigned Talent Review meeting pages, you need to enable the profile options indicated in the table. Profile Option Code | Profile Option Display Na</t>
        </is>
      </c>
      <c r="Z359" t="inlineStr">
        <is>
          <t>N</t>
        </is>
      </c>
      <c r="AA359" t="inlineStr">
        <is>
          <t>N</t>
        </is>
      </c>
    </row>
    <row r="360">
      <c r="A360" t="inlineStr">
        <is>
          <t>ASMT_IMP_0335</t>
        </is>
      </c>
      <c r="B360" t="inlineStr">
        <is>
          <t>CLT_DFL001</t>
        </is>
      </c>
      <c r="C360" t="inlineStr">
        <is>
          <t>REL_26C</t>
        </is>
      </c>
      <c r="D360" t="inlineStr">
        <is>
          <t>CHG_IMP_0335</t>
        </is>
      </c>
      <c r="E360" t="inlineStr">
        <is>
          <t>Functional</t>
        </is>
      </c>
      <c r="F360" t="inlineStr">
        <is>
          <t>Configuration</t>
        </is>
      </c>
      <c r="G360" t="inlineStr"/>
      <c r="H360" t="inlineStr">
        <is>
          <t>DFL Talent Management impacted by Oracle 26C change</t>
        </is>
      </c>
      <c r="I360" t="inlineStr">
        <is>
          <t>Y</t>
        </is>
      </c>
      <c r="J360" t="inlineStr">
        <is>
          <t>N</t>
        </is>
      </c>
      <c r="K360" t="inlineStr">
        <is>
          <t>N</t>
        </is>
      </c>
      <c r="L360" t="inlineStr">
        <is>
          <t>N</t>
        </is>
      </c>
      <c r="M360" t="n">
        <v>2</v>
      </c>
      <c r="N360" t="n">
        <v>2</v>
      </c>
      <c r="O360" t="n">
        <v>2</v>
      </c>
      <c r="P360" t="n">
        <v>1</v>
      </c>
      <c r="Q360" t="n">
        <v>3</v>
      </c>
      <c r="R360">
        <f>IFERROR(XLOOKUP(XLOOKUP(D360,tblReleaseChanges[Change_ID],tblReleaseChanges[Oracle_Severity],""),tblSeverityMap[Severity_Text],tblSeverityMap[Score],0),0)</f>
        <v/>
      </c>
      <c r="S360" t="n">
        <v>1</v>
      </c>
      <c r="T360">
        <f>ROUND((M360*0.25)+(N360*0.20)+(O360*0.15)+(P360*0.15)+(Q360*0.10)+(R360*0.10)+(S360*0.05),2)</f>
        <v/>
      </c>
      <c r="U360">
        <f>IF(T360&gt;=4.25,"Critical",IF(T360&gt;=3.5,"High",IF(T360&gt;=2,"Medium","Low")))</f>
        <v/>
      </c>
      <c r="V360" t="inlineStr">
        <is>
          <t>Pending Review</t>
        </is>
      </c>
      <c r="W360" t="inlineStr"/>
      <c r="X360" t="inlineStr"/>
      <c r="Y360" t="inlineStr">
        <is>
          <t>Action type: Steps to Enable. You need to configure the profile options as indicated in the following table. Profile Option Code | Description | Values ORA_HCM_VBCS_PWA_ENABLED | En</t>
        </is>
      </c>
      <c r="Z360" t="inlineStr">
        <is>
          <t>N</t>
        </is>
      </c>
      <c r="AA360" t="inlineStr">
        <is>
          <t>N</t>
        </is>
      </c>
    </row>
    <row r="361">
      <c r="A361" t="inlineStr">
        <is>
          <t>ASMT_IMP_0336</t>
        </is>
      </c>
      <c r="B361" t="inlineStr">
        <is>
          <t>CLT_DFL001</t>
        </is>
      </c>
      <c r="C361" t="inlineStr">
        <is>
          <t>REL_26C</t>
        </is>
      </c>
      <c r="D361" t="inlineStr">
        <is>
          <t>CHG_IMP_0336</t>
        </is>
      </c>
      <c r="E361" t="inlineStr">
        <is>
          <t>Functional</t>
        </is>
      </c>
      <c r="F361" t="inlineStr">
        <is>
          <t>Configuration</t>
        </is>
      </c>
      <c r="G361" t="inlineStr"/>
      <c r="H361" t="inlineStr">
        <is>
          <t>DFL Talent Management impacted by Oracle 26C change</t>
        </is>
      </c>
      <c r="I361" t="inlineStr">
        <is>
          <t>Y</t>
        </is>
      </c>
      <c r="J361" t="inlineStr">
        <is>
          <t>N</t>
        </is>
      </c>
      <c r="K361" t="inlineStr">
        <is>
          <t>N</t>
        </is>
      </c>
      <c r="L361" t="inlineStr">
        <is>
          <t>N</t>
        </is>
      </c>
      <c r="M361" t="n">
        <v>2</v>
      </c>
      <c r="N361" t="n">
        <v>2</v>
      </c>
      <c r="O361" t="n">
        <v>2</v>
      </c>
      <c r="P361" t="n">
        <v>1</v>
      </c>
      <c r="Q361" t="n">
        <v>3</v>
      </c>
      <c r="R361">
        <f>IFERROR(XLOOKUP(XLOOKUP(D361,tblReleaseChanges[Change_ID],tblReleaseChanges[Oracle_Severity],""),tblSeverityMap[Severity_Text],tblSeverityMap[Score],0),0)</f>
        <v/>
      </c>
      <c r="S361" t="n">
        <v>1</v>
      </c>
      <c r="T361">
        <f>ROUND((M361*0.25)+(N361*0.20)+(O361*0.15)+(P361*0.15)+(Q361*0.10)+(R361*0.10)+(S361*0.05),2)</f>
        <v/>
      </c>
      <c r="U361">
        <f>IF(T361&gt;=4.25,"Critical",IF(T361&gt;=3.5,"High",IF(T361&gt;=2,"Medium","Low")))</f>
        <v/>
      </c>
      <c r="V361" t="inlineStr">
        <is>
          <t>Pending Review</t>
        </is>
      </c>
      <c r="W361" t="inlineStr"/>
      <c r="X361" t="inlineStr"/>
      <c r="Y361" t="inlineStr">
        <is>
          <t>Action type: Steps to Enable. You need to configure the profile options as indicated in the following table: Profile Option Code | Description | Value OR</t>
        </is>
      </c>
      <c r="Z361" t="inlineStr">
        <is>
          <t>N</t>
        </is>
      </c>
      <c r="AA361" t="inlineStr">
        <is>
          <t>N</t>
        </is>
      </c>
    </row>
    <row r="362">
      <c r="A362" t="inlineStr">
        <is>
          <t>ASMT_IMP_0337</t>
        </is>
      </c>
      <c r="B362" t="inlineStr">
        <is>
          <t>CLT_DFL001</t>
        </is>
      </c>
      <c r="C362" t="inlineStr">
        <is>
          <t>REL_26C</t>
        </is>
      </c>
      <c r="D362" t="inlineStr">
        <is>
          <t>CHG_IMP_0337</t>
        </is>
      </c>
      <c r="E362" t="inlineStr">
        <is>
          <t>Functional</t>
        </is>
      </c>
      <c r="F362" t="inlineStr">
        <is>
          <t>Configuration</t>
        </is>
      </c>
      <c r="G362" t="inlineStr"/>
      <c r="H362" t="inlineStr">
        <is>
          <t>DFL Talent Management impacted by Oracle 26C change</t>
        </is>
      </c>
      <c r="I362" t="inlineStr">
        <is>
          <t>Y</t>
        </is>
      </c>
      <c r="J362" t="inlineStr">
        <is>
          <t>N</t>
        </is>
      </c>
      <c r="K362" t="inlineStr">
        <is>
          <t>N</t>
        </is>
      </c>
      <c r="L362" t="inlineStr">
        <is>
          <t>N</t>
        </is>
      </c>
      <c r="M362" t="n">
        <v>2</v>
      </c>
      <c r="N362" t="n">
        <v>2</v>
      </c>
      <c r="O362" t="n">
        <v>2</v>
      </c>
      <c r="P362" t="n">
        <v>1</v>
      </c>
      <c r="Q362" t="n">
        <v>3</v>
      </c>
      <c r="R362">
        <f>IFERROR(XLOOKUP(XLOOKUP(D362,tblReleaseChanges[Change_ID],tblReleaseChanges[Oracle_Severity],""),tblSeverityMap[Severity_Text],tblSeverityMap[Score],0),0)</f>
        <v/>
      </c>
      <c r="S362" t="n">
        <v>1</v>
      </c>
      <c r="T362">
        <f>ROUND((M362*0.25)+(N362*0.20)+(O362*0.15)+(P362*0.15)+(Q362*0.10)+(R362*0.10)+(S362*0.05),2)</f>
        <v/>
      </c>
      <c r="U362">
        <f>IF(T362&gt;=4.25,"Critical",IF(T362&gt;=3.5,"High",IF(T362&gt;=2,"Medium","Low")))</f>
        <v/>
      </c>
      <c r="V362" t="inlineStr">
        <is>
          <t>Pending Review</t>
        </is>
      </c>
      <c r="W362" t="inlineStr"/>
      <c r="X362" t="inlineStr"/>
      <c r="Y362" t="inlineStr">
        <is>
          <t>Action type: Steps to Enable. To enable Redwood Goals Center, you need to enable the profile options indicated in the table. Profile Option Code | Profile Option Display Name | Value ORA_HCM_VBCS_PW</t>
        </is>
      </c>
      <c r="Z362" t="inlineStr">
        <is>
          <t>N</t>
        </is>
      </c>
      <c r="AA362" t="inlineStr">
        <is>
          <t>N</t>
        </is>
      </c>
    </row>
    <row r="363">
      <c r="A363" t="inlineStr">
        <is>
          <t>ASMT_IMP_0338</t>
        </is>
      </c>
      <c r="B363" t="inlineStr">
        <is>
          <t>CLT_DFL001</t>
        </is>
      </c>
      <c r="C363" t="inlineStr">
        <is>
          <t>REL_26C</t>
        </is>
      </c>
      <c r="D363" t="inlineStr">
        <is>
          <t>CHG_IMP_0338</t>
        </is>
      </c>
      <c r="E363" t="inlineStr">
        <is>
          <t>Functional</t>
        </is>
      </c>
      <c r="F363" t="inlineStr">
        <is>
          <t>Configuration</t>
        </is>
      </c>
      <c r="G363" t="inlineStr"/>
      <c r="H363" t="inlineStr">
        <is>
          <t>DFL Talent Management impacted by Oracle 26C change</t>
        </is>
      </c>
      <c r="I363" t="inlineStr">
        <is>
          <t>Y</t>
        </is>
      </c>
      <c r="J363" t="inlineStr">
        <is>
          <t>N</t>
        </is>
      </c>
      <c r="K363" t="inlineStr">
        <is>
          <t>N</t>
        </is>
      </c>
      <c r="L363" t="inlineStr">
        <is>
          <t>N</t>
        </is>
      </c>
      <c r="M363" t="n">
        <v>2</v>
      </c>
      <c r="N363" t="n">
        <v>2</v>
      </c>
      <c r="O363" t="n">
        <v>2</v>
      </c>
      <c r="P363" t="n">
        <v>1</v>
      </c>
      <c r="Q363" t="n">
        <v>3</v>
      </c>
      <c r="R363">
        <f>IFERROR(XLOOKUP(XLOOKUP(D363,tblReleaseChanges[Change_ID],tblReleaseChanges[Oracle_Severity],""),tblSeverityMap[Severity_Text],tblSeverityMap[Score],0),0)</f>
        <v/>
      </c>
      <c r="S363" t="n">
        <v>1</v>
      </c>
      <c r="T363">
        <f>ROUND((M363*0.25)+(N363*0.20)+(O363*0.15)+(P363*0.15)+(Q363*0.10)+(R363*0.10)+(S363*0.05),2)</f>
        <v/>
      </c>
      <c r="U363">
        <f>IF(T363&gt;=4.25,"Critical",IF(T363&gt;=3.5,"High",IF(T363&gt;=2,"Medium","Low")))</f>
        <v/>
      </c>
      <c r="V363" t="inlineStr">
        <is>
          <t>Pending Review</t>
        </is>
      </c>
      <c r="W363" t="inlineStr"/>
      <c r="X363" t="inlineStr"/>
      <c r="Y363" t="inlineStr">
        <is>
          <t>Action type: Steps to Enable. To enable Redwood Goals Center, you need to enable the profile options indicated in the table. Profile Option Code | Profile Option Display Name</t>
        </is>
      </c>
      <c r="Z363" t="inlineStr">
        <is>
          <t>N</t>
        </is>
      </c>
      <c r="AA363" t="inlineStr">
        <is>
          <t>N</t>
        </is>
      </c>
    </row>
    <row r="364">
      <c r="A364" t="inlineStr">
        <is>
          <t>ASMT_IMP_0339</t>
        </is>
      </c>
      <c r="B364" t="inlineStr">
        <is>
          <t>CLT_DFL001</t>
        </is>
      </c>
      <c r="C364" t="inlineStr">
        <is>
          <t>REL_26C</t>
        </is>
      </c>
      <c r="D364" t="inlineStr">
        <is>
          <t>CHG_IMP_0339</t>
        </is>
      </c>
      <c r="E364" t="inlineStr">
        <is>
          <t>Functional</t>
        </is>
      </c>
      <c r="F364" t="inlineStr">
        <is>
          <t>Configuration</t>
        </is>
      </c>
      <c r="G364" t="inlineStr"/>
      <c r="H364" t="inlineStr">
        <is>
          <t>DFL Talent Management impacted by Oracle 26C change</t>
        </is>
      </c>
      <c r="I364" t="inlineStr">
        <is>
          <t>Y</t>
        </is>
      </c>
      <c r="J364" t="inlineStr">
        <is>
          <t>N</t>
        </is>
      </c>
      <c r="K364" t="inlineStr">
        <is>
          <t>N</t>
        </is>
      </c>
      <c r="L364" t="inlineStr">
        <is>
          <t>N</t>
        </is>
      </c>
      <c r="M364" t="n">
        <v>2</v>
      </c>
      <c r="N364" t="n">
        <v>2</v>
      </c>
      <c r="O364" t="n">
        <v>2</v>
      </c>
      <c r="P364" t="n">
        <v>1</v>
      </c>
      <c r="Q364" t="n">
        <v>3</v>
      </c>
      <c r="R364">
        <f>IFERROR(XLOOKUP(XLOOKUP(D364,tblReleaseChanges[Change_ID],tblReleaseChanges[Oracle_Severity],""),tblSeverityMap[Severity_Text],tblSeverityMap[Score],0),0)</f>
        <v/>
      </c>
      <c r="S364" t="n">
        <v>1</v>
      </c>
      <c r="T364">
        <f>ROUND((M364*0.25)+(N364*0.20)+(O364*0.15)+(P364*0.15)+(Q364*0.10)+(R364*0.10)+(S364*0.05),2)</f>
        <v/>
      </c>
      <c r="U364">
        <f>IF(T364&gt;=4.25,"Critical",IF(T364&gt;=3.5,"High",IF(T364&gt;=2,"Medium","Low")))</f>
        <v/>
      </c>
      <c r="V364" t="inlineStr">
        <is>
          <t>Pending Review</t>
        </is>
      </c>
      <c r="W364" t="inlineStr"/>
      <c r="X364" t="inlineStr"/>
      <c r="Y364" t="inlineStr">
        <is>
          <t xml:space="preserve">Action type: Steps to Enable. You need to configure the profile option as indicated in the following table. Profile Option Code | Description | Value ORA_HRA_SETUP_REDWOOD_ </t>
        </is>
      </c>
      <c r="Z364" t="inlineStr">
        <is>
          <t>N</t>
        </is>
      </c>
      <c r="AA364" t="inlineStr">
        <is>
          <t>N</t>
        </is>
      </c>
    </row>
    <row r="365">
      <c r="A365" t="inlineStr">
        <is>
          <t>ASMT_IMP_0340</t>
        </is>
      </c>
      <c r="B365" t="inlineStr">
        <is>
          <t>CLT_DFL001</t>
        </is>
      </c>
      <c r="C365" t="inlineStr">
        <is>
          <t>REL_26C</t>
        </is>
      </c>
      <c r="D365" t="inlineStr">
        <is>
          <t>CHG_IMP_0340</t>
        </is>
      </c>
      <c r="E365" t="inlineStr">
        <is>
          <t>Functional</t>
        </is>
      </c>
      <c r="F365" t="inlineStr">
        <is>
          <t>Configuration</t>
        </is>
      </c>
      <c r="G365" t="inlineStr"/>
      <c r="H365" t="inlineStr">
        <is>
          <t>DFL Talent Management impacted by Oracle 26C change</t>
        </is>
      </c>
      <c r="I365" t="inlineStr">
        <is>
          <t>Y</t>
        </is>
      </c>
      <c r="J365" t="inlineStr">
        <is>
          <t>N</t>
        </is>
      </c>
      <c r="K365" t="inlineStr">
        <is>
          <t>N</t>
        </is>
      </c>
      <c r="L365" t="inlineStr">
        <is>
          <t>N</t>
        </is>
      </c>
      <c r="M365" t="n">
        <v>2</v>
      </c>
      <c r="N365" t="n">
        <v>2</v>
      </c>
      <c r="O365" t="n">
        <v>2</v>
      </c>
      <c r="P365" t="n">
        <v>1</v>
      </c>
      <c r="Q365" t="n">
        <v>3</v>
      </c>
      <c r="R365">
        <f>IFERROR(XLOOKUP(XLOOKUP(D365,tblReleaseChanges[Change_ID],tblReleaseChanges[Oracle_Severity],""),tblSeverityMap[Severity_Text],tblSeverityMap[Score],0),0)</f>
        <v/>
      </c>
      <c r="S365" t="n">
        <v>1</v>
      </c>
      <c r="T365">
        <f>ROUND((M365*0.25)+(N365*0.20)+(O365*0.15)+(P365*0.15)+(Q365*0.10)+(R365*0.10)+(S365*0.05),2)</f>
        <v/>
      </c>
      <c r="U365">
        <f>IF(T365&gt;=4.25,"Critical",IF(T365&gt;=3.5,"High",IF(T365&gt;=2,"Medium","Low")))</f>
        <v/>
      </c>
      <c r="V365" t="inlineStr">
        <is>
          <t>Pending Review</t>
        </is>
      </c>
      <c r="W365" t="inlineStr"/>
      <c r="X365" t="inlineStr"/>
      <c r="Y365" t="inlineStr">
        <is>
          <t>Action type: Steps to Enable. To enable Redwood Goals Center, you need to enable the profile options indicated in the table. Profile Option Code | Profile Option Display Name | Value ORA_HCM_VBCS_PWA_</t>
        </is>
      </c>
      <c r="Z365" t="inlineStr">
        <is>
          <t>N</t>
        </is>
      </c>
      <c r="AA365" t="inlineStr">
        <is>
          <t>N</t>
        </is>
      </c>
    </row>
    <row r="366">
      <c r="A366" t="inlineStr">
        <is>
          <t>ASMT_IMP_0341</t>
        </is>
      </c>
      <c r="B366" t="inlineStr">
        <is>
          <t>CLT_DFL001</t>
        </is>
      </c>
      <c r="C366" t="inlineStr">
        <is>
          <t>REL_26C</t>
        </is>
      </c>
      <c r="D366" t="inlineStr">
        <is>
          <t>CHG_IMP_0341</t>
        </is>
      </c>
      <c r="E366" t="inlineStr">
        <is>
          <t>Functional</t>
        </is>
      </c>
      <c r="F366" t="inlineStr">
        <is>
          <t>Configuration</t>
        </is>
      </c>
      <c r="G366" t="inlineStr"/>
      <c r="H366" t="inlineStr">
        <is>
          <t>DFL Talent Management impacted by Oracle 26C change</t>
        </is>
      </c>
      <c r="I366" t="inlineStr">
        <is>
          <t>Y</t>
        </is>
      </c>
      <c r="J366" t="inlineStr">
        <is>
          <t>N</t>
        </is>
      </c>
      <c r="K366" t="inlineStr">
        <is>
          <t>N</t>
        </is>
      </c>
      <c r="L366" t="inlineStr">
        <is>
          <t>N</t>
        </is>
      </c>
      <c r="M366" t="n">
        <v>2</v>
      </c>
      <c r="N366" t="n">
        <v>2</v>
      </c>
      <c r="O366" t="n">
        <v>2</v>
      </c>
      <c r="P366" t="n">
        <v>1</v>
      </c>
      <c r="Q366" t="n">
        <v>3</v>
      </c>
      <c r="R366">
        <f>IFERROR(XLOOKUP(XLOOKUP(D366,tblReleaseChanges[Change_ID],tblReleaseChanges[Oracle_Severity],""),tblSeverityMap[Severity_Text],tblSeverityMap[Score],0),0)</f>
        <v/>
      </c>
      <c r="S366" t="n">
        <v>1</v>
      </c>
      <c r="T366">
        <f>ROUND((M366*0.25)+(N366*0.20)+(O366*0.15)+(P366*0.15)+(Q366*0.10)+(R366*0.10)+(S366*0.05),2)</f>
        <v/>
      </c>
      <c r="U366">
        <f>IF(T366&gt;=4.25,"Critical",IF(T366&gt;=3.5,"High",IF(T366&gt;=2,"Medium","Low")))</f>
        <v/>
      </c>
      <c r="V366" t="inlineStr">
        <is>
          <t>Pending Review</t>
        </is>
      </c>
      <c r="W366" t="inlineStr"/>
      <c r="X366" t="inlineStr"/>
      <c r="Y366" t="inlineStr">
        <is>
          <t>Action type: Steps to Enable. You need to configure the profile options as indicated in the following table. Profile Option Code | Description | ORA_HCM_VBCS_PWA_E</t>
        </is>
      </c>
      <c r="Z366" t="inlineStr">
        <is>
          <t>N</t>
        </is>
      </c>
      <c r="AA366" t="inlineStr">
        <is>
          <t>N</t>
        </is>
      </c>
    </row>
    <row r="367">
      <c r="A367" t="inlineStr">
        <is>
          <t>ASMT_IMP_0342</t>
        </is>
      </c>
      <c r="B367" t="inlineStr">
        <is>
          <t>CLT_DFL001</t>
        </is>
      </c>
      <c r="C367" t="inlineStr">
        <is>
          <t>REL_26C</t>
        </is>
      </c>
      <c r="D367" t="inlineStr">
        <is>
          <t>CHG_IMP_0342</t>
        </is>
      </c>
      <c r="E367" t="inlineStr">
        <is>
          <t>AI Feature</t>
        </is>
      </c>
      <c r="F367" t="inlineStr">
        <is>
          <t>Configuration</t>
        </is>
      </c>
      <c r="G367" t="inlineStr"/>
      <c r="H367" t="inlineStr">
        <is>
          <t>DFL Talent Management impacted by Oracle 26C change</t>
        </is>
      </c>
      <c r="I367" t="inlineStr">
        <is>
          <t>Y</t>
        </is>
      </c>
      <c r="J367" t="inlineStr">
        <is>
          <t>N</t>
        </is>
      </c>
      <c r="K367" t="inlineStr">
        <is>
          <t>N</t>
        </is>
      </c>
      <c r="L367" t="inlineStr">
        <is>
          <t>N</t>
        </is>
      </c>
      <c r="M367" t="n">
        <v>2</v>
      </c>
      <c r="N367" t="n">
        <v>2</v>
      </c>
      <c r="O367" t="n">
        <v>2</v>
      </c>
      <c r="P367" t="n">
        <v>3</v>
      </c>
      <c r="Q367" t="n">
        <v>3</v>
      </c>
      <c r="R367">
        <f>IFERROR(XLOOKUP(XLOOKUP(D367,tblReleaseChanges[Change_ID],tblReleaseChanges[Oracle_Severity],""),tblSeverityMap[Severity_Text],tblSeverityMap[Score],0),0)</f>
        <v/>
      </c>
      <c r="S367" t="n">
        <v>1</v>
      </c>
      <c r="T367">
        <f>ROUND((M367*0.25)+(N367*0.20)+(O367*0.15)+(P367*0.15)+(Q367*0.10)+(R367*0.10)+(S367*0.05),2)</f>
        <v/>
      </c>
      <c r="U367">
        <f>IF(T367&gt;=4.25,"Critical",IF(T367&gt;=3.5,"High",IF(T367&gt;=2,"Medium","Low")))</f>
        <v/>
      </c>
      <c r="V367" t="inlineStr">
        <is>
          <t>Pending Review</t>
        </is>
      </c>
      <c r="W367" t="inlineStr"/>
      <c r="X367" t="inlineStr"/>
      <c r="Y367" t="inlineStr">
        <is>
          <t>Action type: Steps to Enable. Your environment must have certain necessary configurations. Ask your help desk to contact Oracle Support, who can verify what your environment has and address any gaps.</t>
        </is>
      </c>
      <c r="Z367" t="inlineStr">
        <is>
          <t>N</t>
        </is>
      </c>
      <c r="AA367" t="inlineStr">
        <is>
          <t>N</t>
        </is>
      </c>
    </row>
    <row r="368">
      <c r="A368" t="inlineStr">
        <is>
          <t>ASMT_IMP_0343</t>
        </is>
      </c>
      <c r="B368" t="inlineStr">
        <is>
          <t>CLT_DFL001</t>
        </is>
      </c>
      <c r="C368" t="inlineStr">
        <is>
          <t>REL_26C</t>
        </is>
      </c>
      <c r="D368" t="inlineStr">
        <is>
          <t>CHG_IMP_0343</t>
        </is>
      </c>
      <c r="E368" t="inlineStr">
        <is>
          <t>Functional</t>
        </is>
      </c>
      <c r="F368" t="inlineStr">
        <is>
          <t>Configuration</t>
        </is>
      </c>
      <c r="G368" t="inlineStr"/>
      <c r="H368" t="inlineStr">
        <is>
          <t>DFL Talent Management impacted by Oracle 26C change</t>
        </is>
      </c>
      <c r="I368" t="inlineStr">
        <is>
          <t>Y</t>
        </is>
      </c>
      <c r="J368" t="inlineStr">
        <is>
          <t>N</t>
        </is>
      </c>
      <c r="K368" t="inlineStr">
        <is>
          <t>N</t>
        </is>
      </c>
      <c r="L368" t="inlineStr">
        <is>
          <t>N</t>
        </is>
      </c>
      <c r="M368" t="n">
        <v>2</v>
      </c>
      <c r="N368" t="n">
        <v>2</v>
      </c>
      <c r="O368" t="n">
        <v>2</v>
      </c>
      <c r="P368" t="n">
        <v>1</v>
      </c>
      <c r="Q368" t="n">
        <v>3</v>
      </c>
      <c r="R368">
        <f>IFERROR(XLOOKUP(XLOOKUP(D368,tblReleaseChanges[Change_ID],tblReleaseChanges[Oracle_Severity],""),tblSeverityMap[Severity_Text],tblSeverityMap[Score],0),0)</f>
        <v/>
      </c>
      <c r="S368" t="n">
        <v>1</v>
      </c>
      <c r="T368">
        <f>ROUND((M368*0.25)+(N368*0.20)+(O368*0.15)+(P368*0.15)+(Q368*0.10)+(R368*0.10)+(S368*0.05),2)</f>
        <v/>
      </c>
      <c r="U368">
        <f>IF(T368&gt;=4.25,"Critical",IF(T368&gt;=3.5,"High",IF(T368&gt;=2,"Medium","Low")))</f>
        <v/>
      </c>
      <c r="V368" t="inlineStr">
        <is>
          <t>Pending Review</t>
        </is>
      </c>
      <c r="W368" t="inlineStr"/>
      <c r="X368" t="inlineStr"/>
      <c r="Y368" t="inlineStr">
        <is>
          <t>Auto-enabled — no action required</t>
        </is>
      </c>
      <c r="Z368" t="inlineStr">
        <is>
          <t>N</t>
        </is>
      </c>
      <c r="AA368" t="inlineStr">
        <is>
          <t>N</t>
        </is>
      </c>
    </row>
    <row r="369">
      <c r="A369" t="inlineStr">
        <is>
          <t>ASMT_IMP_0344</t>
        </is>
      </c>
      <c r="B369" t="inlineStr">
        <is>
          <t>CLT_DFL001</t>
        </is>
      </c>
      <c r="C369" t="inlineStr">
        <is>
          <t>REL_26C</t>
        </is>
      </c>
      <c r="D369" t="inlineStr">
        <is>
          <t>CHG_IMP_0344</t>
        </is>
      </c>
      <c r="E369" t="inlineStr">
        <is>
          <t>Functional</t>
        </is>
      </c>
      <c r="F369" t="inlineStr">
        <is>
          <t>Configuration</t>
        </is>
      </c>
      <c r="G369" t="inlineStr"/>
      <c r="H369" t="inlineStr">
        <is>
          <t>DFL Talent Management impacted by Oracle 26C change</t>
        </is>
      </c>
      <c r="I369" t="inlineStr">
        <is>
          <t>Y</t>
        </is>
      </c>
      <c r="J369" t="inlineStr">
        <is>
          <t>N</t>
        </is>
      </c>
      <c r="K369" t="inlineStr">
        <is>
          <t>N</t>
        </is>
      </c>
      <c r="L369" t="inlineStr">
        <is>
          <t>N</t>
        </is>
      </c>
      <c r="M369" t="n">
        <v>2</v>
      </c>
      <c r="N369" t="n">
        <v>2</v>
      </c>
      <c r="O369" t="n">
        <v>2</v>
      </c>
      <c r="P369" t="n">
        <v>1</v>
      </c>
      <c r="Q369" t="n">
        <v>3</v>
      </c>
      <c r="R369">
        <f>IFERROR(XLOOKUP(XLOOKUP(D369,tblReleaseChanges[Change_ID],tblReleaseChanges[Oracle_Severity],""),tblSeverityMap[Severity_Text],tblSeverityMap[Score],0),0)</f>
        <v/>
      </c>
      <c r="S369" t="n">
        <v>1</v>
      </c>
      <c r="T369">
        <f>ROUND((M369*0.25)+(N369*0.20)+(O369*0.15)+(P369*0.15)+(Q369*0.10)+(R369*0.10)+(S369*0.05),2)</f>
        <v/>
      </c>
      <c r="U369">
        <f>IF(T369&gt;=4.25,"Critical",IF(T369&gt;=3.5,"High",IF(T369&gt;=2,"Medium","Low")))</f>
        <v/>
      </c>
      <c r="V369" t="inlineStr">
        <is>
          <t>Pending Review</t>
        </is>
      </c>
      <c r="W369" t="inlineStr"/>
      <c r="X369" t="inlineStr"/>
      <c r="Y369" t="inlineStr">
        <is>
          <t>Action type: Steps to Enable. For details on page properties, see How Can I Show Job and Position Profile Descriptions on the Career Role and Know Your Role P</t>
        </is>
      </c>
      <c r="Z369" t="inlineStr">
        <is>
          <t>N</t>
        </is>
      </c>
      <c r="AA369" t="inlineStr">
        <is>
          <t>N</t>
        </is>
      </c>
    </row>
    <row r="370">
      <c r="A370" t="inlineStr">
        <is>
          <t>ASMT_IMP_0345</t>
        </is>
      </c>
      <c r="B370" t="inlineStr">
        <is>
          <t>CLT_DFL001</t>
        </is>
      </c>
      <c r="C370" t="inlineStr">
        <is>
          <t>REL_26C</t>
        </is>
      </c>
      <c r="D370" t="inlineStr">
        <is>
          <t>CHG_IMP_0345</t>
        </is>
      </c>
      <c r="E370" t="inlineStr">
        <is>
          <t>Functional</t>
        </is>
      </c>
      <c r="F370" t="inlineStr">
        <is>
          <t>Configuration</t>
        </is>
      </c>
      <c r="G370" t="inlineStr"/>
      <c r="H370" t="inlineStr">
        <is>
          <t>DFL Talent Management impacted by Oracle 26C change</t>
        </is>
      </c>
      <c r="I370" t="inlineStr">
        <is>
          <t>Y</t>
        </is>
      </c>
      <c r="J370" t="inlineStr">
        <is>
          <t>N</t>
        </is>
      </c>
      <c r="K370" t="inlineStr">
        <is>
          <t>N</t>
        </is>
      </c>
      <c r="L370" t="inlineStr">
        <is>
          <t>N</t>
        </is>
      </c>
      <c r="M370" t="n">
        <v>2</v>
      </c>
      <c r="N370" t="n">
        <v>2</v>
      </c>
      <c r="O370" t="n">
        <v>2</v>
      </c>
      <c r="P370" t="n">
        <v>1</v>
      </c>
      <c r="Q370" t="n">
        <v>3</v>
      </c>
      <c r="R370">
        <f>IFERROR(XLOOKUP(XLOOKUP(D370,tblReleaseChanges[Change_ID],tblReleaseChanges[Oracle_Severity],""),tblSeverityMap[Severity_Text],tblSeverityMap[Score],0),0)</f>
        <v/>
      </c>
      <c r="S370" t="n">
        <v>1</v>
      </c>
      <c r="T370">
        <f>ROUND((M370*0.25)+(N370*0.20)+(O370*0.15)+(P370*0.15)+(Q370*0.10)+(R370*0.10)+(S370*0.05),2)</f>
        <v/>
      </c>
      <c r="U370">
        <f>IF(T370&gt;=4.25,"Critical",IF(T370&gt;=3.5,"High",IF(T370&gt;=2,"Medium","Low")))</f>
        <v/>
      </c>
      <c r="V370" t="inlineStr">
        <is>
          <t>Pending Review</t>
        </is>
      </c>
      <c r="W370" t="inlineStr"/>
      <c r="X370" t="inlineStr"/>
      <c r="Y370" t="inlineStr">
        <is>
          <t>Action type: Steps to Enable. To view the Redwood Succession Planning pages, you need to enable the profile options listed in this table. Profile Option Co</t>
        </is>
      </c>
      <c r="Z370" t="inlineStr">
        <is>
          <t>N</t>
        </is>
      </c>
      <c r="AA370" t="inlineStr">
        <is>
          <t>N</t>
        </is>
      </c>
    </row>
    <row r="371">
      <c r="A371" t="inlineStr">
        <is>
          <t>ASMT_IMP_0346</t>
        </is>
      </c>
      <c r="B371" t="inlineStr">
        <is>
          <t>CLT_DFL001</t>
        </is>
      </c>
      <c r="C371" t="inlineStr">
        <is>
          <t>REL_26C</t>
        </is>
      </c>
      <c r="D371" t="inlineStr">
        <is>
          <t>CHG_IMP_0346</t>
        </is>
      </c>
      <c r="E371" t="inlineStr">
        <is>
          <t>Functional</t>
        </is>
      </c>
      <c r="F371" t="inlineStr">
        <is>
          <t>Configuration</t>
        </is>
      </c>
      <c r="G371" t="inlineStr"/>
      <c r="H371" t="inlineStr">
        <is>
          <t>DFL Talent Management impacted by Oracle 26C change</t>
        </is>
      </c>
      <c r="I371" t="inlineStr">
        <is>
          <t>Y</t>
        </is>
      </c>
      <c r="J371" t="inlineStr">
        <is>
          <t>N</t>
        </is>
      </c>
      <c r="K371" t="inlineStr">
        <is>
          <t>N</t>
        </is>
      </c>
      <c r="L371" t="inlineStr">
        <is>
          <t>N</t>
        </is>
      </c>
      <c r="M371" t="n">
        <v>2</v>
      </c>
      <c r="N371" t="n">
        <v>2</v>
      </c>
      <c r="O371" t="n">
        <v>2</v>
      </c>
      <c r="P371" t="n">
        <v>1</v>
      </c>
      <c r="Q371" t="n">
        <v>3</v>
      </c>
      <c r="R371">
        <f>IFERROR(XLOOKUP(XLOOKUP(D371,tblReleaseChanges[Change_ID],tblReleaseChanges[Oracle_Severity],""),tblSeverityMap[Severity_Text],tblSeverityMap[Score],0),0)</f>
        <v/>
      </c>
      <c r="S371" t="n">
        <v>1</v>
      </c>
      <c r="T371">
        <f>ROUND((M371*0.25)+(N371*0.20)+(O371*0.15)+(P371*0.15)+(Q371*0.10)+(R371*0.10)+(S371*0.05),2)</f>
        <v/>
      </c>
      <c r="U371">
        <f>IF(T371&gt;=4.25,"Critical",IF(T371&gt;=3.5,"High",IF(T371&gt;=2,"Medium","Low")))</f>
        <v/>
      </c>
      <c r="V371" t="inlineStr">
        <is>
          <t>Pending Review</t>
        </is>
      </c>
      <c r="W371" t="inlineStr"/>
      <c r="X371" t="inlineStr"/>
      <c r="Y371" t="inlineStr">
        <is>
          <t xml:space="preserve">Action type: Steps to Enable. Your environment must have certain necessary configurations. Ask your help desk to contact Oracle Support, who can verify what your environment has and address any </t>
        </is>
      </c>
      <c r="Z371" t="inlineStr">
        <is>
          <t>N</t>
        </is>
      </c>
      <c r="AA371" t="inlineStr">
        <is>
          <t>N</t>
        </is>
      </c>
    </row>
    <row r="372">
      <c r="A372" t="inlineStr">
        <is>
          <t>ASMT_IMP_0347</t>
        </is>
      </c>
      <c r="B372" t="inlineStr">
        <is>
          <t>CLT_DFL001</t>
        </is>
      </c>
      <c r="C372" t="inlineStr">
        <is>
          <t>REL_26C</t>
        </is>
      </c>
      <c r="D372" t="inlineStr">
        <is>
          <t>CHG_IMP_0347</t>
        </is>
      </c>
      <c r="E372" t="inlineStr">
        <is>
          <t>Functional</t>
        </is>
      </c>
      <c r="F372" t="inlineStr">
        <is>
          <t>Configuration</t>
        </is>
      </c>
      <c r="G372" t="inlineStr"/>
      <c r="H372" t="inlineStr">
        <is>
          <t>DFL Talent Management impacted by Oracle 26C change</t>
        </is>
      </c>
      <c r="I372" t="inlineStr">
        <is>
          <t>Y</t>
        </is>
      </c>
      <c r="J372" t="inlineStr">
        <is>
          <t>N</t>
        </is>
      </c>
      <c r="K372" t="inlineStr">
        <is>
          <t>N</t>
        </is>
      </c>
      <c r="L372" t="inlineStr">
        <is>
          <t>N</t>
        </is>
      </c>
      <c r="M372" t="n">
        <v>2</v>
      </c>
      <c r="N372" t="n">
        <v>2</v>
      </c>
      <c r="O372" t="n">
        <v>2</v>
      </c>
      <c r="P372" t="n">
        <v>1</v>
      </c>
      <c r="Q372" t="n">
        <v>3</v>
      </c>
      <c r="R372">
        <f>IFERROR(XLOOKUP(XLOOKUP(D372,tblReleaseChanges[Change_ID],tblReleaseChanges[Oracle_Severity],""),tblSeverityMap[Severity_Text],tblSeverityMap[Score],0),0)</f>
        <v/>
      </c>
      <c r="S372" t="n">
        <v>1</v>
      </c>
      <c r="T372">
        <f>ROUND((M372*0.25)+(N372*0.20)+(O372*0.15)+(P372*0.15)+(Q372*0.10)+(R372*0.10)+(S372*0.05),2)</f>
        <v/>
      </c>
      <c r="U372">
        <f>IF(T372&gt;=4.25,"Critical",IF(T372&gt;=3.5,"High",IF(T372&gt;=2,"Medium","Low")))</f>
        <v/>
      </c>
      <c r="V372" t="inlineStr">
        <is>
          <t>Pending Review</t>
        </is>
      </c>
      <c r="W372" t="inlineStr"/>
      <c r="X372" t="inlineStr"/>
      <c r="Y372" t="inlineStr">
        <is>
          <t>Action type: Steps to Enable. You need to configure the profile options for Redwood performance documents as indicated in the following table. Profile Option Co</t>
        </is>
      </c>
      <c r="Z372" t="inlineStr">
        <is>
          <t>N</t>
        </is>
      </c>
      <c r="AA372" t="inlineStr">
        <is>
          <t>N</t>
        </is>
      </c>
    </row>
    <row r="373">
      <c r="A373" t="inlineStr">
        <is>
          <t>ASMT_IMP_0348</t>
        </is>
      </c>
      <c r="B373" t="inlineStr">
        <is>
          <t>CLT_DFL001</t>
        </is>
      </c>
      <c r="C373" t="inlineStr">
        <is>
          <t>REL_26C</t>
        </is>
      </c>
      <c r="D373" t="inlineStr">
        <is>
          <t>CHG_IMP_0348</t>
        </is>
      </c>
      <c r="E373" t="inlineStr">
        <is>
          <t>Functional</t>
        </is>
      </c>
      <c r="F373" t="inlineStr">
        <is>
          <t>Configuration</t>
        </is>
      </c>
      <c r="G373" t="inlineStr"/>
      <c r="H373" t="inlineStr">
        <is>
          <t>DFL Talent Management impacted by Oracle 26C change</t>
        </is>
      </c>
      <c r="I373" t="inlineStr">
        <is>
          <t>Y</t>
        </is>
      </c>
      <c r="J373" t="inlineStr">
        <is>
          <t>N</t>
        </is>
      </c>
      <c r="K373" t="inlineStr">
        <is>
          <t>N</t>
        </is>
      </c>
      <c r="L373" t="inlineStr">
        <is>
          <t>N</t>
        </is>
      </c>
      <c r="M373" t="n">
        <v>2</v>
      </c>
      <c r="N373" t="n">
        <v>2</v>
      </c>
      <c r="O373" t="n">
        <v>2</v>
      </c>
      <c r="P373" t="n">
        <v>1</v>
      </c>
      <c r="Q373" t="n">
        <v>3</v>
      </c>
      <c r="R373">
        <f>IFERROR(XLOOKUP(XLOOKUP(D373,tblReleaseChanges[Change_ID],tblReleaseChanges[Oracle_Severity],""),tblSeverityMap[Severity_Text],tblSeverityMap[Score],0),0)</f>
        <v/>
      </c>
      <c r="S373" t="n">
        <v>1</v>
      </c>
      <c r="T373">
        <f>ROUND((M373*0.25)+(N373*0.20)+(O373*0.15)+(P373*0.15)+(Q373*0.10)+(R373*0.10)+(S373*0.05),2)</f>
        <v/>
      </c>
      <c r="U373">
        <f>IF(T373&gt;=4.25,"Critical",IF(T373&gt;=3.5,"High",IF(T373&gt;=2,"Medium","Low")))</f>
        <v/>
      </c>
      <c r="V373" t="inlineStr">
        <is>
          <t>Pending Review</t>
        </is>
      </c>
      <c r="W373" t="inlineStr"/>
      <c r="X373" t="inlineStr"/>
      <c r="Y373" t="inlineStr">
        <is>
          <t>Auto-enabled — no action required</t>
        </is>
      </c>
      <c r="Z373" t="inlineStr">
        <is>
          <t>N</t>
        </is>
      </c>
      <c r="AA373" t="inlineStr">
        <is>
          <t>N</t>
        </is>
      </c>
    </row>
    <row r="374">
      <c r="A374" t="inlineStr">
        <is>
          <t>ASMT_IMP_0349</t>
        </is>
      </c>
      <c r="B374" t="inlineStr">
        <is>
          <t>CLT_DFL001</t>
        </is>
      </c>
      <c r="C374" t="inlineStr">
        <is>
          <t>REL_26C</t>
        </is>
      </c>
      <c r="D374" t="inlineStr">
        <is>
          <t>CHG_IMP_0349</t>
        </is>
      </c>
      <c r="E374" t="inlineStr">
        <is>
          <t>AI Feature</t>
        </is>
      </c>
      <c r="F374" t="inlineStr">
        <is>
          <t>Configuration</t>
        </is>
      </c>
      <c r="G374" t="inlineStr"/>
      <c r="H374" t="inlineStr">
        <is>
          <t>DFL Talent Management impacted by Oracle 26C change</t>
        </is>
      </c>
      <c r="I374" t="inlineStr">
        <is>
          <t>Y</t>
        </is>
      </c>
      <c r="J374" t="inlineStr">
        <is>
          <t>N</t>
        </is>
      </c>
      <c r="K374" t="inlineStr">
        <is>
          <t>N</t>
        </is>
      </c>
      <c r="L374" t="inlineStr">
        <is>
          <t>N</t>
        </is>
      </c>
      <c r="M374" t="n">
        <v>2</v>
      </c>
      <c r="N374" t="n">
        <v>2</v>
      </c>
      <c r="O374" t="n">
        <v>2</v>
      </c>
      <c r="P374" t="n">
        <v>3</v>
      </c>
      <c r="Q374" t="n">
        <v>3</v>
      </c>
      <c r="R374">
        <f>IFERROR(XLOOKUP(XLOOKUP(D374,tblReleaseChanges[Change_ID],tblReleaseChanges[Oracle_Severity],""),tblSeverityMap[Severity_Text],tblSeverityMap[Score],0),0)</f>
        <v/>
      </c>
      <c r="S374" t="n">
        <v>1</v>
      </c>
      <c r="T374">
        <f>ROUND((M374*0.25)+(N374*0.20)+(O374*0.15)+(P374*0.15)+(Q374*0.10)+(R374*0.10)+(S374*0.05),2)</f>
        <v/>
      </c>
      <c r="U374">
        <f>IF(T374&gt;=4.25,"Critical",IF(T374&gt;=3.5,"High",IF(T374&gt;=2,"Medium","Low")))</f>
        <v/>
      </c>
      <c r="V374" t="inlineStr">
        <is>
          <t>Pending Review</t>
        </is>
      </c>
      <c r="W374" t="inlineStr"/>
      <c r="X374" t="inlineStr"/>
      <c r="Y374" t="inlineStr">
        <is>
          <t>Action type: Steps to Enable. To view the Redwood redesigned Talent Review meeting pages, you need to enable the profile options indicated in the table. Profile Option Code | Prof</t>
        </is>
      </c>
      <c r="Z374" t="inlineStr">
        <is>
          <t>N</t>
        </is>
      </c>
      <c r="AA374" t="inlineStr">
        <is>
          <t>N</t>
        </is>
      </c>
    </row>
    <row r="375">
      <c r="A375" t="inlineStr">
        <is>
          <t>ASMT_IMP_0350</t>
        </is>
      </c>
      <c r="B375" t="inlineStr">
        <is>
          <t>CLT_DFL001</t>
        </is>
      </c>
      <c r="C375" t="inlineStr">
        <is>
          <t>REL_26C</t>
        </is>
      </c>
      <c r="D375" t="inlineStr">
        <is>
          <t>CHG_IMP_0350</t>
        </is>
      </c>
      <c r="E375" t="inlineStr">
        <is>
          <t>Functional</t>
        </is>
      </c>
      <c r="F375" t="inlineStr">
        <is>
          <t>Configuration</t>
        </is>
      </c>
      <c r="G375" t="inlineStr"/>
      <c r="H375" t="inlineStr">
        <is>
          <t>DFL Talent Management impacted by Oracle 26C change</t>
        </is>
      </c>
      <c r="I375" t="inlineStr">
        <is>
          <t>Y</t>
        </is>
      </c>
      <c r="J375" t="inlineStr">
        <is>
          <t>N</t>
        </is>
      </c>
      <c r="K375" t="inlineStr">
        <is>
          <t>N</t>
        </is>
      </c>
      <c r="L375" t="inlineStr">
        <is>
          <t>N</t>
        </is>
      </c>
      <c r="M375" t="n">
        <v>2</v>
      </c>
      <c r="N375" t="n">
        <v>2</v>
      </c>
      <c r="O375" t="n">
        <v>2</v>
      </c>
      <c r="P375" t="n">
        <v>1</v>
      </c>
      <c r="Q375" t="n">
        <v>3</v>
      </c>
      <c r="R375">
        <f>IFERROR(XLOOKUP(XLOOKUP(D375,tblReleaseChanges[Change_ID],tblReleaseChanges[Oracle_Severity],""),tblSeverityMap[Severity_Text],tblSeverityMap[Score],0),0)</f>
        <v/>
      </c>
      <c r="S375" t="n">
        <v>1</v>
      </c>
      <c r="T375">
        <f>ROUND((M375*0.25)+(N375*0.20)+(O375*0.15)+(P375*0.15)+(Q375*0.10)+(R375*0.10)+(S375*0.05),2)</f>
        <v/>
      </c>
      <c r="U375">
        <f>IF(T375&gt;=4.25,"Critical",IF(T375&gt;=3.5,"High",IF(T375&gt;=2,"Medium","Low")))</f>
        <v/>
      </c>
      <c r="V375" t="inlineStr">
        <is>
          <t>Pending Review</t>
        </is>
      </c>
      <c r="W375" t="inlineStr"/>
      <c r="X375" t="inlineStr"/>
      <c r="Y375" t="inlineStr">
        <is>
          <t>Action type: Steps to Enable. You can configure the following page properties as indicated in the following table for Redwood performance documents. P</t>
        </is>
      </c>
      <c r="Z375" t="inlineStr">
        <is>
          <t>N</t>
        </is>
      </c>
      <c r="AA375" t="inlineStr">
        <is>
          <t>N</t>
        </is>
      </c>
    </row>
    <row r="376">
      <c r="A376" t="inlineStr">
        <is>
          <t>ASMT_IMP_0351</t>
        </is>
      </c>
      <c r="B376" t="inlineStr">
        <is>
          <t>CLT_DFL001</t>
        </is>
      </c>
      <c r="C376" t="inlineStr">
        <is>
          <t>REL_26C</t>
        </is>
      </c>
      <c r="D376" t="inlineStr">
        <is>
          <t>CHG_IMP_0351</t>
        </is>
      </c>
      <c r="E376" t="inlineStr">
        <is>
          <t>Functional</t>
        </is>
      </c>
      <c r="F376" t="inlineStr">
        <is>
          <t>Configuration</t>
        </is>
      </c>
      <c r="G376" t="inlineStr"/>
      <c r="H376" t="inlineStr">
        <is>
          <t>DFL Talent Management impacted by Oracle 26C change</t>
        </is>
      </c>
      <c r="I376" t="inlineStr">
        <is>
          <t>Y</t>
        </is>
      </c>
      <c r="J376" t="inlineStr">
        <is>
          <t>N</t>
        </is>
      </c>
      <c r="K376" t="inlineStr">
        <is>
          <t>N</t>
        </is>
      </c>
      <c r="L376" t="inlineStr">
        <is>
          <t>N</t>
        </is>
      </c>
      <c r="M376" t="n">
        <v>2</v>
      </c>
      <c r="N376" t="n">
        <v>2</v>
      </c>
      <c r="O376" t="n">
        <v>2</v>
      </c>
      <c r="P376" t="n">
        <v>1</v>
      </c>
      <c r="Q376" t="n">
        <v>3</v>
      </c>
      <c r="R376">
        <f>IFERROR(XLOOKUP(XLOOKUP(D376,tblReleaseChanges[Change_ID],tblReleaseChanges[Oracle_Severity],""),tblSeverityMap[Severity_Text],tblSeverityMap[Score],0),0)</f>
        <v/>
      </c>
      <c r="S376" t="n">
        <v>1</v>
      </c>
      <c r="T376">
        <f>ROUND((M376*0.25)+(N376*0.20)+(O376*0.15)+(P376*0.15)+(Q376*0.10)+(R376*0.10)+(S376*0.05),2)</f>
        <v/>
      </c>
      <c r="U376">
        <f>IF(T376&gt;=4.25,"Critical",IF(T376&gt;=3.5,"High",IF(T376&gt;=2,"Medium","Low")))</f>
        <v/>
      </c>
      <c r="V376" t="inlineStr">
        <is>
          <t>Pending Review</t>
        </is>
      </c>
      <c r="W376" t="inlineStr"/>
      <c r="X376" t="inlineStr"/>
      <c r="Y376" t="inlineStr">
        <is>
          <t>Action type: Steps to Enable. Your environment must have certain necessary configurations. Ask your help desk to contact Oracle Support, who can verify what your environment has and address an</t>
        </is>
      </c>
      <c r="Z376" t="inlineStr">
        <is>
          <t>N</t>
        </is>
      </c>
      <c r="AA376" t="inlineStr">
        <is>
          <t>N</t>
        </is>
      </c>
    </row>
    <row r="377">
      <c r="A377" t="inlineStr">
        <is>
          <t>ASMT_IMP_0352</t>
        </is>
      </c>
      <c r="B377" t="inlineStr">
        <is>
          <t>CLT_DFL001</t>
        </is>
      </c>
      <c r="C377" t="inlineStr">
        <is>
          <t>REL_26C</t>
        </is>
      </c>
      <c r="D377" t="inlineStr">
        <is>
          <t>CHG_IMP_0352</t>
        </is>
      </c>
      <c r="E377" t="inlineStr">
        <is>
          <t>Functional</t>
        </is>
      </c>
      <c r="F377" t="inlineStr">
        <is>
          <t>Configuration</t>
        </is>
      </c>
      <c r="G377" t="inlineStr"/>
      <c r="H377" t="inlineStr">
        <is>
          <t>DFL Time and Labor impacted by Oracle 26C change</t>
        </is>
      </c>
      <c r="I377" t="inlineStr">
        <is>
          <t>Y</t>
        </is>
      </c>
      <c r="J377" t="inlineStr">
        <is>
          <t>N</t>
        </is>
      </c>
      <c r="K377" t="inlineStr">
        <is>
          <t>N</t>
        </is>
      </c>
      <c r="L377" t="inlineStr">
        <is>
          <t>N</t>
        </is>
      </c>
      <c r="M377" t="n">
        <v>4</v>
      </c>
      <c r="N377" t="n">
        <v>2</v>
      </c>
      <c r="O377" t="n">
        <v>2</v>
      </c>
      <c r="P377" t="n">
        <v>1</v>
      </c>
      <c r="Q377" t="n">
        <v>3</v>
      </c>
      <c r="R377">
        <f>IFERROR(XLOOKUP(XLOOKUP(D377,tblReleaseChanges[Change_ID],tblReleaseChanges[Oracle_Severity],""),tblSeverityMap[Severity_Text],tblSeverityMap[Score],0),0)</f>
        <v/>
      </c>
      <c r="S377" t="n">
        <v>3</v>
      </c>
      <c r="T377">
        <f>ROUND((M377*0.25)+(N377*0.20)+(O377*0.15)+(P377*0.15)+(Q377*0.10)+(R377*0.10)+(S377*0.05),2)</f>
        <v/>
      </c>
      <c r="U377">
        <f>IF(T377&gt;=4.25,"Critical",IF(T377&gt;=3.5,"High",IF(T377&gt;=2,"Medium","Low")))</f>
        <v/>
      </c>
      <c r="V377" t="inlineStr">
        <is>
          <t>Pending Review</t>
        </is>
      </c>
      <c r="W377" t="inlineStr"/>
      <c r="X377" t="inlineStr"/>
      <c r="Y377" t="inlineStr">
        <is>
          <t>Action type: Steps to Enable. None</t>
        </is>
      </c>
      <c r="Z377" t="inlineStr">
        <is>
          <t>Y</t>
        </is>
      </c>
      <c r="AA377" t="inlineStr">
        <is>
          <t>Y</t>
        </is>
      </c>
    </row>
    <row r="378">
      <c r="A378" t="inlineStr">
        <is>
          <t>ASMT_IMP_0353</t>
        </is>
      </c>
      <c r="B378" t="inlineStr">
        <is>
          <t>CLT_DFL001</t>
        </is>
      </c>
      <c r="C378" t="inlineStr">
        <is>
          <t>REL_26C</t>
        </is>
      </c>
      <c r="D378" t="inlineStr">
        <is>
          <t>CHG_IMP_0353</t>
        </is>
      </c>
      <c r="E378" t="inlineStr">
        <is>
          <t>Functional</t>
        </is>
      </c>
      <c r="F378" t="inlineStr">
        <is>
          <t>Configuration</t>
        </is>
      </c>
      <c r="G378" t="inlineStr"/>
      <c r="H378" t="inlineStr">
        <is>
          <t>DFL Time and Labor impacted by Oracle 26C change</t>
        </is>
      </c>
      <c r="I378" t="inlineStr">
        <is>
          <t>Y</t>
        </is>
      </c>
      <c r="J378" t="inlineStr">
        <is>
          <t>N</t>
        </is>
      </c>
      <c r="K378" t="inlineStr">
        <is>
          <t>N</t>
        </is>
      </c>
      <c r="L378" t="inlineStr">
        <is>
          <t>N</t>
        </is>
      </c>
      <c r="M378" t="n">
        <v>4</v>
      </c>
      <c r="N378" t="n">
        <v>2</v>
      </c>
      <c r="O378" t="n">
        <v>2</v>
      </c>
      <c r="P378" t="n">
        <v>1</v>
      </c>
      <c r="Q378" t="n">
        <v>3</v>
      </c>
      <c r="R378">
        <f>IFERROR(XLOOKUP(XLOOKUP(D378,tblReleaseChanges[Change_ID],tblReleaseChanges[Oracle_Severity],""),tblSeverityMap[Severity_Text],tblSeverityMap[Score],0),0)</f>
        <v/>
      </c>
      <c r="S378" t="n">
        <v>3</v>
      </c>
      <c r="T378">
        <f>ROUND((M378*0.25)+(N378*0.20)+(O378*0.15)+(P378*0.15)+(Q378*0.10)+(R378*0.10)+(S378*0.05),2)</f>
        <v/>
      </c>
      <c r="U378">
        <f>IF(T378&gt;=4.25,"Critical",IF(T378&gt;=3.5,"High",IF(T378&gt;=2,"Medium","Low")))</f>
        <v/>
      </c>
      <c r="V378" t="inlineStr">
        <is>
          <t>Pending Review</t>
        </is>
      </c>
      <c r="W378" t="inlineStr"/>
      <c r="X378" t="inlineStr"/>
      <c r="Y378" t="inlineStr">
        <is>
          <t>Action type: Steps to Enable. • Set the ORA_HXT_ENABLE_TIME_PROFILE administrator profile option to “Yes”. The delivered default is “No”. • Confirm that administrators have the required Time and Labor</t>
        </is>
      </c>
      <c r="Z378" t="inlineStr">
        <is>
          <t>Y</t>
        </is>
      </c>
      <c r="AA378" t="inlineStr">
        <is>
          <t>Y</t>
        </is>
      </c>
    </row>
    <row r="379">
      <c r="A379" t="inlineStr">
        <is>
          <t>ASMT_IMP_0354</t>
        </is>
      </c>
      <c r="B379" t="inlineStr">
        <is>
          <t>CLT_DFL001</t>
        </is>
      </c>
      <c r="C379" t="inlineStr">
        <is>
          <t>REL_26C</t>
        </is>
      </c>
      <c r="D379" t="inlineStr">
        <is>
          <t>CHG_IMP_0354</t>
        </is>
      </c>
      <c r="E379" t="inlineStr">
        <is>
          <t>Functional</t>
        </is>
      </c>
      <c r="F379" t="inlineStr">
        <is>
          <t>Configuration</t>
        </is>
      </c>
      <c r="G379" t="inlineStr"/>
      <c r="H379" t="inlineStr">
        <is>
          <t>DFL Time and Labor impacted by Oracle 26C change</t>
        </is>
      </c>
      <c r="I379" t="inlineStr">
        <is>
          <t>Y</t>
        </is>
      </c>
      <c r="J379" t="inlineStr">
        <is>
          <t>N</t>
        </is>
      </c>
      <c r="K379" t="inlineStr">
        <is>
          <t>N</t>
        </is>
      </c>
      <c r="L379" t="inlineStr">
        <is>
          <t>N</t>
        </is>
      </c>
      <c r="M379" t="n">
        <v>4</v>
      </c>
      <c r="N379" t="n">
        <v>2</v>
      </c>
      <c r="O379" t="n">
        <v>2</v>
      </c>
      <c r="P379" t="n">
        <v>1</v>
      </c>
      <c r="Q379" t="n">
        <v>3</v>
      </c>
      <c r="R379">
        <f>IFERROR(XLOOKUP(XLOOKUP(D379,tblReleaseChanges[Change_ID],tblReleaseChanges[Oracle_Severity],""),tblSeverityMap[Severity_Text],tblSeverityMap[Score],0),0)</f>
        <v/>
      </c>
      <c r="S379" t="n">
        <v>3</v>
      </c>
      <c r="T379">
        <f>ROUND((M379*0.25)+(N379*0.20)+(O379*0.15)+(P379*0.15)+(Q379*0.10)+(R379*0.10)+(S379*0.05),2)</f>
        <v/>
      </c>
      <c r="U379">
        <f>IF(T379&gt;=4.25,"Critical",IF(T379&gt;=3.5,"High",IF(T379&gt;=2,"Medium","Low")))</f>
        <v/>
      </c>
      <c r="V379" t="inlineStr">
        <is>
          <t>Pending Review</t>
        </is>
      </c>
      <c r="W379" t="inlineStr"/>
      <c r="X379" t="inlineStr"/>
      <c r="Y379" t="inlineStr">
        <is>
          <t>Action type: Steps to Enable. Use the Opt In UI to enable this feature. For instructions, refer to the Optional Uptake of New Features section of this document. Offering: *Workforce Deployment* To ena</t>
        </is>
      </c>
      <c r="Z379" t="inlineStr">
        <is>
          <t>Y</t>
        </is>
      </c>
      <c r="AA379" t="inlineStr">
        <is>
          <t>Y</t>
        </is>
      </c>
    </row>
    <row r="380">
      <c r="A380" t="inlineStr">
        <is>
          <t>ASMT_IMP_0355</t>
        </is>
      </c>
      <c r="B380" t="inlineStr">
        <is>
          <t>CLT_DFL001</t>
        </is>
      </c>
      <c r="C380" t="inlineStr">
        <is>
          <t>REL_26C</t>
        </is>
      </c>
      <c r="D380" t="inlineStr">
        <is>
          <t>CHG_IMP_0355</t>
        </is>
      </c>
      <c r="E380" t="inlineStr">
        <is>
          <t>Functional</t>
        </is>
      </c>
      <c r="F380" t="inlineStr">
        <is>
          <t>Configuration</t>
        </is>
      </c>
      <c r="G380" t="inlineStr"/>
      <c r="H380" t="inlineStr">
        <is>
          <t>DFL Time and Labor impacted by Oracle 26C change</t>
        </is>
      </c>
      <c r="I380" t="inlineStr">
        <is>
          <t>Y</t>
        </is>
      </c>
      <c r="J380" t="inlineStr">
        <is>
          <t>N</t>
        </is>
      </c>
      <c r="K380" t="inlineStr">
        <is>
          <t>N</t>
        </is>
      </c>
      <c r="L380" t="inlineStr">
        <is>
          <t>N</t>
        </is>
      </c>
      <c r="M380" t="n">
        <v>4</v>
      </c>
      <c r="N380" t="n">
        <v>2</v>
      </c>
      <c r="O380" t="n">
        <v>2</v>
      </c>
      <c r="P380" t="n">
        <v>1</v>
      </c>
      <c r="Q380" t="n">
        <v>3</v>
      </c>
      <c r="R380">
        <f>IFERROR(XLOOKUP(XLOOKUP(D380,tblReleaseChanges[Change_ID],tblReleaseChanges[Oracle_Severity],""),tblSeverityMap[Severity_Text],tblSeverityMap[Score],0),0)</f>
        <v/>
      </c>
      <c r="S380" t="n">
        <v>1</v>
      </c>
      <c r="T380">
        <f>ROUND((M380*0.25)+(N380*0.20)+(O380*0.15)+(P380*0.15)+(Q380*0.10)+(R380*0.10)+(S380*0.05),2)</f>
        <v/>
      </c>
      <c r="U380">
        <f>IF(T380&gt;=4.25,"Critical",IF(T380&gt;=3.5,"High",IF(T380&gt;=2,"Medium","Low")))</f>
        <v/>
      </c>
      <c r="V380" t="inlineStr">
        <is>
          <t>Pending Review</t>
        </is>
      </c>
      <c r="W380" t="inlineStr"/>
      <c r="X380" t="inlineStr"/>
      <c r="Y380" t="inlineStr">
        <is>
          <t>Auto-enabled — no action required</t>
        </is>
      </c>
      <c r="Z380" t="inlineStr">
        <is>
          <t>N</t>
        </is>
      </c>
      <c r="AA380" t="inlineStr">
        <is>
          <t>N</t>
        </is>
      </c>
    </row>
    <row r="381">
      <c r="A381" t="inlineStr">
        <is>
          <t>ASMT_IMP_0356</t>
        </is>
      </c>
      <c r="B381" t="inlineStr">
        <is>
          <t>CLT_DFL001</t>
        </is>
      </c>
      <c r="C381" t="inlineStr">
        <is>
          <t>REL_26C</t>
        </is>
      </c>
      <c r="D381" t="inlineStr">
        <is>
          <t>CHG_IMP_0356</t>
        </is>
      </c>
      <c r="E381" t="inlineStr">
        <is>
          <t>Functional</t>
        </is>
      </c>
      <c r="F381" t="inlineStr">
        <is>
          <t>Configuration</t>
        </is>
      </c>
      <c r="G381" t="inlineStr"/>
      <c r="H381" t="inlineStr">
        <is>
          <t>DFL Time and Labor impacted by Oracle 26C change</t>
        </is>
      </c>
      <c r="I381" t="inlineStr">
        <is>
          <t>Y</t>
        </is>
      </c>
      <c r="J381" t="inlineStr">
        <is>
          <t>N</t>
        </is>
      </c>
      <c r="K381" t="inlineStr">
        <is>
          <t>N</t>
        </is>
      </c>
      <c r="L381" t="inlineStr">
        <is>
          <t>N</t>
        </is>
      </c>
      <c r="M381" t="n">
        <v>4</v>
      </c>
      <c r="N381" t="n">
        <v>2</v>
      </c>
      <c r="O381" t="n">
        <v>2</v>
      </c>
      <c r="P381" t="n">
        <v>1</v>
      </c>
      <c r="Q381" t="n">
        <v>3</v>
      </c>
      <c r="R381">
        <f>IFERROR(XLOOKUP(XLOOKUP(D381,tblReleaseChanges[Change_ID],tblReleaseChanges[Oracle_Severity],""),tblSeverityMap[Severity_Text],tblSeverityMap[Score],0),0)</f>
        <v/>
      </c>
      <c r="S381" t="n">
        <v>3</v>
      </c>
      <c r="T381">
        <f>ROUND((M381*0.25)+(N381*0.20)+(O381*0.15)+(P381*0.15)+(Q381*0.10)+(R381*0.10)+(S381*0.05),2)</f>
        <v/>
      </c>
      <c r="U381">
        <f>IF(T381&gt;=4.25,"Critical",IF(T381&gt;=3.5,"High",IF(T381&gt;=2,"Medium","Low")))</f>
        <v/>
      </c>
      <c r="V381" t="inlineStr">
        <is>
          <t>Pending Review</t>
        </is>
      </c>
      <c r="W381" t="inlineStr"/>
      <c r="X381" t="inlineStr"/>
      <c r="Y381" t="inlineStr">
        <is>
          <t>Action type: Steps to Enable. 1. Sign in with a HCM Admin role. 2. Open **Scheduled Processes**. 3. Select the **Load Schedule Patterns** process. 4. Enter the required parameters: **Start Date** **En</t>
        </is>
      </c>
      <c r="Z381" t="inlineStr">
        <is>
          <t>Y</t>
        </is>
      </c>
      <c r="AA381" t="inlineStr">
        <is>
          <t>Y</t>
        </is>
      </c>
    </row>
    <row r="382">
      <c r="A382" t="inlineStr">
        <is>
          <t>ASMT_IMP_0357</t>
        </is>
      </c>
      <c r="B382" t="inlineStr">
        <is>
          <t>CLT_DFL001</t>
        </is>
      </c>
      <c r="C382" t="inlineStr">
        <is>
          <t>REL_26C</t>
        </is>
      </c>
      <c r="D382" t="inlineStr">
        <is>
          <t>CHG_IMP_0357</t>
        </is>
      </c>
      <c r="E382" t="inlineStr">
        <is>
          <t>Functional</t>
        </is>
      </c>
      <c r="F382" t="inlineStr">
        <is>
          <t>Configuration</t>
        </is>
      </c>
      <c r="G382" t="inlineStr"/>
      <c r="H382" t="inlineStr">
        <is>
          <t>DFL Time and Labor impacted by Oracle 26C change</t>
        </is>
      </c>
      <c r="I382" t="inlineStr">
        <is>
          <t>Y</t>
        </is>
      </c>
      <c r="J382" t="inlineStr">
        <is>
          <t>N</t>
        </is>
      </c>
      <c r="K382" t="inlineStr">
        <is>
          <t>N</t>
        </is>
      </c>
      <c r="L382" t="inlineStr">
        <is>
          <t>N</t>
        </is>
      </c>
      <c r="M382" t="n">
        <v>4</v>
      </c>
      <c r="N382" t="n">
        <v>2</v>
      </c>
      <c r="O382" t="n">
        <v>2</v>
      </c>
      <c r="P382" t="n">
        <v>1</v>
      </c>
      <c r="Q382" t="n">
        <v>3</v>
      </c>
      <c r="R382">
        <f>IFERROR(XLOOKUP(XLOOKUP(D382,tblReleaseChanges[Change_ID],tblReleaseChanges[Oracle_Severity],""),tblSeverityMap[Severity_Text],tblSeverityMap[Score],0),0)</f>
        <v/>
      </c>
      <c r="S382" t="n">
        <v>3</v>
      </c>
      <c r="T382">
        <f>ROUND((M382*0.25)+(N382*0.20)+(O382*0.15)+(P382*0.15)+(Q382*0.10)+(R382*0.10)+(S382*0.05),2)</f>
        <v/>
      </c>
      <c r="U382">
        <f>IF(T382&gt;=4.25,"Critical",IF(T382&gt;=3.5,"High",IF(T382&gt;=2,"Medium","Low")))</f>
        <v/>
      </c>
      <c r="V382" t="inlineStr">
        <is>
          <t>Pending Review</t>
        </is>
      </c>
      <c r="W382" t="inlineStr"/>
      <c r="X382" t="inlineStr"/>
      <c r="Y382" t="inlineStr">
        <is>
          <t>Action type: Steps to Enable. None</t>
        </is>
      </c>
      <c r="Z382" t="inlineStr">
        <is>
          <t>Y</t>
        </is>
      </c>
      <c r="AA382" t="inlineStr">
        <is>
          <t>Y</t>
        </is>
      </c>
    </row>
    <row r="383">
      <c r="A383" t="inlineStr">
        <is>
          <t>ASMT_IMP_0358</t>
        </is>
      </c>
      <c r="B383" t="inlineStr">
        <is>
          <t>CLT_DFL001</t>
        </is>
      </c>
      <c r="C383" t="inlineStr">
        <is>
          <t>REL_26C</t>
        </is>
      </c>
      <c r="D383" t="inlineStr">
        <is>
          <t>CHG_IMP_0358</t>
        </is>
      </c>
      <c r="E383" t="inlineStr">
        <is>
          <t>Functional</t>
        </is>
      </c>
      <c r="F383" t="inlineStr">
        <is>
          <t>Configuration</t>
        </is>
      </c>
      <c r="G383" t="inlineStr"/>
      <c r="H383" t="inlineStr">
        <is>
          <t>DFL Time and Labor impacted by Oracle 26C change</t>
        </is>
      </c>
      <c r="I383" t="inlineStr">
        <is>
          <t>Y</t>
        </is>
      </c>
      <c r="J383" t="inlineStr">
        <is>
          <t>N</t>
        </is>
      </c>
      <c r="K383" t="inlineStr">
        <is>
          <t>N</t>
        </is>
      </c>
      <c r="L383" t="inlineStr">
        <is>
          <t>N</t>
        </is>
      </c>
      <c r="M383" t="n">
        <v>4</v>
      </c>
      <c r="N383" t="n">
        <v>2</v>
      </c>
      <c r="O383" t="n">
        <v>2</v>
      </c>
      <c r="P383" t="n">
        <v>1</v>
      </c>
      <c r="Q383" t="n">
        <v>3</v>
      </c>
      <c r="R383">
        <f>IFERROR(XLOOKUP(XLOOKUP(D383,tblReleaseChanges[Change_ID],tblReleaseChanges[Oracle_Severity],""),tblSeverityMap[Severity_Text],tblSeverityMap[Score],0),0)</f>
        <v/>
      </c>
      <c r="S383" t="n">
        <v>1</v>
      </c>
      <c r="T383">
        <f>ROUND((M383*0.25)+(N383*0.20)+(O383*0.15)+(P383*0.15)+(Q383*0.10)+(R383*0.10)+(S383*0.05),2)</f>
        <v/>
      </c>
      <c r="U383">
        <f>IF(T383&gt;=4.25,"Critical",IF(T383&gt;=3.5,"High",IF(T383&gt;=2,"Medium","Low")))</f>
        <v/>
      </c>
      <c r="V383" t="inlineStr">
        <is>
          <t>Pending Review</t>
        </is>
      </c>
      <c r="W383" t="inlineStr"/>
      <c r="X383" t="inlineStr"/>
      <c r="Y383" t="inlineStr">
        <is>
          <t>Auto-enabled — no action required</t>
        </is>
      </c>
      <c r="Z383" t="inlineStr">
        <is>
          <t>N</t>
        </is>
      </c>
      <c r="AA383" t="inlineStr">
        <is>
          <t>N</t>
        </is>
      </c>
    </row>
    <row r="384">
      <c r="A384" t="inlineStr">
        <is>
          <t>ASMT_IMP_0359</t>
        </is>
      </c>
      <c r="B384" t="inlineStr">
        <is>
          <t>CLT_DFL001</t>
        </is>
      </c>
      <c r="C384" t="inlineStr">
        <is>
          <t>REL_26C</t>
        </is>
      </c>
      <c r="D384" t="inlineStr">
        <is>
          <t>CHG_IMP_0359</t>
        </is>
      </c>
      <c r="E384" t="inlineStr">
        <is>
          <t>Functional</t>
        </is>
      </c>
      <c r="F384" t="inlineStr">
        <is>
          <t>Configuration</t>
        </is>
      </c>
      <c r="G384" t="inlineStr"/>
      <c r="H384" t="inlineStr">
        <is>
          <t>DFL Time and Labor impacted by Oracle 26C change</t>
        </is>
      </c>
      <c r="I384" t="inlineStr">
        <is>
          <t>Y</t>
        </is>
      </c>
      <c r="J384" t="inlineStr">
        <is>
          <t>N</t>
        </is>
      </c>
      <c r="K384" t="inlineStr">
        <is>
          <t>N</t>
        </is>
      </c>
      <c r="L384" t="inlineStr">
        <is>
          <t>N</t>
        </is>
      </c>
      <c r="M384" t="n">
        <v>4</v>
      </c>
      <c r="N384" t="n">
        <v>2</v>
      </c>
      <c r="O384" t="n">
        <v>2</v>
      </c>
      <c r="P384" t="n">
        <v>1</v>
      </c>
      <c r="Q384" t="n">
        <v>3</v>
      </c>
      <c r="R384">
        <f>IFERROR(XLOOKUP(XLOOKUP(D384,tblReleaseChanges[Change_ID],tblReleaseChanges[Oracle_Severity],""),tblSeverityMap[Severity_Text],tblSeverityMap[Score],0),0)</f>
        <v/>
      </c>
      <c r="S384" t="n">
        <v>3</v>
      </c>
      <c r="T384">
        <f>ROUND((M384*0.25)+(N384*0.20)+(O384*0.15)+(P384*0.15)+(Q384*0.10)+(R384*0.10)+(S384*0.05),2)</f>
        <v/>
      </c>
      <c r="U384">
        <f>IF(T384&gt;=4.25,"Critical",IF(T384&gt;=3.5,"High",IF(T384&gt;=2,"Medium","Low")))</f>
        <v/>
      </c>
      <c r="V384" t="inlineStr">
        <is>
          <t>Pending Review</t>
        </is>
      </c>
      <c r="W384" t="inlineStr"/>
      <c r="X384" t="inlineStr"/>
      <c r="Y384" t="inlineStr">
        <is>
          <t>Action type: Steps to Enable. None</t>
        </is>
      </c>
      <c r="Z384" t="inlineStr">
        <is>
          <t>Y</t>
        </is>
      </c>
      <c r="AA384" t="inlineStr">
        <is>
          <t>Y</t>
        </is>
      </c>
    </row>
    <row r="385">
      <c r="A385" t="inlineStr">
        <is>
          <t>ASMT_IMP_0360</t>
        </is>
      </c>
      <c r="B385" t="inlineStr">
        <is>
          <t>CLT_DFL001</t>
        </is>
      </c>
      <c r="C385" t="inlineStr">
        <is>
          <t>REL_26C</t>
        </is>
      </c>
      <c r="D385" t="inlineStr">
        <is>
          <t>CHG_IMP_0360</t>
        </is>
      </c>
      <c r="E385" t="inlineStr">
        <is>
          <t>Functional</t>
        </is>
      </c>
      <c r="F385" t="inlineStr">
        <is>
          <t>Configuration</t>
        </is>
      </c>
      <c r="G385" t="inlineStr"/>
      <c r="H385" t="inlineStr">
        <is>
          <t>DFL Work Life impacted by Oracle 26C change</t>
        </is>
      </c>
      <c r="I385" t="inlineStr">
        <is>
          <t>Y</t>
        </is>
      </c>
      <c r="J385" t="inlineStr">
        <is>
          <t>N</t>
        </is>
      </c>
      <c r="K385" t="inlineStr">
        <is>
          <t>N</t>
        </is>
      </c>
      <c r="L385" t="inlineStr">
        <is>
          <t>N</t>
        </is>
      </c>
      <c r="M385" t="n">
        <v>1</v>
      </c>
      <c r="N385" t="n">
        <v>2</v>
      </c>
      <c r="O385" t="n">
        <v>1</v>
      </c>
      <c r="P385" t="n">
        <v>1</v>
      </c>
      <c r="Q385" t="n">
        <v>3</v>
      </c>
      <c r="R385">
        <f>IFERROR(XLOOKUP(XLOOKUP(D385,tblReleaseChanges[Change_ID],tblReleaseChanges[Oracle_Severity],""),tblSeverityMap[Severity_Text],tblSeverityMap[Score],0),0)</f>
        <v/>
      </c>
      <c r="S385" t="n">
        <v>1</v>
      </c>
      <c r="T385">
        <f>ROUND((M385*0.25)+(N385*0.20)+(O385*0.15)+(P385*0.15)+(Q385*0.10)+(R385*0.10)+(S385*0.05),2)</f>
        <v/>
      </c>
      <c r="U385">
        <f>IF(T385&gt;=4.25,"Critical",IF(T385&gt;=3.5,"High",IF(T385&gt;=2,"Medium","Low")))</f>
        <v/>
      </c>
      <c r="V385" t="inlineStr">
        <is>
          <t>Pending Review</t>
        </is>
      </c>
      <c r="W385" t="inlineStr"/>
      <c r="X385" t="inlineStr"/>
      <c r="Y385" t="inlineStr">
        <is>
          <t>Action type: Steps to Enable. • Provision employee and administrator access to Corporate Citizenship. Use predefined roles where possible, and for custom roles map the privileges required for Voluntee</t>
        </is>
      </c>
      <c r="Z385" t="inlineStr">
        <is>
          <t>N</t>
        </is>
      </c>
      <c r="AA385" t="inlineStr">
        <is>
          <t>N</t>
        </is>
      </c>
    </row>
    <row r="386">
      <c r="A386" t="inlineStr">
        <is>
          <t>ASMT_IMP_0361</t>
        </is>
      </c>
      <c r="B386" t="inlineStr">
        <is>
          <t>CLT_DFL001</t>
        </is>
      </c>
      <c r="C386" t="inlineStr">
        <is>
          <t>REL_26C</t>
        </is>
      </c>
      <c r="D386" t="inlineStr">
        <is>
          <t>CHG_IMP_0361</t>
        </is>
      </c>
      <c r="E386" t="inlineStr">
        <is>
          <t>AI Feature</t>
        </is>
      </c>
      <c r="F386" t="inlineStr">
        <is>
          <t>Configuration</t>
        </is>
      </c>
      <c r="G386" t="inlineStr"/>
      <c r="H386" t="inlineStr">
        <is>
          <t>DFL Workforce Scheduling impacted by Oracle 26C change</t>
        </is>
      </c>
      <c r="I386" t="inlineStr">
        <is>
          <t>Y</t>
        </is>
      </c>
      <c r="J386" t="inlineStr">
        <is>
          <t>N</t>
        </is>
      </c>
      <c r="K386" t="inlineStr">
        <is>
          <t>N</t>
        </is>
      </c>
      <c r="L386" t="inlineStr">
        <is>
          <t>N</t>
        </is>
      </c>
      <c r="M386" t="n">
        <v>4</v>
      </c>
      <c r="N386" t="n">
        <v>2</v>
      </c>
      <c r="O386" t="n">
        <v>2</v>
      </c>
      <c r="P386" t="n">
        <v>3</v>
      </c>
      <c r="Q386" t="n">
        <v>3</v>
      </c>
      <c r="R386">
        <f>IFERROR(XLOOKUP(XLOOKUP(D386,tblReleaseChanges[Change_ID],tblReleaseChanges[Oracle_Severity],""),tblSeverityMap[Severity_Text],tblSeverityMap[Score],0),0)</f>
        <v/>
      </c>
      <c r="S386" t="n">
        <v>1</v>
      </c>
      <c r="T386">
        <f>ROUND((M386*0.25)+(N386*0.20)+(O386*0.15)+(P386*0.15)+(Q386*0.10)+(R386*0.10)+(S386*0.05),2)</f>
        <v/>
      </c>
      <c r="U386">
        <f>IF(T386&gt;=4.25,"Critical",IF(T386&gt;=3.5,"High",IF(T386&gt;=2,"Medium","Low")))</f>
        <v/>
      </c>
      <c r="V386" t="inlineStr">
        <is>
          <t>Pending Review</t>
        </is>
      </c>
      <c r="W386" t="inlineStr"/>
      <c r="X386" t="inlineStr"/>
      <c r="Y386" t="inlineStr">
        <is>
          <t>Auto-enabled — no action required</t>
        </is>
      </c>
      <c r="Z386" t="inlineStr">
        <is>
          <t>N</t>
        </is>
      </c>
      <c r="AA386" t="inlineStr">
        <is>
          <t>N</t>
        </is>
      </c>
    </row>
    <row r="387">
      <c r="A387" t="inlineStr">
        <is>
          <t>ASMT_IMP_0362</t>
        </is>
      </c>
      <c r="B387" t="inlineStr">
        <is>
          <t>CLT_DFL001</t>
        </is>
      </c>
      <c r="C387" t="inlineStr">
        <is>
          <t>REL_26C</t>
        </is>
      </c>
      <c r="D387" t="inlineStr">
        <is>
          <t>CHG_IMP_0362</t>
        </is>
      </c>
      <c r="E387" t="inlineStr">
        <is>
          <t>Functional</t>
        </is>
      </c>
      <c r="F387" t="inlineStr">
        <is>
          <t>Configuration</t>
        </is>
      </c>
      <c r="G387" t="inlineStr"/>
      <c r="H387" t="inlineStr">
        <is>
          <t>DFL Workforce Scheduling impacted by Oracle 26C change</t>
        </is>
      </c>
      <c r="I387" t="inlineStr">
        <is>
          <t>Y</t>
        </is>
      </c>
      <c r="J387" t="inlineStr">
        <is>
          <t>N</t>
        </is>
      </c>
      <c r="K387" t="inlineStr">
        <is>
          <t>N</t>
        </is>
      </c>
      <c r="L387" t="inlineStr">
        <is>
          <t>N</t>
        </is>
      </c>
      <c r="M387" t="n">
        <v>4</v>
      </c>
      <c r="N387" t="n">
        <v>2</v>
      </c>
      <c r="O387" t="n">
        <v>2</v>
      </c>
      <c r="P387" t="n">
        <v>1</v>
      </c>
      <c r="Q387" t="n">
        <v>3</v>
      </c>
      <c r="R387">
        <f>IFERROR(XLOOKUP(XLOOKUP(D387,tblReleaseChanges[Change_ID],tblReleaseChanges[Oracle_Severity],""),tblSeverityMap[Severity_Text],tblSeverityMap[Score],0),0)</f>
        <v/>
      </c>
      <c r="S387" t="n">
        <v>1</v>
      </c>
      <c r="T387">
        <f>ROUND((M387*0.25)+(N387*0.20)+(O387*0.15)+(P387*0.15)+(Q387*0.10)+(R387*0.10)+(S387*0.05),2)</f>
        <v/>
      </c>
      <c r="U387">
        <f>IF(T387&gt;=4.25,"Critical",IF(T387&gt;=3.5,"High",IF(T387&gt;=2,"Medium","Low")))</f>
        <v/>
      </c>
      <c r="V387" t="inlineStr">
        <is>
          <t>Pending Review</t>
        </is>
      </c>
      <c r="W387" t="inlineStr"/>
      <c r="X387" t="inlineStr"/>
      <c r="Y387" t="inlineStr">
        <is>
          <t>Auto-enabled — no action required</t>
        </is>
      </c>
      <c r="Z387" t="inlineStr">
        <is>
          <t>N</t>
        </is>
      </c>
      <c r="AA387" t="inlineStr">
        <is>
          <t>N</t>
        </is>
      </c>
    </row>
    <row r="388">
      <c r="A388" t="inlineStr">
        <is>
          <t>ASMT_IMP_0363</t>
        </is>
      </c>
      <c r="B388" t="inlineStr">
        <is>
          <t>CLT_DFL001</t>
        </is>
      </c>
      <c r="C388" t="inlineStr">
        <is>
          <t>REL_26C</t>
        </is>
      </c>
      <c r="D388" t="inlineStr">
        <is>
          <t>CHG_IMP_0363</t>
        </is>
      </c>
      <c r="E388" t="inlineStr">
        <is>
          <t>Functional</t>
        </is>
      </c>
      <c r="F388" t="inlineStr">
        <is>
          <t>Configuration</t>
        </is>
      </c>
      <c r="G388" t="inlineStr"/>
      <c r="H388" t="inlineStr">
        <is>
          <t>DFL Workforce Scheduling impacted by Oracle 26C change</t>
        </is>
      </c>
      <c r="I388" t="inlineStr">
        <is>
          <t>Y</t>
        </is>
      </c>
      <c r="J388" t="inlineStr">
        <is>
          <t>N</t>
        </is>
      </c>
      <c r="K388" t="inlineStr">
        <is>
          <t>N</t>
        </is>
      </c>
      <c r="L388" t="inlineStr">
        <is>
          <t>N</t>
        </is>
      </c>
      <c r="M388" t="n">
        <v>4</v>
      </c>
      <c r="N388" t="n">
        <v>2</v>
      </c>
      <c r="O388" t="n">
        <v>2</v>
      </c>
      <c r="P388" t="n">
        <v>1</v>
      </c>
      <c r="Q388" t="n">
        <v>3</v>
      </c>
      <c r="R388">
        <f>IFERROR(XLOOKUP(XLOOKUP(D388,tblReleaseChanges[Change_ID],tblReleaseChanges[Oracle_Severity],""),tblSeverityMap[Severity_Text],tblSeverityMap[Score],0),0)</f>
        <v/>
      </c>
      <c r="S388" t="n">
        <v>3</v>
      </c>
      <c r="T388">
        <f>ROUND((M388*0.25)+(N388*0.20)+(O388*0.15)+(P388*0.15)+(Q388*0.10)+(R388*0.10)+(S388*0.05),2)</f>
        <v/>
      </c>
      <c r="U388">
        <f>IF(T388&gt;=4.25,"Critical",IF(T388&gt;=3.5,"High",IF(T388&gt;=2,"Medium","Low")))</f>
        <v/>
      </c>
      <c r="V388" t="inlineStr">
        <is>
          <t>Pending Review</t>
        </is>
      </c>
      <c r="W388" t="inlineStr"/>
      <c r="X388" t="inlineStr"/>
      <c r="Y388" t="inlineStr">
        <is>
          <t>Action type: Steps to Enable. • In the **Scheduling Windows** section of the Schedule Generation Profile, select **Build draft schedule during self-scheduling** for the profiles that should automatica</t>
        </is>
      </c>
      <c r="Z388" t="inlineStr">
        <is>
          <t>Y</t>
        </is>
      </c>
      <c r="AA388" t="inlineStr">
        <is>
          <t>Y</t>
        </is>
      </c>
    </row>
    <row r="389">
      <c r="A389" t="inlineStr">
        <is>
          <t>ASMT_IMP_0364</t>
        </is>
      </c>
      <c r="B389" t="inlineStr">
        <is>
          <t>CLT_DFL001</t>
        </is>
      </c>
      <c r="C389" t="inlineStr">
        <is>
          <t>REL_26C</t>
        </is>
      </c>
      <c r="D389" t="inlineStr">
        <is>
          <t>CHG_IMP_0364</t>
        </is>
      </c>
      <c r="E389" t="inlineStr">
        <is>
          <t>Functional</t>
        </is>
      </c>
      <c r="F389" t="inlineStr">
        <is>
          <t>Configuration</t>
        </is>
      </c>
      <c r="G389" t="inlineStr"/>
      <c r="H389" t="inlineStr">
        <is>
          <t>DFL Workforce Scheduling impacted by Oracle 26C change</t>
        </is>
      </c>
      <c r="I389" t="inlineStr">
        <is>
          <t>Y</t>
        </is>
      </c>
      <c r="J389" t="inlineStr">
        <is>
          <t>N</t>
        </is>
      </c>
      <c r="K389" t="inlineStr">
        <is>
          <t>N</t>
        </is>
      </c>
      <c r="L389" t="inlineStr">
        <is>
          <t>N</t>
        </is>
      </c>
      <c r="M389" t="n">
        <v>4</v>
      </c>
      <c r="N389" t="n">
        <v>2</v>
      </c>
      <c r="O389" t="n">
        <v>2</v>
      </c>
      <c r="P389" t="n">
        <v>1</v>
      </c>
      <c r="Q389" t="n">
        <v>3</v>
      </c>
      <c r="R389">
        <f>IFERROR(XLOOKUP(XLOOKUP(D389,tblReleaseChanges[Change_ID],tblReleaseChanges[Oracle_Severity],""),tblSeverityMap[Severity_Text],tblSeverityMap[Score],0),0)</f>
        <v/>
      </c>
      <c r="S389" t="n">
        <v>3</v>
      </c>
      <c r="T389">
        <f>ROUND((M389*0.25)+(N389*0.20)+(O389*0.15)+(P389*0.15)+(Q389*0.10)+(R389*0.10)+(S389*0.05),2)</f>
        <v/>
      </c>
      <c r="U389">
        <f>IF(T389&gt;=4.25,"Critical",IF(T389&gt;=3.5,"High",IF(T389&gt;=2,"Medium","Low")))</f>
        <v/>
      </c>
      <c r="V389" t="inlineStr">
        <is>
          <t>Pending Review</t>
        </is>
      </c>
      <c r="W389" t="inlineStr"/>
      <c r="X389" t="inlineStr"/>
      <c r="Y389" t="inlineStr">
        <is>
          <t>Action type: Steps to Enable. The calendar improvements work with the delivered defaults, so no setup is required to start using them. To tailor the calendar to your workforce, administrators can conf</t>
        </is>
      </c>
      <c r="Z389" t="inlineStr">
        <is>
          <t>Y</t>
        </is>
      </c>
      <c r="AA389" t="inlineStr">
        <is>
          <t>Y</t>
        </is>
      </c>
    </row>
    <row r="390">
      <c r="A390" t="inlineStr">
        <is>
          <t>ASMT_IMP_0365</t>
        </is>
      </c>
      <c r="B390" t="inlineStr">
        <is>
          <t>CLT_DFL001</t>
        </is>
      </c>
      <c r="C390" t="inlineStr">
        <is>
          <t>REL_26C</t>
        </is>
      </c>
      <c r="D390" t="inlineStr">
        <is>
          <t>CHG_IMP_0365</t>
        </is>
      </c>
      <c r="E390" t="inlineStr">
        <is>
          <t>Functional</t>
        </is>
      </c>
      <c r="F390" t="inlineStr">
        <is>
          <t>Configuration</t>
        </is>
      </c>
      <c r="G390" t="inlineStr"/>
      <c r="H390" t="inlineStr">
        <is>
          <t>DFL Workforce Scheduling impacted by Oracle 26C change</t>
        </is>
      </c>
      <c r="I390" t="inlineStr">
        <is>
          <t>Y</t>
        </is>
      </c>
      <c r="J390" t="inlineStr">
        <is>
          <t>N</t>
        </is>
      </c>
      <c r="K390" t="inlineStr">
        <is>
          <t>N</t>
        </is>
      </c>
      <c r="L390" t="inlineStr">
        <is>
          <t>N</t>
        </is>
      </c>
      <c r="M390" t="n">
        <v>4</v>
      </c>
      <c r="N390" t="n">
        <v>2</v>
      </c>
      <c r="O390" t="n">
        <v>2</v>
      </c>
      <c r="P390" t="n">
        <v>1</v>
      </c>
      <c r="Q390" t="n">
        <v>3</v>
      </c>
      <c r="R390">
        <f>IFERROR(XLOOKUP(XLOOKUP(D390,tblReleaseChanges[Change_ID],tblReleaseChanges[Oracle_Severity],""),tblSeverityMap[Severity_Text],tblSeverityMap[Score],0),0)</f>
        <v/>
      </c>
      <c r="S390" t="n">
        <v>3</v>
      </c>
      <c r="T390">
        <f>ROUND((M390*0.25)+(N390*0.20)+(O390*0.15)+(P390*0.15)+(Q390*0.10)+(R390*0.10)+(S390*0.05),2)</f>
        <v/>
      </c>
      <c r="U390">
        <f>IF(T390&gt;=4.25,"Critical",IF(T390&gt;=3.5,"High",IF(T390&gt;=2,"Medium","Low")))</f>
        <v/>
      </c>
      <c r="V390" t="inlineStr">
        <is>
          <t>Pending Review</t>
        </is>
      </c>
      <c r="W390" t="inlineStr"/>
      <c r="X390" t="inlineStr"/>
      <c r="Y390" t="inlineStr">
        <is>
          <t>Action type: Steps to Enable. This feature is ready to use. To use a single-day weekend: 1. Create or edit a schedule generation profile. 2. Open the **Schedule Plan** tab. 3. Define t</t>
        </is>
      </c>
      <c r="Z390" t="inlineStr">
        <is>
          <t>Y</t>
        </is>
      </c>
      <c r="AA390" t="inlineStr">
        <is>
          <t>Y</t>
        </is>
      </c>
    </row>
    <row r="391">
      <c r="A391" t="inlineStr">
        <is>
          <t>ASMT_IMP_0366</t>
        </is>
      </c>
      <c r="B391" t="inlineStr">
        <is>
          <t>CLT_DFL001</t>
        </is>
      </c>
      <c r="C391" t="inlineStr">
        <is>
          <t>REL_26C</t>
        </is>
      </c>
      <c r="D391" t="inlineStr">
        <is>
          <t>CHG_IMP_0366</t>
        </is>
      </c>
      <c r="E391" t="inlineStr">
        <is>
          <t>Functional</t>
        </is>
      </c>
      <c r="F391" t="inlineStr">
        <is>
          <t>Configuration</t>
        </is>
      </c>
      <c r="G391" t="inlineStr"/>
      <c r="H391" t="inlineStr">
        <is>
          <t>DFL Workforce Scheduling impacted by Oracle 26C change</t>
        </is>
      </c>
      <c r="I391" t="inlineStr">
        <is>
          <t>Y</t>
        </is>
      </c>
      <c r="J391" t="inlineStr">
        <is>
          <t>N</t>
        </is>
      </c>
      <c r="K391" t="inlineStr">
        <is>
          <t>N</t>
        </is>
      </c>
      <c r="L391" t="inlineStr">
        <is>
          <t>N</t>
        </is>
      </c>
      <c r="M391" t="n">
        <v>4</v>
      </c>
      <c r="N391" t="n">
        <v>2</v>
      </c>
      <c r="O391" t="n">
        <v>2</v>
      </c>
      <c r="P391" t="n">
        <v>1</v>
      </c>
      <c r="Q391" t="n">
        <v>3</v>
      </c>
      <c r="R391">
        <f>IFERROR(XLOOKUP(XLOOKUP(D391,tblReleaseChanges[Change_ID],tblReleaseChanges[Oracle_Severity],""),tblSeverityMap[Severity_Text],tblSeverityMap[Score],0),0)</f>
        <v/>
      </c>
      <c r="S391" t="n">
        <v>3</v>
      </c>
      <c r="T391">
        <f>ROUND((M391*0.25)+(N391*0.20)+(O391*0.15)+(P391*0.15)+(Q391*0.10)+(R391*0.10)+(S391*0.05),2)</f>
        <v/>
      </c>
      <c r="U391">
        <f>IF(T391&gt;=4.25,"Critical",IF(T391&gt;=3.5,"High",IF(T391&gt;=2,"Medium","Low")))</f>
        <v/>
      </c>
      <c r="V391" t="inlineStr">
        <is>
          <t>Pending Review</t>
        </is>
      </c>
      <c r="W391" t="inlineStr"/>
      <c r="X391" t="inlineStr"/>
      <c r="Y391" t="inlineStr">
        <is>
          <t>Action type: Steps to Enable. No additional security is required for this release. Confirm that schedule shift DFF segments are configured and deployed if your organization wants to use DFF</t>
        </is>
      </c>
      <c r="Z391" t="inlineStr">
        <is>
          <t>Y</t>
        </is>
      </c>
      <c r="AA391" t="inlineStr">
        <is>
          <t>Y</t>
        </is>
      </c>
    </row>
    <row r="392">
      <c r="A392" t="inlineStr">
        <is>
          <t>ASMT_IMP_0367</t>
        </is>
      </c>
      <c r="B392" t="inlineStr">
        <is>
          <t>CLT_DFL001</t>
        </is>
      </c>
      <c r="C392" t="inlineStr">
        <is>
          <t>REL_26C</t>
        </is>
      </c>
      <c r="D392" t="inlineStr">
        <is>
          <t>CHG_IMP_0367</t>
        </is>
      </c>
      <c r="E392" t="inlineStr">
        <is>
          <t>Functional</t>
        </is>
      </c>
      <c r="F392" t="inlineStr">
        <is>
          <t>Configuration</t>
        </is>
      </c>
      <c r="G392" t="inlineStr"/>
      <c r="H392" t="inlineStr">
        <is>
          <t>DFL Workforce Scheduling impacted by Oracle 26C change</t>
        </is>
      </c>
      <c r="I392" t="inlineStr">
        <is>
          <t>Y</t>
        </is>
      </c>
      <c r="J392" t="inlineStr">
        <is>
          <t>N</t>
        </is>
      </c>
      <c r="K392" t="inlineStr">
        <is>
          <t>N</t>
        </is>
      </c>
      <c r="L392" t="inlineStr">
        <is>
          <t>N</t>
        </is>
      </c>
      <c r="M392" t="n">
        <v>4</v>
      </c>
      <c r="N392" t="n">
        <v>2</v>
      </c>
      <c r="O392" t="n">
        <v>2</v>
      </c>
      <c r="P392" t="n">
        <v>1</v>
      </c>
      <c r="Q392" t="n">
        <v>3</v>
      </c>
      <c r="R392">
        <f>IFERROR(XLOOKUP(XLOOKUP(D392,tblReleaseChanges[Change_ID],tblReleaseChanges[Oracle_Severity],""),tblSeverityMap[Severity_Text],tblSeverityMap[Score],0),0)</f>
        <v/>
      </c>
      <c r="S392" t="n">
        <v>1</v>
      </c>
      <c r="T392">
        <f>ROUND((M392*0.25)+(N392*0.20)+(O392*0.15)+(P392*0.15)+(Q392*0.10)+(R392*0.10)+(S392*0.05),2)</f>
        <v/>
      </c>
      <c r="U392">
        <f>IF(T392&gt;=4.25,"Critical",IF(T392&gt;=3.5,"High",IF(T392&gt;=2,"Medium","Low")))</f>
        <v/>
      </c>
      <c r="V392" t="inlineStr">
        <is>
          <t>Pending Review</t>
        </is>
      </c>
      <c r="W392" t="inlineStr"/>
      <c r="X392" t="inlineStr"/>
      <c r="Y392" t="inlineStr">
        <is>
          <t>Auto-enabled — no action required</t>
        </is>
      </c>
      <c r="Z392" t="inlineStr">
        <is>
          <t>N</t>
        </is>
      </c>
      <c r="AA392" t="inlineStr">
        <is>
          <t>N</t>
        </is>
      </c>
    </row>
    <row r="393">
      <c r="A393" t="inlineStr">
        <is>
          <t>ASMT_IMP_0368</t>
        </is>
      </c>
      <c r="B393" t="inlineStr">
        <is>
          <t>CLT_DFL001</t>
        </is>
      </c>
      <c r="C393" t="inlineStr">
        <is>
          <t>REL_26C</t>
        </is>
      </c>
      <c r="D393" t="inlineStr">
        <is>
          <t>CHG_IMP_0368</t>
        </is>
      </c>
      <c r="E393" t="inlineStr">
        <is>
          <t>Functional</t>
        </is>
      </c>
      <c r="F393" t="inlineStr">
        <is>
          <t>Configuration</t>
        </is>
      </c>
      <c r="G393" t="inlineStr"/>
      <c r="H393" t="inlineStr">
        <is>
          <t>DFL Workforce Scheduling impacted by Oracle 26C change</t>
        </is>
      </c>
      <c r="I393" t="inlineStr">
        <is>
          <t>Y</t>
        </is>
      </c>
      <c r="J393" t="inlineStr">
        <is>
          <t>N</t>
        </is>
      </c>
      <c r="K393" t="inlineStr">
        <is>
          <t>N</t>
        </is>
      </c>
      <c r="L393" t="inlineStr">
        <is>
          <t>N</t>
        </is>
      </c>
      <c r="M393" t="n">
        <v>4</v>
      </c>
      <c r="N393" t="n">
        <v>2</v>
      </c>
      <c r="O393" t="n">
        <v>2</v>
      </c>
      <c r="P393" t="n">
        <v>1</v>
      </c>
      <c r="Q393" t="n">
        <v>3</v>
      </c>
      <c r="R393">
        <f>IFERROR(XLOOKUP(XLOOKUP(D393,tblReleaseChanges[Change_ID],tblReleaseChanges[Oracle_Severity],""),tblSeverityMap[Severity_Text],tblSeverityMap[Score],0),0)</f>
        <v/>
      </c>
      <c r="S393" t="n">
        <v>3</v>
      </c>
      <c r="T393">
        <f>ROUND((M393*0.25)+(N393*0.20)+(O393*0.15)+(P393*0.15)+(Q393*0.10)+(R393*0.10)+(S393*0.05),2)</f>
        <v/>
      </c>
      <c r="U393">
        <f>IF(T393&gt;=4.25,"Critical",IF(T393&gt;=3.5,"High",IF(T393&gt;=2,"Medium","Low")))</f>
        <v/>
      </c>
      <c r="V393" t="inlineStr">
        <is>
          <t>Pending Review</t>
        </is>
      </c>
      <c r="W393" t="inlineStr"/>
      <c r="X393" t="inlineStr"/>
      <c r="Y393" t="inlineStr">
        <is>
          <t>Action type: Steps to Enable. To configure fairness rules: 1. Create or update a Workforce Management rule set for scheduling. 2. Add one or more fairness rules. 3. For each fairness ru</t>
        </is>
      </c>
      <c r="Z393" t="inlineStr">
        <is>
          <t>Y</t>
        </is>
      </c>
      <c r="AA393" t="inlineStr">
        <is>
          <t>Y</t>
        </is>
      </c>
    </row>
    <row r="394">
      <c r="A394" t="inlineStr">
        <is>
          <t>ASMT_IMP_0369</t>
        </is>
      </c>
      <c r="B394" t="inlineStr">
        <is>
          <t>CLT_DFL001</t>
        </is>
      </c>
      <c r="C394" t="inlineStr">
        <is>
          <t>REL_26C</t>
        </is>
      </c>
      <c r="D394" t="inlineStr">
        <is>
          <t>CHG_IMP_0369</t>
        </is>
      </c>
      <c r="E394" t="inlineStr">
        <is>
          <t>Functional</t>
        </is>
      </c>
      <c r="F394" t="inlineStr">
        <is>
          <t>Configuration</t>
        </is>
      </c>
      <c r="G394" t="inlineStr"/>
      <c r="H394" t="inlineStr">
        <is>
          <t>DFL Workforce Scheduling impacted by Oracle 26C change</t>
        </is>
      </c>
      <c r="I394" t="inlineStr">
        <is>
          <t>Y</t>
        </is>
      </c>
      <c r="J394" t="inlineStr">
        <is>
          <t>N</t>
        </is>
      </c>
      <c r="K394" t="inlineStr">
        <is>
          <t>N</t>
        </is>
      </c>
      <c r="L394" t="inlineStr">
        <is>
          <t>N</t>
        </is>
      </c>
      <c r="M394" t="n">
        <v>4</v>
      </c>
      <c r="N394" t="n">
        <v>2</v>
      </c>
      <c r="O394" t="n">
        <v>2</v>
      </c>
      <c r="P394" t="n">
        <v>1</v>
      </c>
      <c r="Q394" t="n">
        <v>3</v>
      </c>
      <c r="R394">
        <f>IFERROR(XLOOKUP(XLOOKUP(D394,tblReleaseChanges[Change_ID],tblReleaseChanges[Oracle_Severity],""),tblSeverityMap[Severity_Text],tblSeverityMap[Score],0),0)</f>
        <v/>
      </c>
      <c r="S394" t="n">
        <v>3</v>
      </c>
      <c r="T394">
        <f>ROUND((M394*0.25)+(N394*0.20)+(O394*0.15)+(P394*0.15)+(Q394*0.10)+(R394*0.10)+(S394*0.05),2)</f>
        <v/>
      </c>
      <c r="U394">
        <f>IF(T394&gt;=4.25,"Critical",IF(T394&gt;=3.5,"High",IF(T394&gt;=2,"Medium","Low")))</f>
        <v/>
      </c>
      <c r="V394" t="inlineStr">
        <is>
          <t>Pending Review</t>
        </is>
      </c>
      <c r="W394" t="inlineStr"/>
      <c r="X394" t="inlineStr"/>
      <c r="Y394" t="inlineStr">
        <is>
          <t>Action type: Steps to Enable. 1. Go to the **My Client Groups &gt; Workforce Scheduling &gt;******S**chedule and Shift Options**. 2. Enable the **Flexible Duration Shift Swap** setting. This setting is disa</t>
        </is>
      </c>
      <c r="Z394" t="inlineStr">
        <is>
          <t>Y</t>
        </is>
      </c>
      <c r="AA394" t="inlineStr">
        <is>
          <t>Y</t>
        </is>
      </c>
    </row>
    <row r="395">
      <c r="A395" t="inlineStr">
        <is>
          <t>ASMT_IMP_0370</t>
        </is>
      </c>
      <c r="B395" t="inlineStr">
        <is>
          <t>CLT_DFL001</t>
        </is>
      </c>
      <c r="C395" t="inlineStr">
        <is>
          <t>REL_26C</t>
        </is>
      </c>
      <c r="D395" t="inlineStr">
        <is>
          <t>CHG_IMP_0370</t>
        </is>
      </c>
      <c r="E395" t="inlineStr">
        <is>
          <t>Functional</t>
        </is>
      </c>
      <c r="F395" t="inlineStr">
        <is>
          <t>Configuration</t>
        </is>
      </c>
      <c r="G395" t="inlineStr"/>
      <c r="H395" t="inlineStr">
        <is>
          <t>DFL Workforce Scheduling impacted by Oracle 26C change</t>
        </is>
      </c>
      <c r="I395" t="inlineStr">
        <is>
          <t>Y</t>
        </is>
      </c>
      <c r="J395" t="inlineStr">
        <is>
          <t>N</t>
        </is>
      </c>
      <c r="K395" t="inlineStr">
        <is>
          <t>N</t>
        </is>
      </c>
      <c r="L395" t="inlineStr">
        <is>
          <t>N</t>
        </is>
      </c>
      <c r="M395" t="n">
        <v>4</v>
      </c>
      <c r="N395" t="n">
        <v>2</v>
      </c>
      <c r="O395" t="n">
        <v>2</v>
      </c>
      <c r="P395" t="n">
        <v>1</v>
      </c>
      <c r="Q395" t="n">
        <v>3</v>
      </c>
      <c r="R395">
        <f>IFERROR(XLOOKUP(XLOOKUP(D395,tblReleaseChanges[Change_ID],tblReleaseChanges[Oracle_Severity],""),tblSeverityMap[Severity_Text],tblSeverityMap[Score],0),0)</f>
        <v/>
      </c>
      <c r="S395" t="n">
        <v>3</v>
      </c>
      <c r="T395">
        <f>ROUND((M395*0.25)+(N395*0.20)+(O395*0.15)+(P395*0.15)+(Q395*0.10)+(R395*0.10)+(S395*0.05),2)</f>
        <v/>
      </c>
      <c r="U395">
        <f>IF(T395&gt;=4.25,"Critical",IF(T395&gt;=3.5,"High",IF(T395&gt;=2,"Medium","Low")))</f>
        <v/>
      </c>
      <c r="V395" t="inlineStr">
        <is>
          <t>Pending Review</t>
        </is>
      </c>
      <c r="W395" t="inlineStr"/>
      <c r="X395" t="inlineStr"/>
      <c r="Y395" t="inlineStr">
        <is>
          <t>Action type: Steps to Enable. 1. Assign line managers the required workforce scheduling security role and related privileges. 2. Confirm that line managers can access **My Team &gt; Team Schedule** and u</t>
        </is>
      </c>
      <c r="Z395" t="inlineStr">
        <is>
          <t>Y</t>
        </is>
      </c>
      <c r="AA395" t="inlineStr">
        <is>
          <t>Y</t>
        </is>
      </c>
    </row>
    <row r="396">
      <c r="A396" t="inlineStr">
        <is>
          <t>ASMT_IMP_0371</t>
        </is>
      </c>
      <c r="B396" t="inlineStr">
        <is>
          <t>CLT_DFL001</t>
        </is>
      </c>
      <c r="C396" t="inlineStr">
        <is>
          <t>REL_26C</t>
        </is>
      </c>
      <c r="D396" t="inlineStr">
        <is>
          <t>CHG_IMP_0371</t>
        </is>
      </c>
      <c r="E396" t="inlineStr">
        <is>
          <t>Functional</t>
        </is>
      </c>
      <c r="F396" t="inlineStr">
        <is>
          <t>Configuration</t>
        </is>
      </c>
      <c r="G396" t="inlineStr"/>
      <c r="H396" t="inlineStr">
        <is>
          <t>DFL Workforce Scheduling impacted by Oracle 26C change</t>
        </is>
      </c>
      <c r="I396" t="inlineStr">
        <is>
          <t>Y</t>
        </is>
      </c>
      <c r="J396" t="inlineStr">
        <is>
          <t>N</t>
        </is>
      </c>
      <c r="K396" t="inlineStr">
        <is>
          <t>N</t>
        </is>
      </c>
      <c r="L396" t="inlineStr">
        <is>
          <t>N</t>
        </is>
      </c>
      <c r="M396" t="n">
        <v>4</v>
      </c>
      <c r="N396" t="n">
        <v>2</v>
      </c>
      <c r="O396" t="n">
        <v>2</v>
      </c>
      <c r="P396" t="n">
        <v>1</v>
      </c>
      <c r="Q396" t="n">
        <v>3</v>
      </c>
      <c r="R396">
        <f>IFERROR(XLOOKUP(XLOOKUP(D396,tblReleaseChanges[Change_ID],tblReleaseChanges[Oracle_Severity],""),tblSeverityMap[Severity_Text],tblSeverityMap[Score],0),0)</f>
        <v/>
      </c>
      <c r="S396" t="n">
        <v>3</v>
      </c>
      <c r="T396">
        <f>ROUND((M396*0.25)+(N396*0.20)+(O396*0.15)+(P396*0.15)+(Q396*0.10)+(R396*0.10)+(S396*0.05),2)</f>
        <v/>
      </c>
      <c r="U396">
        <f>IF(T396&gt;=4.25,"Critical",IF(T396&gt;=3.5,"High",IF(T396&gt;=2,"Medium","Low")))</f>
        <v/>
      </c>
      <c r="V396" t="inlineStr">
        <is>
          <t>Pending Review</t>
        </is>
      </c>
      <c r="W396" t="inlineStr"/>
      <c r="X396" t="inlineStr"/>
      <c r="Y396" t="inlineStr">
        <is>
          <t>Action type: Steps to Enable. 1. Grant the *View Team Schedule by Worker* privilege to workers who should access the page. 2. Grant the *View Public Absences for Co-workers* privilege so workers can s</t>
        </is>
      </c>
      <c r="Z396" t="inlineStr">
        <is>
          <t>Y</t>
        </is>
      </c>
      <c r="AA396" t="inlineStr">
        <is>
          <t>Y</t>
        </is>
      </c>
    </row>
    <row r="397">
      <c r="A397" t="inlineStr">
        <is>
          <t>ASMT_IMP_0372</t>
        </is>
      </c>
      <c r="B397" t="inlineStr">
        <is>
          <t>CLT_DFL001</t>
        </is>
      </c>
      <c r="C397" t="inlineStr">
        <is>
          <t>REL_26C</t>
        </is>
      </c>
      <c r="D397" t="inlineStr">
        <is>
          <t>CHG_IMP_0372</t>
        </is>
      </c>
      <c r="E397" t="inlineStr">
        <is>
          <t>Functional</t>
        </is>
      </c>
      <c r="F397" t="inlineStr">
        <is>
          <t>Configuration</t>
        </is>
      </c>
      <c r="G397" t="inlineStr"/>
      <c r="H397" t="inlineStr">
        <is>
          <t>DFL Workforce Scheduling impacted by Oracle 26C change</t>
        </is>
      </c>
      <c r="I397" t="inlineStr">
        <is>
          <t>Y</t>
        </is>
      </c>
      <c r="J397" t="inlineStr">
        <is>
          <t>N</t>
        </is>
      </c>
      <c r="K397" t="inlineStr">
        <is>
          <t>N</t>
        </is>
      </c>
      <c r="L397" t="inlineStr">
        <is>
          <t>N</t>
        </is>
      </c>
      <c r="M397" t="n">
        <v>4</v>
      </c>
      <c r="N397" t="n">
        <v>2</v>
      </c>
      <c r="O397" t="n">
        <v>2</v>
      </c>
      <c r="P397" t="n">
        <v>1</v>
      </c>
      <c r="Q397" t="n">
        <v>3</v>
      </c>
      <c r="R397">
        <f>IFERROR(XLOOKUP(XLOOKUP(D397,tblReleaseChanges[Change_ID],tblReleaseChanges[Oracle_Severity],""),tblSeverityMap[Severity_Text],tblSeverityMap[Score],0),0)</f>
        <v/>
      </c>
      <c r="S397" t="n">
        <v>1</v>
      </c>
      <c r="T397">
        <f>ROUND((M397*0.25)+(N397*0.20)+(O397*0.15)+(P397*0.15)+(Q397*0.10)+(R397*0.10)+(S397*0.05),2)</f>
        <v/>
      </c>
      <c r="U397">
        <f>IF(T397&gt;=4.25,"Critical",IF(T397&gt;=3.5,"High",IF(T397&gt;=2,"Medium","Low")))</f>
        <v/>
      </c>
      <c r="V397" t="inlineStr">
        <is>
          <t>Pending Review</t>
        </is>
      </c>
      <c r="W397" t="inlineStr"/>
      <c r="X397" t="inlineStr"/>
      <c r="Y397" t="inlineStr">
        <is>
          <t>Auto-enabled — no action required</t>
        </is>
      </c>
      <c r="Z397" t="inlineStr">
        <is>
          <t>N</t>
        </is>
      </c>
      <c r="AA397" t="inlineStr">
        <is>
          <t>N</t>
        </is>
      </c>
    </row>
    <row r="398">
      <c r="A398" t="inlineStr">
        <is>
          <t>ASMT_IMP_0373</t>
        </is>
      </c>
      <c r="B398" t="inlineStr">
        <is>
          <t>CLT_DFL001</t>
        </is>
      </c>
      <c r="C398" t="inlineStr">
        <is>
          <t>REL_26C</t>
        </is>
      </c>
      <c r="D398" t="inlineStr">
        <is>
          <t>CHG_IMP_0373</t>
        </is>
      </c>
      <c r="E398" t="inlineStr">
        <is>
          <t>Functional</t>
        </is>
      </c>
      <c r="F398" t="inlineStr">
        <is>
          <t>Configuration</t>
        </is>
      </c>
      <c r="G398" t="inlineStr"/>
      <c r="H398" t="inlineStr">
        <is>
          <t>DFL Common Technologies and User Experience impacted by Oracle 26C change</t>
        </is>
      </c>
      <c r="I398" t="inlineStr">
        <is>
          <t>Y</t>
        </is>
      </c>
      <c r="J398" t="inlineStr">
        <is>
          <t>N</t>
        </is>
      </c>
      <c r="K398" t="inlineStr">
        <is>
          <t>N</t>
        </is>
      </c>
      <c r="L398" t="inlineStr">
        <is>
          <t>N</t>
        </is>
      </c>
      <c r="M398" t="n">
        <v>1</v>
      </c>
      <c r="N398" t="n">
        <v>2</v>
      </c>
      <c r="O398" t="n">
        <v>2</v>
      </c>
      <c r="P398" t="n">
        <v>1</v>
      </c>
      <c r="Q398" t="n">
        <v>3</v>
      </c>
      <c r="R398">
        <f>IFERROR(XLOOKUP(XLOOKUP(D398,tblReleaseChanges[Change_ID],tblReleaseChanges[Oracle_Severity],""),tblSeverityMap[Severity_Text],tblSeverityMap[Score],0),0)</f>
        <v/>
      </c>
      <c r="S398" t="n">
        <v>1</v>
      </c>
      <c r="T398">
        <f>ROUND((M398*0.25)+(N398*0.20)+(O398*0.15)+(P398*0.15)+(Q398*0.10)+(R398*0.10)+(S398*0.05),2)</f>
        <v/>
      </c>
      <c r="U398">
        <f>IF(T398&gt;=4.25,"Critical",IF(T398&gt;=3.5,"High",IF(T398&gt;=2,"Medium","Low")))</f>
        <v/>
      </c>
      <c r="V398" t="inlineStr">
        <is>
          <t>Pending Review</t>
        </is>
      </c>
      <c r="W398" t="inlineStr"/>
      <c r="X398" t="inlineStr"/>
      <c r="Y398" t="inlineStr">
        <is>
          <t>Auto-enabled — no action required</t>
        </is>
      </c>
      <c r="Z398" t="inlineStr">
        <is>
          <t>N</t>
        </is>
      </c>
      <c r="AA398" t="inlineStr">
        <is>
          <t>N</t>
        </is>
      </c>
    </row>
    <row r="399">
      <c r="A399" t="inlineStr">
        <is>
          <t>ASMT_IMP_0374</t>
        </is>
      </c>
      <c r="B399" t="inlineStr">
        <is>
          <t>CLT_DFL001</t>
        </is>
      </c>
      <c r="C399" t="inlineStr">
        <is>
          <t>REL_26C</t>
        </is>
      </c>
      <c r="D399" t="inlineStr">
        <is>
          <t>CHG_IMP_0374</t>
        </is>
      </c>
      <c r="E399" t="inlineStr">
        <is>
          <t>AI Feature</t>
        </is>
      </c>
      <c r="F399" t="inlineStr">
        <is>
          <t>Configuration</t>
        </is>
      </c>
      <c r="G399" t="inlineStr"/>
      <c r="H399" t="inlineStr">
        <is>
          <t>DFL Common Technologies and User Experience impacted by Oracle 26C change</t>
        </is>
      </c>
      <c r="I399" t="inlineStr">
        <is>
          <t>Y</t>
        </is>
      </c>
      <c r="J399" t="inlineStr">
        <is>
          <t>N</t>
        </is>
      </c>
      <c r="K399" t="inlineStr">
        <is>
          <t>N</t>
        </is>
      </c>
      <c r="L399" t="inlineStr">
        <is>
          <t>N</t>
        </is>
      </c>
      <c r="M399" t="n">
        <v>1</v>
      </c>
      <c r="N399" t="n">
        <v>2</v>
      </c>
      <c r="O399" t="n">
        <v>2</v>
      </c>
      <c r="P399" t="n">
        <v>3</v>
      </c>
      <c r="Q399" t="n">
        <v>3</v>
      </c>
      <c r="R399">
        <f>IFERROR(XLOOKUP(XLOOKUP(D399,tblReleaseChanges[Change_ID],tblReleaseChanges[Oracle_Severity],""),tblSeverityMap[Severity_Text],tblSeverityMap[Score],0),0)</f>
        <v/>
      </c>
      <c r="S399" t="n">
        <v>1</v>
      </c>
      <c r="T399">
        <f>ROUND((M399*0.25)+(N399*0.20)+(O399*0.15)+(P399*0.15)+(Q399*0.10)+(R399*0.10)+(S399*0.05),2)</f>
        <v/>
      </c>
      <c r="U399">
        <f>IF(T399&gt;=4.25,"Critical",IF(T399&gt;=3.5,"High",IF(T399&gt;=2,"Medium","Low")))</f>
        <v/>
      </c>
      <c r="V399" t="inlineStr">
        <is>
          <t>Pending Review</t>
        </is>
      </c>
      <c r="W399" t="inlineStr"/>
      <c r="X399" t="inlineStr"/>
      <c r="Y399" t="inlineStr">
        <is>
          <t>Action type: Steps to Enable. Users must have access to the published Oracle AI Agents.</t>
        </is>
      </c>
      <c r="Z399" t="inlineStr">
        <is>
          <t>N</t>
        </is>
      </c>
      <c r="AA399" t="inlineStr">
        <is>
          <t>N</t>
        </is>
      </c>
    </row>
    <row r="400">
      <c r="A400" t="inlineStr">
        <is>
          <t>ASMT_IMP_0375</t>
        </is>
      </c>
      <c r="B400" t="inlineStr">
        <is>
          <t>CLT_DFL001</t>
        </is>
      </c>
      <c r="C400" t="inlineStr">
        <is>
          <t>REL_26C</t>
        </is>
      </c>
      <c r="D400" t="inlineStr">
        <is>
          <t>CHG_IMP_0375</t>
        </is>
      </c>
      <c r="E400" t="inlineStr">
        <is>
          <t>AI Feature</t>
        </is>
      </c>
      <c r="F400" t="inlineStr">
        <is>
          <t>Configuration</t>
        </is>
      </c>
      <c r="G400" t="inlineStr"/>
      <c r="H400" t="inlineStr">
        <is>
          <t>DFL Common Technologies and User Experience impacted by Oracle 26C change</t>
        </is>
      </c>
      <c r="I400" t="inlineStr">
        <is>
          <t>Y</t>
        </is>
      </c>
      <c r="J400" t="inlineStr">
        <is>
          <t>N</t>
        </is>
      </c>
      <c r="K400" t="inlineStr">
        <is>
          <t>N</t>
        </is>
      </c>
      <c r="L400" t="inlineStr">
        <is>
          <t>N</t>
        </is>
      </c>
      <c r="M400" t="n">
        <v>1</v>
      </c>
      <c r="N400" t="n">
        <v>2</v>
      </c>
      <c r="O400" t="n">
        <v>2</v>
      </c>
      <c r="P400" t="n">
        <v>3</v>
      </c>
      <c r="Q400" t="n">
        <v>3</v>
      </c>
      <c r="R400">
        <f>IFERROR(XLOOKUP(XLOOKUP(D400,tblReleaseChanges[Change_ID],tblReleaseChanges[Oracle_Severity],""),tblSeverityMap[Severity_Text],tblSeverityMap[Score],0),0)</f>
        <v/>
      </c>
      <c r="S400" t="n">
        <v>1</v>
      </c>
      <c r="T400">
        <f>ROUND((M400*0.25)+(N400*0.20)+(O400*0.15)+(P400*0.15)+(Q400*0.10)+(R400*0.10)+(S400*0.05),2)</f>
        <v/>
      </c>
      <c r="U400">
        <f>IF(T400&gt;=4.25,"Critical",IF(T400&gt;=3.5,"High",IF(T400&gt;=2,"Medium","Low")))</f>
        <v/>
      </c>
      <c r="V400" t="inlineStr">
        <is>
          <t>Pending Review</t>
        </is>
      </c>
      <c r="W400" t="inlineStr"/>
      <c r="X400" t="inlineStr"/>
      <c r="Y400" t="inlineStr">
        <is>
          <t>Action type: Steps to Enable. You must have access to use AI Agent Studio.</t>
        </is>
      </c>
      <c r="Z400" t="inlineStr">
        <is>
          <t>N</t>
        </is>
      </c>
      <c r="AA400" t="inlineStr">
        <is>
          <t>N</t>
        </is>
      </c>
    </row>
    <row r="401">
      <c r="A401" t="inlineStr">
        <is>
          <t>ASMT_IMP_0376</t>
        </is>
      </c>
      <c r="B401" t="inlineStr">
        <is>
          <t>CLT_DFL001</t>
        </is>
      </c>
      <c r="C401" t="inlineStr">
        <is>
          <t>REL_26C</t>
        </is>
      </c>
      <c r="D401" t="inlineStr">
        <is>
          <t>CHG_IMP_0376</t>
        </is>
      </c>
      <c r="E401" t="inlineStr">
        <is>
          <t>AI Feature</t>
        </is>
      </c>
      <c r="F401" t="inlineStr">
        <is>
          <t>Configuration</t>
        </is>
      </c>
      <c r="G401" t="inlineStr"/>
      <c r="H401" t="inlineStr">
        <is>
          <t>DFL Common Technologies and User Experience impacted by Oracle 26C change</t>
        </is>
      </c>
      <c r="I401" t="inlineStr">
        <is>
          <t>Y</t>
        </is>
      </c>
      <c r="J401" t="inlineStr">
        <is>
          <t>N</t>
        </is>
      </c>
      <c r="K401" t="inlineStr">
        <is>
          <t>N</t>
        </is>
      </c>
      <c r="L401" t="inlineStr">
        <is>
          <t>N</t>
        </is>
      </c>
      <c r="M401" t="n">
        <v>1</v>
      </c>
      <c r="N401" t="n">
        <v>2</v>
      </c>
      <c r="O401" t="n">
        <v>2</v>
      </c>
      <c r="P401" t="n">
        <v>3</v>
      </c>
      <c r="Q401" t="n">
        <v>3</v>
      </c>
      <c r="R401">
        <f>IFERROR(XLOOKUP(XLOOKUP(D401,tblReleaseChanges[Change_ID],tblReleaseChanges[Oracle_Severity],""),tblSeverityMap[Severity_Text],tblSeverityMap[Score],0),0)</f>
        <v/>
      </c>
      <c r="S401" t="n">
        <v>1</v>
      </c>
      <c r="T401">
        <f>ROUND((M401*0.25)+(N401*0.20)+(O401*0.15)+(P401*0.15)+(Q401*0.10)+(R401*0.10)+(S401*0.05),2)</f>
        <v/>
      </c>
      <c r="U401">
        <f>IF(T401&gt;=4.25,"Critical",IF(T401&gt;=3.5,"High",IF(T401&gt;=2,"Medium","Low")))</f>
        <v/>
      </c>
      <c r="V401" t="inlineStr">
        <is>
          <t>Pending Review</t>
        </is>
      </c>
      <c r="W401" t="inlineStr"/>
      <c r="X401" t="inlineStr"/>
      <c r="Y401" t="inlineStr">
        <is>
          <t>Action type: Steps to Enable. You must have access to use AI Agent Studio.</t>
        </is>
      </c>
      <c r="Z401" t="inlineStr">
        <is>
          <t>N</t>
        </is>
      </c>
      <c r="AA401" t="inlineStr">
        <is>
          <t>N</t>
        </is>
      </c>
    </row>
    <row r="402">
      <c r="A402" t="inlineStr">
        <is>
          <t>ASMT_IMP_0377</t>
        </is>
      </c>
      <c r="B402" t="inlineStr">
        <is>
          <t>CLT_DFL001</t>
        </is>
      </c>
      <c r="C402" t="inlineStr">
        <is>
          <t>REL_26C</t>
        </is>
      </c>
      <c r="D402" t="inlineStr">
        <is>
          <t>CHG_IMP_0377</t>
        </is>
      </c>
      <c r="E402" t="inlineStr">
        <is>
          <t>AI Feature</t>
        </is>
      </c>
      <c r="F402" t="inlineStr">
        <is>
          <t>Configuration</t>
        </is>
      </c>
      <c r="G402" t="inlineStr"/>
      <c r="H402" t="inlineStr">
        <is>
          <t>DFL Common Technologies and User Experience impacted by Oracle 26C change</t>
        </is>
      </c>
      <c r="I402" t="inlineStr">
        <is>
          <t>Y</t>
        </is>
      </c>
      <c r="J402" t="inlineStr">
        <is>
          <t>N</t>
        </is>
      </c>
      <c r="K402" t="inlineStr">
        <is>
          <t>N</t>
        </is>
      </c>
      <c r="L402" t="inlineStr">
        <is>
          <t>N</t>
        </is>
      </c>
      <c r="M402" t="n">
        <v>1</v>
      </c>
      <c r="N402" t="n">
        <v>2</v>
      </c>
      <c r="O402" t="n">
        <v>2</v>
      </c>
      <c r="P402" t="n">
        <v>3</v>
      </c>
      <c r="Q402" t="n">
        <v>3</v>
      </c>
      <c r="R402">
        <f>IFERROR(XLOOKUP(XLOOKUP(D402,tblReleaseChanges[Change_ID],tblReleaseChanges[Oracle_Severity],""),tblSeverityMap[Severity_Text],tblSeverityMap[Score],0),0)</f>
        <v/>
      </c>
      <c r="S402" t="n">
        <v>1</v>
      </c>
      <c r="T402">
        <f>ROUND((M402*0.25)+(N402*0.20)+(O402*0.15)+(P402*0.15)+(Q402*0.10)+(R402*0.10)+(S402*0.05),2)</f>
        <v/>
      </c>
      <c r="U402">
        <f>IF(T402&gt;=4.25,"Critical",IF(T402&gt;=3.5,"High",IF(T402&gt;=2,"Medium","Low")))</f>
        <v/>
      </c>
      <c r="V402" t="inlineStr">
        <is>
          <t>Pending Review</t>
        </is>
      </c>
      <c r="W402" t="inlineStr"/>
      <c r="X402" t="inlineStr"/>
      <c r="Y402" t="inlineStr">
        <is>
          <t>Action type: Steps to Enable. You must have access to use AI Agent Studio.</t>
        </is>
      </c>
      <c r="Z402" t="inlineStr">
        <is>
          <t>N</t>
        </is>
      </c>
      <c r="AA402" t="inlineStr">
        <is>
          <t>N</t>
        </is>
      </c>
    </row>
    <row r="403">
      <c r="A403" t="inlineStr">
        <is>
          <t>ASMT_IMP_0378</t>
        </is>
      </c>
      <c r="B403" t="inlineStr">
        <is>
          <t>CLT_DFL001</t>
        </is>
      </c>
      <c r="C403" t="inlineStr">
        <is>
          <t>REL_26C</t>
        </is>
      </c>
      <c r="D403" t="inlineStr">
        <is>
          <t>CHG_IMP_0378</t>
        </is>
      </c>
      <c r="E403" t="inlineStr">
        <is>
          <t>Functional</t>
        </is>
      </c>
      <c r="F403" t="inlineStr">
        <is>
          <t>Configuration</t>
        </is>
      </c>
      <c r="G403" t="inlineStr"/>
      <c r="H403" t="inlineStr">
        <is>
          <t>DFL Common Technologies and User Experience impacted by Oracle 26C change</t>
        </is>
      </c>
      <c r="I403" t="inlineStr">
        <is>
          <t>Y</t>
        </is>
      </c>
      <c r="J403" t="inlineStr">
        <is>
          <t>N</t>
        </is>
      </c>
      <c r="K403" t="inlineStr">
        <is>
          <t>N</t>
        </is>
      </c>
      <c r="L403" t="inlineStr">
        <is>
          <t>N</t>
        </is>
      </c>
      <c r="M403" t="n">
        <v>1</v>
      </c>
      <c r="N403" t="n">
        <v>2</v>
      </c>
      <c r="O403" t="n">
        <v>2</v>
      </c>
      <c r="P403" t="n">
        <v>1</v>
      </c>
      <c r="Q403" t="n">
        <v>3</v>
      </c>
      <c r="R403">
        <f>IFERROR(XLOOKUP(XLOOKUP(D403,tblReleaseChanges[Change_ID],tblReleaseChanges[Oracle_Severity],""),tblSeverityMap[Severity_Text],tblSeverityMap[Score],0),0)</f>
        <v/>
      </c>
      <c r="S403" t="n">
        <v>1</v>
      </c>
      <c r="T403">
        <f>ROUND((M403*0.25)+(N403*0.20)+(O403*0.15)+(P403*0.15)+(Q403*0.10)+(R403*0.10)+(S403*0.05),2)</f>
        <v/>
      </c>
      <c r="U403">
        <f>IF(T403&gt;=4.25,"Critical",IF(T403&gt;=3.5,"High",IF(T403&gt;=2,"Medium","Low")))</f>
        <v/>
      </c>
      <c r="V403" t="inlineStr">
        <is>
          <t>Pending Review</t>
        </is>
      </c>
      <c r="W403" t="inlineStr"/>
      <c r="X403" t="inlineStr"/>
      <c r="Y403" t="inlineStr">
        <is>
          <t>Action type: Steps to Enable. You must have access to use AI Agent Studio.</t>
        </is>
      </c>
      <c r="Z403" t="inlineStr">
        <is>
          <t>N</t>
        </is>
      </c>
      <c r="AA403" t="inlineStr">
        <is>
          <t>N</t>
        </is>
      </c>
    </row>
    <row r="404">
      <c r="A404" t="inlineStr">
        <is>
          <t>ASMT_IMP_0379</t>
        </is>
      </c>
      <c r="B404" t="inlineStr">
        <is>
          <t>CLT_DFL001</t>
        </is>
      </c>
      <c r="C404" t="inlineStr">
        <is>
          <t>REL_26C</t>
        </is>
      </c>
      <c r="D404" t="inlineStr">
        <is>
          <t>CHG_IMP_0379</t>
        </is>
      </c>
      <c r="E404" t="inlineStr">
        <is>
          <t>Functional</t>
        </is>
      </c>
      <c r="F404" t="inlineStr">
        <is>
          <t>Configuration</t>
        </is>
      </c>
      <c r="G404" t="inlineStr"/>
      <c r="H404" t="inlineStr">
        <is>
          <t>DFL Common Technologies and User Experience impacted by Oracle 26C change</t>
        </is>
      </c>
      <c r="I404" t="inlineStr">
        <is>
          <t>Y</t>
        </is>
      </c>
      <c r="J404" t="inlineStr">
        <is>
          <t>N</t>
        </is>
      </c>
      <c r="K404" t="inlineStr">
        <is>
          <t>N</t>
        </is>
      </c>
      <c r="L404" t="inlineStr">
        <is>
          <t>N</t>
        </is>
      </c>
      <c r="M404" t="n">
        <v>1</v>
      </c>
      <c r="N404" t="n">
        <v>2</v>
      </c>
      <c r="O404" t="n">
        <v>2</v>
      </c>
      <c r="P404" t="n">
        <v>1</v>
      </c>
      <c r="Q404" t="n">
        <v>3</v>
      </c>
      <c r="R404">
        <f>IFERROR(XLOOKUP(XLOOKUP(D404,tblReleaseChanges[Change_ID],tblReleaseChanges[Oracle_Severity],""),tblSeverityMap[Severity_Text],tblSeverityMap[Score],0),0)</f>
        <v/>
      </c>
      <c r="S404" t="n">
        <v>1</v>
      </c>
      <c r="T404">
        <f>ROUND((M404*0.25)+(N404*0.20)+(O404*0.15)+(P404*0.15)+(Q404*0.10)+(R404*0.10)+(S404*0.05),2)</f>
        <v/>
      </c>
      <c r="U404">
        <f>IF(T404&gt;=4.25,"Critical",IF(T404&gt;=3.5,"High",IF(T404&gt;=2,"Medium","Low")))</f>
        <v/>
      </c>
      <c r="V404" t="inlineStr">
        <is>
          <t>Pending Review</t>
        </is>
      </c>
      <c r="W404" t="inlineStr"/>
      <c r="X404" t="inlineStr"/>
      <c r="Y404" t="inlineStr">
        <is>
          <t>Auto-enabled — no action required</t>
        </is>
      </c>
      <c r="Z404" t="inlineStr">
        <is>
          <t>N</t>
        </is>
      </c>
      <c r="AA404" t="inlineStr">
        <is>
          <t>N</t>
        </is>
      </c>
    </row>
    <row r="405">
      <c r="A405" t="inlineStr">
        <is>
          <t>ASMT_IMP_0380</t>
        </is>
      </c>
      <c r="B405" t="inlineStr">
        <is>
          <t>CLT_DFL001</t>
        </is>
      </c>
      <c r="C405" t="inlineStr">
        <is>
          <t>REL_26C</t>
        </is>
      </c>
      <c r="D405" t="inlineStr">
        <is>
          <t>CHG_IMP_0380</t>
        </is>
      </c>
      <c r="E405" t="inlineStr">
        <is>
          <t>AI Feature</t>
        </is>
      </c>
      <c r="F405" t="inlineStr">
        <is>
          <t>Configuration</t>
        </is>
      </c>
      <c r="G405" t="inlineStr"/>
      <c r="H405" t="inlineStr">
        <is>
          <t>DFL Common Technologies and User Experience impacted by Oracle 26C change</t>
        </is>
      </c>
      <c r="I405" t="inlineStr">
        <is>
          <t>Y</t>
        </is>
      </c>
      <c r="J405" t="inlineStr">
        <is>
          <t>N</t>
        </is>
      </c>
      <c r="K405" t="inlineStr">
        <is>
          <t>N</t>
        </is>
      </c>
      <c r="L405" t="inlineStr">
        <is>
          <t>N</t>
        </is>
      </c>
      <c r="M405" t="n">
        <v>1</v>
      </c>
      <c r="N405" t="n">
        <v>2</v>
      </c>
      <c r="O405" t="n">
        <v>2</v>
      </c>
      <c r="P405" t="n">
        <v>3</v>
      </c>
      <c r="Q405" t="n">
        <v>3</v>
      </c>
      <c r="R405">
        <f>IFERROR(XLOOKUP(XLOOKUP(D405,tblReleaseChanges[Change_ID],tblReleaseChanges[Oracle_Severity],""),tblSeverityMap[Severity_Text],tblSeverityMap[Score],0),0)</f>
        <v/>
      </c>
      <c r="S405" t="n">
        <v>1</v>
      </c>
      <c r="T405">
        <f>ROUND((M405*0.25)+(N405*0.20)+(O405*0.15)+(P405*0.15)+(Q405*0.10)+(R405*0.10)+(S405*0.05),2)</f>
        <v/>
      </c>
      <c r="U405">
        <f>IF(T405&gt;=4.25,"Critical",IF(T405&gt;=3.5,"High",IF(T405&gt;=2,"Medium","Low")))</f>
        <v/>
      </c>
      <c r="V405" t="inlineStr">
        <is>
          <t>Pending Review</t>
        </is>
      </c>
      <c r="W405" t="inlineStr"/>
      <c r="X405" t="inlineStr"/>
      <c r="Y405" t="inlineStr">
        <is>
          <t>Action type: Steps to Enable. You must have access to use AI Agent Studio.</t>
        </is>
      </c>
      <c r="Z405" t="inlineStr">
        <is>
          <t>N</t>
        </is>
      </c>
      <c r="AA405" t="inlineStr">
        <is>
          <t>N</t>
        </is>
      </c>
    </row>
    <row r="406">
      <c r="A406" t="inlineStr">
        <is>
          <t>ASMT_IMP_0381</t>
        </is>
      </c>
      <c r="B406" t="inlineStr">
        <is>
          <t>CLT_DFL001</t>
        </is>
      </c>
      <c r="C406" t="inlineStr">
        <is>
          <t>REL_26C</t>
        </is>
      </c>
      <c r="D406" t="inlineStr">
        <is>
          <t>CHG_IMP_0381</t>
        </is>
      </c>
      <c r="E406" t="inlineStr">
        <is>
          <t>Functional</t>
        </is>
      </c>
      <c r="F406" t="inlineStr">
        <is>
          <t>Configuration</t>
        </is>
      </c>
      <c r="G406" t="inlineStr"/>
      <c r="H406" t="inlineStr">
        <is>
          <t>DFL Common Technologies and User Experience impacted by Oracle 26C change</t>
        </is>
      </c>
      <c r="I406" t="inlineStr">
        <is>
          <t>Y</t>
        </is>
      </c>
      <c r="J406" t="inlineStr">
        <is>
          <t>N</t>
        </is>
      </c>
      <c r="K406" t="inlineStr">
        <is>
          <t>N</t>
        </is>
      </c>
      <c r="L406" t="inlineStr">
        <is>
          <t>N</t>
        </is>
      </c>
      <c r="M406" t="n">
        <v>1</v>
      </c>
      <c r="N406" t="n">
        <v>2</v>
      </c>
      <c r="O406" t="n">
        <v>2</v>
      </c>
      <c r="P406" t="n">
        <v>1</v>
      </c>
      <c r="Q406" t="n">
        <v>3</v>
      </c>
      <c r="R406">
        <f>IFERROR(XLOOKUP(XLOOKUP(D406,tblReleaseChanges[Change_ID],tblReleaseChanges[Oracle_Severity],""),tblSeverityMap[Severity_Text],tblSeverityMap[Score],0),0)</f>
        <v/>
      </c>
      <c r="S406" t="n">
        <v>1</v>
      </c>
      <c r="T406">
        <f>ROUND((M406*0.25)+(N406*0.20)+(O406*0.15)+(P406*0.15)+(Q406*0.10)+(R406*0.10)+(S406*0.05),2)</f>
        <v/>
      </c>
      <c r="U406">
        <f>IF(T406&gt;=4.25,"Critical",IF(T406&gt;=3.5,"High",IF(T406&gt;=2,"Medium","Low")))</f>
        <v/>
      </c>
      <c r="V406" t="inlineStr">
        <is>
          <t>Pending Review</t>
        </is>
      </c>
      <c r="W406" t="inlineStr"/>
      <c r="X406" t="inlineStr"/>
      <c r="Y406" t="inlineStr">
        <is>
          <t>Action type: Steps to Enable. You must have access to use AI Agent Studio.</t>
        </is>
      </c>
      <c r="Z406" t="inlineStr">
        <is>
          <t>N</t>
        </is>
      </c>
      <c r="AA406" t="inlineStr">
        <is>
          <t>N</t>
        </is>
      </c>
    </row>
    <row r="407">
      <c r="A407" t="inlineStr">
        <is>
          <t>ASMT_IMP_0382</t>
        </is>
      </c>
      <c r="B407" t="inlineStr">
        <is>
          <t>CLT_DFL001</t>
        </is>
      </c>
      <c r="C407" t="inlineStr">
        <is>
          <t>REL_26C</t>
        </is>
      </c>
      <c r="D407" t="inlineStr">
        <is>
          <t>CHG_IMP_0382</t>
        </is>
      </c>
      <c r="E407" t="inlineStr">
        <is>
          <t>Functional</t>
        </is>
      </c>
      <c r="F407" t="inlineStr">
        <is>
          <t>Configuration</t>
        </is>
      </c>
      <c r="G407" t="inlineStr"/>
      <c r="H407" t="inlineStr">
        <is>
          <t>DFL Common Technologies and User Experience impacted by Oracle 26C change</t>
        </is>
      </c>
      <c r="I407" t="inlineStr">
        <is>
          <t>Y</t>
        </is>
      </c>
      <c r="J407" t="inlineStr">
        <is>
          <t>N</t>
        </is>
      </c>
      <c r="K407" t="inlineStr">
        <is>
          <t>N</t>
        </is>
      </c>
      <c r="L407" t="inlineStr">
        <is>
          <t>N</t>
        </is>
      </c>
      <c r="M407" t="n">
        <v>1</v>
      </c>
      <c r="N407" t="n">
        <v>2</v>
      </c>
      <c r="O407" t="n">
        <v>2</v>
      </c>
      <c r="P407" t="n">
        <v>1</v>
      </c>
      <c r="Q407" t="n">
        <v>3</v>
      </c>
      <c r="R407">
        <f>IFERROR(XLOOKUP(XLOOKUP(D407,tblReleaseChanges[Change_ID],tblReleaseChanges[Oracle_Severity],""),tblSeverityMap[Severity_Text],tblSeverityMap[Score],0),0)</f>
        <v/>
      </c>
      <c r="S407" t="n">
        <v>1</v>
      </c>
      <c r="T407">
        <f>ROUND((M407*0.25)+(N407*0.20)+(O407*0.15)+(P407*0.15)+(Q407*0.10)+(R407*0.10)+(S407*0.05),2)</f>
        <v/>
      </c>
      <c r="U407">
        <f>IF(T407&gt;=4.25,"Critical",IF(T407&gt;=3.5,"High",IF(T407&gt;=2,"Medium","Low")))</f>
        <v/>
      </c>
      <c r="V407" t="inlineStr">
        <is>
          <t>Pending Review</t>
        </is>
      </c>
      <c r="W407" t="inlineStr"/>
      <c r="X407" t="inlineStr"/>
      <c r="Y407" t="inlineStr">
        <is>
          <t>Action type: Steps to Enable. You must have access to use AI Agent Studio.</t>
        </is>
      </c>
      <c r="Z407" t="inlineStr">
        <is>
          <t>N</t>
        </is>
      </c>
      <c r="AA407" t="inlineStr">
        <is>
          <t>N</t>
        </is>
      </c>
    </row>
    <row r="408">
      <c r="A408" t="inlineStr">
        <is>
          <t>ASMT_IMP_0383</t>
        </is>
      </c>
      <c r="B408" t="inlineStr">
        <is>
          <t>CLT_DFL001</t>
        </is>
      </c>
      <c r="C408" t="inlineStr">
        <is>
          <t>REL_26C</t>
        </is>
      </c>
      <c r="D408" t="inlineStr">
        <is>
          <t>CHG_IMP_0383</t>
        </is>
      </c>
      <c r="E408" t="inlineStr">
        <is>
          <t>Functional</t>
        </is>
      </c>
      <c r="F408" t="inlineStr">
        <is>
          <t>Configuration</t>
        </is>
      </c>
      <c r="G408" t="inlineStr"/>
      <c r="H408" t="inlineStr">
        <is>
          <t>DFL Common Technologies and User Experience impacted by Oracle 26C change</t>
        </is>
      </c>
      <c r="I408" t="inlineStr">
        <is>
          <t>Y</t>
        </is>
      </c>
      <c r="J408" t="inlineStr">
        <is>
          <t>N</t>
        </is>
      </c>
      <c r="K408" t="inlineStr">
        <is>
          <t>N</t>
        </is>
      </c>
      <c r="L408" t="inlineStr">
        <is>
          <t>N</t>
        </is>
      </c>
      <c r="M408" t="n">
        <v>1</v>
      </c>
      <c r="N408" t="n">
        <v>2</v>
      </c>
      <c r="O408" t="n">
        <v>2</v>
      </c>
      <c r="P408" t="n">
        <v>1</v>
      </c>
      <c r="Q408" t="n">
        <v>3</v>
      </c>
      <c r="R408">
        <f>IFERROR(XLOOKUP(XLOOKUP(D408,tblReleaseChanges[Change_ID],tblReleaseChanges[Oracle_Severity],""),tblSeverityMap[Severity_Text],tblSeverityMap[Score],0),0)</f>
        <v/>
      </c>
      <c r="S408" t="n">
        <v>1</v>
      </c>
      <c r="T408">
        <f>ROUND((M408*0.25)+(N408*0.20)+(O408*0.15)+(P408*0.15)+(Q408*0.10)+(R408*0.10)+(S408*0.05),2)</f>
        <v/>
      </c>
      <c r="U408">
        <f>IF(T408&gt;=4.25,"Critical",IF(T408&gt;=3.5,"High",IF(T408&gt;=2,"Medium","Low")))</f>
        <v/>
      </c>
      <c r="V408" t="inlineStr">
        <is>
          <t>Pending Review</t>
        </is>
      </c>
      <c r="W408" t="inlineStr"/>
      <c r="X408" t="inlineStr"/>
      <c r="Y408" t="inlineStr">
        <is>
          <t>Auto-enabled — no action required</t>
        </is>
      </c>
      <c r="Z408" t="inlineStr">
        <is>
          <t>N</t>
        </is>
      </c>
      <c r="AA408" t="inlineStr">
        <is>
          <t>N</t>
        </is>
      </c>
    </row>
    <row r="409">
      <c r="A409" t="inlineStr">
        <is>
          <t>ASMT_IMP_0384</t>
        </is>
      </c>
      <c r="B409" t="inlineStr">
        <is>
          <t>CLT_DFL001</t>
        </is>
      </c>
      <c r="C409" t="inlineStr">
        <is>
          <t>REL_26C</t>
        </is>
      </c>
      <c r="D409" t="inlineStr">
        <is>
          <t>CHG_IMP_0384</t>
        </is>
      </c>
      <c r="E409" t="inlineStr">
        <is>
          <t>AI Feature</t>
        </is>
      </c>
      <c r="F409" t="inlineStr">
        <is>
          <t>Configuration</t>
        </is>
      </c>
      <c r="G409" t="inlineStr"/>
      <c r="H409" t="inlineStr">
        <is>
          <t>DFL Common Technologies and User Experience impacted by Oracle 26C change</t>
        </is>
      </c>
      <c r="I409" t="inlineStr">
        <is>
          <t>Y</t>
        </is>
      </c>
      <c r="J409" t="inlineStr">
        <is>
          <t>N</t>
        </is>
      </c>
      <c r="K409" t="inlineStr">
        <is>
          <t>N</t>
        </is>
      </c>
      <c r="L409" t="inlineStr">
        <is>
          <t>N</t>
        </is>
      </c>
      <c r="M409" t="n">
        <v>1</v>
      </c>
      <c r="N409" t="n">
        <v>2</v>
      </c>
      <c r="O409" t="n">
        <v>2</v>
      </c>
      <c r="P409" t="n">
        <v>3</v>
      </c>
      <c r="Q409" t="n">
        <v>3</v>
      </c>
      <c r="R409">
        <f>IFERROR(XLOOKUP(XLOOKUP(D409,tblReleaseChanges[Change_ID],tblReleaseChanges[Oracle_Severity],""),tblSeverityMap[Severity_Text],tblSeverityMap[Score],0),0)</f>
        <v/>
      </c>
      <c r="S409" t="n">
        <v>1</v>
      </c>
      <c r="T409">
        <f>ROUND((M409*0.25)+(N409*0.20)+(O409*0.15)+(P409*0.15)+(Q409*0.10)+(R409*0.10)+(S409*0.05),2)</f>
        <v/>
      </c>
      <c r="U409">
        <f>IF(T409&gt;=4.25,"Critical",IF(T409&gt;=3.5,"High",IF(T409&gt;=2,"Medium","Low")))</f>
        <v/>
      </c>
      <c r="V409" t="inlineStr">
        <is>
          <t>Pending Review</t>
        </is>
      </c>
      <c r="W409" t="inlineStr"/>
      <c r="X409" t="inlineStr"/>
      <c r="Y409" t="inlineStr">
        <is>
          <t>Action type: Steps to Enable. You must have access to use AI Agent Studio.</t>
        </is>
      </c>
      <c r="Z409" t="inlineStr">
        <is>
          <t>N</t>
        </is>
      </c>
      <c r="AA409" t="inlineStr">
        <is>
          <t>N</t>
        </is>
      </c>
    </row>
    <row r="410">
      <c r="A410" t="inlineStr">
        <is>
          <t>ASMT_IMP_0385</t>
        </is>
      </c>
      <c r="B410" t="inlineStr">
        <is>
          <t>CLT_DFL001</t>
        </is>
      </c>
      <c r="C410" t="inlineStr">
        <is>
          <t>REL_26C</t>
        </is>
      </c>
      <c r="D410" t="inlineStr">
        <is>
          <t>CHG_IMP_0385</t>
        </is>
      </c>
      <c r="E410" t="inlineStr">
        <is>
          <t>Functional</t>
        </is>
      </c>
      <c r="F410" t="inlineStr">
        <is>
          <t>Configuration</t>
        </is>
      </c>
      <c r="G410" t="inlineStr"/>
      <c r="H410" t="inlineStr">
        <is>
          <t>DFL Common Technologies and User Experience impacted by Oracle 26C change</t>
        </is>
      </c>
      <c r="I410" t="inlineStr">
        <is>
          <t>Y</t>
        </is>
      </c>
      <c r="J410" t="inlineStr">
        <is>
          <t>N</t>
        </is>
      </c>
      <c r="K410" t="inlineStr">
        <is>
          <t>N</t>
        </is>
      </c>
      <c r="L410" t="inlineStr">
        <is>
          <t>N</t>
        </is>
      </c>
      <c r="M410" t="n">
        <v>1</v>
      </c>
      <c r="N410" t="n">
        <v>2</v>
      </c>
      <c r="O410" t="n">
        <v>2</v>
      </c>
      <c r="P410" t="n">
        <v>1</v>
      </c>
      <c r="Q410" t="n">
        <v>3</v>
      </c>
      <c r="R410">
        <f>IFERROR(XLOOKUP(XLOOKUP(D410,tblReleaseChanges[Change_ID],tblReleaseChanges[Oracle_Severity],""),tblSeverityMap[Severity_Text],tblSeverityMap[Score],0),0)</f>
        <v/>
      </c>
      <c r="S410" t="n">
        <v>1</v>
      </c>
      <c r="T410">
        <f>ROUND((M410*0.25)+(N410*0.20)+(O410*0.15)+(P410*0.15)+(Q410*0.10)+(R410*0.10)+(S410*0.05),2)</f>
        <v/>
      </c>
      <c r="U410">
        <f>IF(T410&gt;=4.25,"Critical",IF(T410&gt;=3.5,"High",IF(T410&gt;=2,"Medium","Low")))</f>
        <v/>
      </c>
      <c r="V410" t="inlineStr">
        <is>
          <t>Pending Review</t>
        </is>
      </c>
      <c r="W410" t="inlineStr"/>
      <c r="X410" t="inlineStr"/>
      <c r="Y410" t="inlineStr">
        <is>
          <t>Auto-enabled — no action required</t>
        </is>
      </c>
      <c r="Z410" t="inlineStr">
        <is>
          <t>N</t>
        </is>
      </c>
      <c r="AA410" t="inlineStr">
        <is>
          <t>N</t>
        </is>
      </c>
    </row>
    <row r="411">
      <c r="A411" t="inlineStr">
        <is>
          <t>ASMT_IMP_0386</t>
        </is>
      </c>
      <c r="B411" t="inlineStr">
        <is>
          <t>CLT_DFL001</t>
        </is>
      </c>
      <c r="C411" t="inlineStr">
        <is>
          <t>REL_26C</t>
        </is>
      </c>
      <c r="D411" t="inlineStr">
        <is>
          <t>CHG_IMP_0386</t>
        </is>
      </c>
      <c r="E411" t="inlineStr">
        <is>
          <t>Functional</t>
        </is>
      </c>
      <c r="F411" t="inlineStr">
        <is>
          <t>Configuration</t>
        </is>
      </c>
      <c r="G411" t="inlineStr"/>
      <c r="H411" t="inlineStr">
        <is>
          <t>DFL Common Technologies and User Experience impacted by Oracle 26C change</t>
        </is>
      </c>
      <c r="I411" t="inlineStr">
        <is>
          <t>Y</t>
        </is>
      </c>
      <c r="J411" t="inlineStr">
        <is>
          <t>N</t>
        </is>
      </c>
      <c r="K411" t="inlineStr">
        <is>
          <t>N</t>
        </is>
      </c>
      <c r="L411" t="inlineStr">
        <is>
          <t>N</t>
        </is>
      </c>
      <c r="M411" t="n">
        <v>1</v>
      </c>
      <c r="N411" t="n">
        <v>2</v>
      </c>
      <c r="O411" t="n">
        <v>2</v>
      </c>
      <c r="P411" t="n">
        <v>1</v>
      </c>
      <c r="Q411" t="n">
        <v>3</v>
      </c>
      <c r="R411">
        <f>IFERROR(XLOOKUP(XLOOKUP(D411,tblReleaseChanges[Change_ID],tblReleaseChanges[Oracle_Severity],""),tblSeverityMap[Severity_Text],tblSeverityMap[Score],0),0)</f>
        <v/>
      </c>
      <c r="S411" t="n">
        <v>1</v>
      </c>
      <c r="T411">
        <f>ROUND((M411*0.25)+(N411*0.20)+(O411*0.15)+(P411*0.15)+(Q411*0.10)+(R411*0.10)+(S411*0.05),2)</f>
        <v/>
      </c>
      <c r="U411">
        <f>IF(T411&gt;=4.25,"Critical",IF(T411&gt;=3.5,"High",IF(T411&gt;=2,"Medium","Low")))</f>
        <v/>
      </c>
      <c r="V411" t="inlineStr">
        <is>
          <t>Pending Review</t>
        </is>
      </c>
      <c r="W411" t="inlineStr"/>
      <c r="X411" t="inlineStr"/>
      <c r="Y411" t="inlineStr">
        <is>
          <t>Auto-enabled — no action required</t>
        </is>
      </c>
      <c r="Z411" t="inlineStr">
        <is>
          <t>N</t>
        </is>
      </c>
      <c r="AA411" t="inlineStr">
        <is>
          <t>N</t>
        </is>
      </c>
    </row>
    <row r="412">
      <c r="A412" t="inlineStr">
        <is>
          <t>ASMT_IMP_0387</t>
        </is>
      </c>
      <c r="B412" t="inlineStr">
        <is>
          <t>CLT_DFL001</t>
        </is>
      </c>
      <c r="C412" t="inlineStr">
        <is>
          <t>REL_26C</t>
        </is>
      </c>
      <c r="D412" t="inlineStr">
        <is>
          <t>CHG_IMP_0387</t>
        </is>
      </c>
      <c r="E412" t="inlineStr">
        <is>
          <t>Functional</t>
        </is>
      </c>
      <c r="F412" t="inlineStr">
        <is>
          <t>Configuration</t>
        </is>
      </c>
      <c r="G412" t="inlineStr"/>
      <c r="H412" t="inlineStr">
        <is>
          <t>DFL Common Technologies and User Experience impacted by Oracle 26C change</t>
        </is>
      </c>
      <c r="I412" t="inlineStr">
        <is>
          <t>Y</t>
        </is>
      </c>
      <c r="J412" t="inlineStr">
        <is>
          <t>N</t>
        </is>
      </c>
      <c r="K412" t="inlineStr">
        <is>
          <t>N</t>
        </is>
      </c>
      <c r="L412" t="inlineStr">
        <is>
          <t>N</t>
        </is>
      </c>
      <c r="M412" t="n">
        <v>1</v>
      </c>
      <c r="N412" t="n">
        <v>2</v>
      </c>
      <c r="O412" t="n">
        <v>2</v>
      </c>
      <c r="P412" t="n">
        <v>1</v>
      </c>
      <c r="Q412" t="n">
        <v>3</v>
      </c>
      <c r="R412">
        <f>IFERROR(XLOOKUP(XLOOKUP(D412,tblReleaseChanges[Change_ID],tblReleaseChanges[Oracle_Severity],""),tblSeverityMap[Severity_Text],tblSeverityMap[Score],0),0)</f>
        <v/>
      </c>
      <c r="S412" t="n">
        <v>1</v>
      </c>
      <c r="T412">
        <f>ROUND((M412*0.25)+(N412*0.20)+(O412*0.15)+(P412*0.15)+(Q412*0.10)+(R412*0.10)+(S412*0.05),2)</f>
        <v/>
      </c>
      <c r="U412">
        <f>IF(T412&gt;=4.25,"Critical",IF(T412&gt;=3.5,"High",IF(T412&gt;=2,"Medium","Low")))</f>
        <v/>
      </c>
      <c r="V412" t="inlineStr">
        <is>
          <t>Pending Review</t>
        </is>
      </c>
      <c r="W412" t="inlineStr"/>
      <c r="X412" t="inlineStr"/>
      <c r="Y412" t="inlineStr">
        <is>
          <t>Auto-enabled — no action required</t>
        </is>
      </c>
      <c r="Z412" t="inlineStr">
        <is>
          <t>N</t>
        </is>
      </c>
      <c r="AA412" t="inlineStr">
        <is>
          <t>N</t>
        </is>
      </c>
    </row>
    <row r="413">
      <c r="A413" t="inlineStr">
        <is>
          <t>ASMT_IMP_0388</t>
        </is>
      </c>
      <c r="B413" t="inlineStr">
        <is>
          <t>CLT_DFL001</t>
        </is>
      </c>
      <c r="C413" t="inlineStr">
        <is>
          <t>REL_26C</t>
        </is>
      </c>
      <c r="D413" t="inlineStr">
        <is>
          <t>CHG_IMP_0388</t>
        </is>
      </c>
      <c r="E413" t="inlineStr">
        <is>
          <t>Functional</t>
        </is>
      </c>
      <c r="F413" t="inlineStr">
        <is>
          <t>Configuration</t>
        </is>
      </c>
      <c r="G413" t="inlineStr"/>
      <c r="H413" t="inlineStr">
        <is>
          <t>DFL Common Technologies and User Experience impacted by Oracle 26C change</t>
        </is>
      </c>
      <c r="I413" t="inlineStr">
        <is>
          <t>Y</t>
        </is>
      </c>
      <c r="J413" t="inlineStr">
        <is>
          <t>N</t>
        </is>
      </c>
      <c r="K413" t="inlineStr">
        <is>
          <t>N</t>
        </is>
      </c>
      <c r="L413" t="inlineStr">
        <is>
          <t>N</t>
        </is>
      </c>
      <c r="M413" t="n">
        <v>1</v>
      </c>
      <c r="N413" t="n">
        <v>2</v>
      </c>
      <c r="O413" t="n">
        <v>2</v>
      </c>
      <c r="P413" t="n">
        <v>1</v>
      </c>
      <c r="Q413" t="n">
        <v>3</v>
      </c>
      <c r="R413">
        <f>IFERROR(XLOOKUP(XLOOKUP(D413,tblReleaseChanges[Change_ID],tblReleaseChanges[Oracle_Severity],""),tblSeverityMap[Severity_Text],tblSeverityMap[Score],0),0)</f>
        <v/>
      </c>
      <c r="S413" t="n">
        <v>1</v>
      </c>
      <c r="T413">
        <f>ROUND((M413*0.25)+(N413*0.20)+(O413*0.15)+(P413*0.15)+(Q413*0.10)+(R413*0.10)+(S413*0.05),2)</f>
        <v/>
      </c>
      <c r="U413">
        <f>IF(T413&gt;=4.25,"Critical",IF(T413&gt;=3.5,"High",IF(T413&gt;=2,"Medium","Low")))</f>
        <v/>
      </c>
      <c r="V413" t="inlineStr">
        <is>
          <t>Pending Review</t>
        </is>
      </c>
      <c r="W413" t="inlineStr"/>
      <c r="X413" t="inlineStr"/>
      <c r="Y413" t="inlineStr">
        <is>
          <t>Action type: Steps to Enable. If you have an existing theme with the custom color that meets the contrast requirements, your color isn't automatical</t>
        </is>
      </c>
      <c r="Z413" t="inlineStr">
        <is>
          <t>N</t>
        </is>
      </c>
      <c r="AA413" t="inlineStr">
        <is>
          <t>N</t>
        </is>
      </c>
    </row>
    <row r="414">
      <c r="A414" t="inlineStr">
        <is>
          <t>ASMT_IMP_0389</t>
        </is>
      </c>
      <c r="B414" t="inlineStr">
        <is>
          <t>CLT_DFL001</t>
        </is>
      </c>
      <c r="C414" t="inlineStr">
        <is>
          <t>REL_26C</t>
        </is>
      </c>
      <c r="D414" t="inlineStr">
        <is>
          <t>CHG_IMP_0389</t>
        </is>
      </c>
      <c r="E414" t="inlineStr">
        <is>
          <t>Functional</t>
        </is>
      </c>
      <c r="F414" t="inlineStr">
        <is>
          <t>Configuration</t>
        </is>
      </c>
      <c r="G414" t="inlineStr"/>
      <c r="H414" t="inlineStr">
        <is>
          <t>DFL Common Technologies and User Experience impacted by Oracle 26C change</t>
        </is>
      </c>
      <c r="I414" t="inlineStr">
        <is>
          <t>Y</t>
        </is>
      </c>
      <c r="J414" t="inlineStr">
        <is>
          <t>N</t>
        </is>
      </c>
      <c r="K414" t="inlineStr">
        <is>
          <t>N</t>
        </is>
      </c>
      <c r="L414" t="inlineStr">
        <is>
          <t>N</t>
        </is>
      </c>
      <c r="M414" t="n">
        <v>1</v>
      </c>
      <c r="N414" t="n">
        <v>2</v>
      </c>
      <c r="O414" t="n">
        <v>2</v>
      </c>
      <c r="P414" t="n">
        <v>1</v>
      </c>
      <c r="Q414" t="n">
        <v>3</v>
      </c>
      <c r="R414">
        <f>IFERROR(XLOOKUP(XLOOKUP(D414,tblReleaseChanges[Change_ID],tblReleaseChanges[Oracle_Severity],""),tblSeverityMap[Severity_Text],tblSeverityMap[Score],0),0)</f>
        <v/>
      </c>
      <c r="S414" t="n">
        <v>1</v>
      </c>
      <c r="T414">
        <f>ROUND((M414*0.25)+(N414*0.20)+(O414*0.15)+(P414*0.15)+(Q414*0.10)+(R414*0.10)+(S414*0.05),2)</f>
        <v/>
      </c>
      <c r="U414">
        <f>IF(T414&gt;=4.25,"Critical",IF(T414&gt;=3.5,"High",IF(T414&gt;=2,"Medium","Low")))</f>
        <v/>
      </c>
      <c r="V414" t="inlineStr">
        <is>
          <t>Pending Review</t>
        </is>
      </c>
      <c r="W414" t="inlineStr"/>
      <c r="X414" t="inlineStr"/>
      <c r="Y414" t="inlineStr">
        <is>
          <t>Action type: Steps to Enable. Use the Opt In UI to enable this feature. For instructions, refer to the Optional Uptake of New Features section of this doc</t>
        </is>
      </c>
      <c r="Z414" t="inlineStr">
        <is>
          <t>N</t>
        </is>
      </c>
      <c r="AA414" t="inlineStr">
        <is>
          <t>N</t>
        </is>
      </c>
    </row>
    <row r="415">
      <c r="A415" t="inlineStr">
        <is>
          <t>ASMT_IMP_0390</t>
        </is>
      </c>
      <c r="B415" t="inlineStr">
        <is>
          <t>CLT_DFL001</t>
        </is>
      </c>
      <c r="C415" t="inlineStr">
        <is>
          <t>REL_26C</t>
        </is>
      </c>
      <c r="D415" t="inlineStr">
        <is>
          <t>CHG_IMP_0390</t>
        </is>
      </c>
      <c r="E415" t="inlineStr">
        <is>
          <t>AI Feature</t>
        </is>
      </c>
      <c r="F415" t="inlineStr">
        <is>
          <t>Configuration</t>
        </is>
      </c>
      <c r="G415" t="inlineStr"/>
      <c r="H415" t="inlineStr">
        <is>
          <t>DFL Common Technologies and User Experience impacted by Oracle 26C change</t>
        </is>
      </c>
      <c r="I415" t="inlineStr">
        <is>
          <t>Y</t>
        </is>
      </c>
      <c r="J415" t="inlineStr">
        <is>
          <t>N</t>
        </is>
      </c>
      <c r="K415" t="inlineStr">
        <is>
          <t>N</t>
        </is>
      </c>
      <c r="L415" t="inlineStr">
        <is>
          <t>N</t>
        </is>
      </c>
      <c r="M415" t="n">
        <v>1</v>
      </c>
      <c r="N415" t="n">
        <v>2</v>
      </c>
      <c r="O415" t="n">
        <v>2</v>
      </c>
      <c r="P415" t="n">
        <v>3</v>
      </c>
      <c r="Q415" t="n">
        <v>3</v>
      </c>
      <c r="R415">
        <f>IFERROR(XLOOKUP(XLOOKUP(D415,tblReleaseChanges[Change_ID],tblReleaseChanges[Oracle_Severity],""),tblSeverityMap[Severity_Text],tblSeverityMap[Score],0),0)</f>
        <v/>
      </c>
      <c r="S415" t="n">
        <v>1</v>
      </c>
      <c r="T415">
        <f>ROUND((M415*0.25)+(N415*0.20)+(O415*0.15)+(P415*0.15)+(Q415*0.10)+(R415*0.10)+(S415*0.05),2)</f>
        <v/>
      </c>
      <c r="U415">
        <f>IF(T415&gt;=4.25,"Critical",IF(T415&gt;=3.5,"High",IF(T415&gt;=2,"Medium","Low")))</f>
        <v/>
      </c>
      <c r="V415" t="inlineStr">
        <is>
          <t>Pending Review</t>
        </is>
      </c>
      <c r="W415" t="inlineStr"/>
      <c r="X415" t="inlineStr"/>
      <c r="Y415" t="inlineStr">
        <is>
          <t>Action type: Steps to Enable. You must have access to use AI Agent Studio.</t>
        </is>
      </c>
      <c r="Z415" t="inlineStr">
        <is>
          <t>N</t>
        </is>
      </c>
      <c r="AA415" t="inlineStr">
        <is>
          <t>N</t>
        </is>
      </c>
    </row>
    <row r="416">
      <c r="A416" t="inlineStr">
        <is>
          <t>ASMT_IMP_0391</t>
        </is>
      </c>
      <c r="B416" t="inlineStr">
        <is>
          <t>CLT_DFL001</t>
        </is>
      </c>
      <c r="C416" t="inlineStr">
        <is>
          <t>REL_26C</t>
        </is>
      </c>
      <c r="D416" t="inlineStr">
        <is>
          <t>CHG_IMP_0391</t>
        </is>
      </c>
      <c r="E416" t="inlineStr">
        <is>
          <t>AI Feature</t>
        </is>
      </c>
      <c r="F416" t="inlineStr">
        <is>
          <t>Configuration</t>
        </is>
      </c>
      <c r="G416" t="inlineStr"/>
      <c r="H416" t="inlineStr">
        <is>
          <t>DFL Common Technologies and User Experience impacted by Oracle 26C change</t>
        </is>
      </c>
      <c r="I416" t="inlineStr">
        <is>
          <t>Y</t>
        </is>
      </c>
      <c r="J416" t="inlineStr">
        <is>
          <t>N</t>
        </is>
      </c>
      <c r="K416" t="inlineStr">
        <is>
          <t>N</t>
        </is>
      </c>
      <c r="L416" t="inlineStr">
        <is>
          <t>N</t>
        </is>
      </c>
      <c r="M416" t="n">
        <v>1</v>
      </c>
      <c r="N416" t="n">
        <v>2</v>
      </c>
      <c r="O416" t="n">
        <v>2</v>
      </c>
      <c r="P416" t="n">
        <v>3</v>
      </c>
      <c r="Q416" t="n">
        <v>3</v>
      </c>
      <c r="R416">
        <f>IFERROR(XLOOKUP(XLOOKUP(D416,tblReleaseChanges[Change_ID],tblReleaseChanges[Oracle_Severity],""),tblSeverityMap[Severity_Text],tblSeverityMap[Score],0),0)</f>
        <v/>
      </c>
      <c r="S416" t="n">
        <v>1</v>
      </c>
      <c r="T416">
        <f>ROUND((M416*0.25)+(N416*0.20)+(O416*0.15)+(P416*0.15)+(Q416*0.10)+(R416*0.10)+(S416*0.05),2)</f>
        <v/>
      </c>
      <c r="U416">
        <f>IF(T416&gt;=4.25,"Critical",IF(T416&gt;=3.5,"High",IF(T416&gt;=2,"Medium","Low")))</f>
        <v/>
      </c>
      <c r="V416" t="inlineStr">
        <is>
          <t>Pending Review</t>
        </is>
      </c>
      <c r="W416" t="inlineStr"/>
      <c r="X416" t="inlineStr"/>
      <c r="Y416" t="inlineStr">
        <is>
          <t>Action type: Steps to Enable. You must have access to use AI Agent Studio.</t>
        </is>
      </c>
      <c r="Z416" t="inlineStr">
        <is>
          <t>N</t>
        </is>
      </c>
      <c r="AA416" t="inlineStr">
        <is>
          <t>N</t>
        </is>
      </c>
    </row>
    <row r="417">
      <c r="A417" t="inlineStr">
        <is>
          <t>ASMT_IMP_0392</t>
        </is>
      </c>
      <c r="B417" t="inlineStr">
        <is>
          <t>CLT_DFL001</t>
        </is>
      </c>
      <c r="C417" t="inlineStr">
        <is>
          <t>REL_26C</t>
        </is>
      </c>
      <c r="D417" t="inlineStr">
        <is>
          <t>CHG_IMP_0392</t>
        </is>
      </c>
      <c r="E417" t="inlineStr">
        <is>
          <t>AI Feature</t>
        </is>
      </c>
      <c r="F417" t="inlineStr">
        <is>
          <t>Configuration</t>
        </is>
      </c>
      <c r="G417" t="inlineStr"/>
      <c r="H417" t="inlineStr">
        <is>
          <t>DFL Common Technologies and User Experience impacted by Oracle 26C change</t>
        </is>
      </c>
      <c r="I417" t="inlineStr">
        <is>
          <t>Y</t>
        </is>
      </c>
      <c r="J417" t="inlineStr">
        <is>
          <t>N</t>
        </is>
      </c>
      <c r="K417" t="inlineStr">
        <is>
          <t>N</t>
        </is>
      </c>
      <c r="L417" t="inlineStr">
        <is>
          <t>N</t>
        </is>
      </c>
      <c r="M417" t="n">
        <v>1</v>
      </c>
      <c r="N417" t="n">
        <v>2</v>
      </c>
      <c r="O417" t="n">
        <v>2</v>
      </c>
      <c r="P417" t="n">
        <v>3</v>
      </c>
      <c r="Q417" t="n">
        <v>3</v>
      </c>
      <c r="R417">
        <f>IFERROR(XLOOKUP(XLOOKUP(D417,tblReleaseChanges[Change_ID],tblReleaseChanges[Oracle_Severity],""),tblSeverityMap[Severity_Text],tblSeverityMap[Score],0),0)</f>
        <v/>
      </c>
      <c r="S417" t="n">
        <v>1</v>
      </c>
      <c r="T417">
        <f>ROUND((M417*0.25)+(N417*0.20)+(O417*0.15)+(P417*0.15)+(Q417*0.10)+(R417*0.10)+(S417*0.05),2)</f>
        <v/>
      </c>
      <c r="U417">
        <f>IF(T417&gt;=4.25,"Critical",IF(T417&gt;=3.5,"High",IF(T417&gt;=2,"Medium","Low")))</f>
        <v/>
      </c>
      <c r="V417" t="inlineStr">
        <is>
          <t>Pending Review</t>
        </is>
      </c>
      <c r="W417" t="inlineStr"/>
      <c r="X417" t="inlineStr"/>
      <c r="Y417" t="inlineStr">
        <is>
          <t>Action type: Steps to Enable. You must have access to use AI Agent Studio.</t>
        </is>
      </c>
      <c r="Z417" t="inlineStr">
        <is>
          <t>N</t>
        </is>
      </c>
      <c r="AA417" t="inlineStr">
        <is>
          <t>N</t>
        </is>
      </c>
    </row>
    <row r="418">
      <c r="A418" t="inlineStr">
        <is>
          <t>ASMT_IMP_0393</t>
        </is>
      </c>
      <c r="B418" t="inlineStr">
        <is>
          <t>CLT_DFL001</t>
        </is>
      </c>
      <c r="C418" t="inlineStr">
        <is>
          <t>REL_26C</t>
        </is>
      </c>
      <c r="D418" t="inlineStr">
        <is>
          <t>CHG_IMP_0393</t>
        </is>
      </c>
      <c r="E418" t="inlineStr">
        <is>
          <t>AI Feature</t>
        </is>
      </c>
      <c r="F418" t="inlineStr">
        <is>
          <t>Configuration</t>
        </is>
      </c>
      <c r="G418" t="inlineStr"/>
      <c r="H418" t="inlineStr">
        <is>
          <t>DFL Common Technologies and User Experience impacted by Oracle 26C change</t>
        </is>
      </c>
      <c r="I418" t="inlineStr">
        <is>
          <t>Y</t>
        </is>
      </c>
      <c r="J418" t="inlineStr">
        <is>
          <t>N</t>
        </is>
      </c>
      <c r="K418" t="inlineStr">
        <is>
          <t>N</t>
        </is>
      </c>
      <c r="L418" t="inlineStr">
        <is>
          <t>N</t>
        </is>
      </c>
      <c r="M418" t="n">
        <v>1</v>
      </c>
      <c r="N418" t="n">
        <v>2</v>
      </c>
      <c r="O418" t="n">
        <v>2</v>
      </c>
      <c r="P418" t="n">
        <v>3</v>
      </c>
      <c r="Q418" t="n">
        <v>3</v>
      </c>
      <c r="R418">
        <f>IFERROR(XLOOKUP(XLOOKUP(D418,tblReleaseChanges[Change_ID],tblReleaseChanges[Oracle_Severity],""),tblSeverityMap[Severity_Text],tblSeverityMap[Score],0),0)</f>
        <v/>
      </c>
      <c r="S418" t="n">
        <v>1</v>
      </c>
      <c r="T418">
        <f>ROUND((M418*0.25)+(N418*0.20)+(O418*0.15)+(P418*0.15)+(Q418*0.10)+(R418*0.10)+(S418*0.05),2)</f>
        <v/>
      </c>
      <c r="U418">
        <f>IF(T418&gt;=4.25,"Critical",IF(T418&gt;=3.5,"High",IF(T418&gt;=2,"Medium","Low")))</f>
        <v/>
      </c>
      <c r="V418" t="inlineStr">
        <is>
          <t>Pending Review</t>
        </is>
      </c>
      <c r="W418" t="inlineStr"/>
      <c r="X418" t="inlineStr"/>
      <c r="Y418" t="inlineStr">
        <is>
          <t>Action type: Steps to Enable. You must have access to use AI Agent Studio.</t>
        </is>
      </c>
      <c r="Z418" t="inlineStr">
        <is>
          <t>N</t>
        </is>
      </c>
      <c r="AA418" t="inlineStr">
        <is>
          <t>N</t>
        </is>
      </c>
    </row>
    <row r="419">
      <c r="A419" t="inlineStr">
        <is>
          <t>ASMT_IMP_0394</t>
        </is>
      </c>
      <c r="B419" t="inlineStr">
        <is>
          <t>CLT_DFL001</t>
        </is>
      </c>
      <c r="C419" t="inlineStr">
        <is>
          <t>REL_26C</t>
        </is>
      </c>
      <c r="D419" t="inlineStr">
        <is>
          <t>CHG_IMP_0394</t>
        </is>
      </c>
      <c r="E419" t="inlineStr">
        <is>
          <t>AI Feature</t>
        </is>
      </c>
      <c r="F419" t="inlineStr">
        <is>
          <t>Configuration</t>
        </is>
      </c>
      <c r="G419" t="inlineStr"/>
      <c r="H419" t="inlineStr">
        <is>
          <t>DFL Common Technologies and User Experience impacted by Oracle 26C change</t>
        </is>
      </c>
      <c r="I419" t="inlineStr">
        <is>
          <t>Y</t>
        </is>
      </c>
      <c r="J419" t="inlineStr">
        <is>
          <t>N</t>
        </is>
      </c>
      <c r="K419" t="inlineStr">
        <is>
          <t>N</t>
        </is>
      </c>
      <c r="L419" t="inlineStr">
        <is>
          <t>N</t>
        </is>
      </c>
      <c r="M419" t="n">
        <v>1</v>
      </c>
      <c r="N419" t="n">
        <v>2</v>
      </c>
      <c r="O419" t="n">
        <v>2</v>
      </c>
      <c r="P419" t="n">
        <v>3</v>
      </c>
      <c r="Q419" t="n">
        <v>3</v>
      </c>
      <c r="R419">
        <f>IFERROR(XLOOKUP(XLOOKUP(D419,tblReleaseChanges[Change_ID],tblReleaseChanges[Oracle_Severity],""),tblSeverityMap[Severity_Text],tblSeverityMap[Score],0),0)</f>
        <v/>
      </c>
      <c r="S419" t="n">
        <v>1</v>
      </c>
      <c r="T419">
        <f>ROUND((M419*0.25)+(N419*0.20)+(O419*0.15)+(P419*0.15)+(Q419*0.10)+(R419*0.10)+(S419*0.05),2)</f>
        <v/>
      </c>
      <c r="U419">
        <f>IF(T419&gt;=4.25,"Critical",IF(T419&gt;=3.5,"High",IF(T419&gt;=2,"Medium","Low")))</f>
        <v/>
      </c>
      <c r="V419" t="inlineStr">
        <is>
          <t>Pending Review</t>
        </is>
      </c>
      <c r="W419" t="inlineStr"/>
      <c r="X419" t="inlineStr"/>
      <c r="Y419" t="inlineStr">
        <is>
          <t>Action type: Steps to Enable. • You must have access to use AI Agent Studio. • Download the AI Agent Studio CLI.</t>
        </is>
      </c>
      <c r="Z419" t="inlineStr">
        <is>
          <t>N</t>
        </is>
      </c>
      <c r="AA419" t="inlineStr">
        <is>
          <t>N</t>
        </is>
      </c>
    </row>
    <row r="420">
      <c r="A420" t="inlineStr">
        <is>
          <t>ASMT_IMP_0395</t>
        </is>
      </c>
      <c r="B420" t="inlineStr">
        <is>
          <t>CLT_DFL001</t>
        </is>
      </c>
      <c r="C420" t="inlineStr">
        <is>
          <t>REL_26C</t>
        </is>
      </c>
      <c r="D420" t="inlineStr">
        <is>
          <t>CHG_IMP_0395</t>
        </is>
      </c>
      <c r="E420" t="inlineStr">
        <is>
          <t>AI Feature</t>
        </is>
      </c>
      <c r="F420" t="inlineStr">
        <is>
          <t>Configuration</t>
        </is>
      </c>
      <c r="G420" t="inlineStr"/>
      <c r="H420" t="inlineStr">
        <is>
          <t>DFL Common Technologies and User Experience impacted by Oracle 26C change</t>
        </is>
      </c>
      <c r="I420" t="inlineStr">
        <is>
          <t>Y</t>
        </is>
      </c>
      <c r="J420" t="inlineStr">
        <is>
          <t>N</t>
        </is>
      </c>
      <c r="K420" t="inlineStr">
        <is>
          <t>N</t>
        </is>
      </c>
      <c r="L420" t="inlineStr">
        <is>
          <t>N</t>
        </is>
      </c>
      <c r="M420" t="n">
        <v>1</v>
      </c>
      <c r="N420" t="n">
        <v>2</v>
      </c>
      <c r="O420" t="n">
        <v>2</v>
      </c>
      <c r="P420" t="n">
        <v>3</v>
      </c>
      <c r="Q420" t="n">
        <v>3</v>
      </c>
      <c r="R420">
        <f>IFERROR(XLOOKUP(XLOOKUP(D420,tblReleaseChanges[Change_ID],tblReleaseChanges[Oracle_Severity],""),tblSeverityMap[Severity_Text],tblSeverityMap[Score],0),0)</f>
        <v/>
      </c>
      <c r="S420" t="n">
        <v>1</v>
      </c>
      <c r="T420">
        <f>ROUND((M420*0.25)+(N420*0.20)+(O420*0.15)+(P420*0.15)+(Q420*0.10)+(R420*0.10)+(S420*0.05),2)</f>
        <v/>
      </c>
      <c r="U420">
        <f>IF(T420&gt;=4.25,"Critical",IF(T420&gt;=3.5,"High",IF(T420&gt;=2,"Medium","Low")))</f>
        <v/>
      </c>
      <c r="V420" t="inlineStr">
        <is>
          <t>Pending Review</t>
        </is>
      </c>
      <c r="W420" t="inlineStr"/>
      <c r="X420" t="inlineStr"/>
      <c r="Y420" t="inlineStr">
        <is>
          <t>Action type: Steps to Enable. You must have access to use AI Agent Studio.</t>
        </is>
      </c>
      <c r="Z420" t="inlineStr">
        <is>
          <t>N</t>
        </is>
      </c>
      <c r="AA420" t="inlineStr">
        <is>
          <t>N</t>
        </is>
      </c>
    </row>
    <row r="421">
      <c r="A421" t="inlineStr">
        <is>
          <t>ASMT_IMP_0396</t>
        </is>
      </c>
      <c r="B421" t="inlineStr">
        <is>
          <t>CLT_DFL001</t>
        </is>
      </c>
      <c r="C421" t="inlineStr">
        <is>
          <t>REL_26C</t>
        </is>
      </c>
      <c r="D421" t="inlineStr">
        <is>
          <t>CHG_IMP_0396</t>
        </is>
      </c>
      <c r="E421" t="inlineStr">
        <is>
          <t>Functional</t>
        </is>
      </c>
      <c r="F421" t="inlineStr">
        <is>
          <t>Configuration</t>
        </is>
      </c>
      <c r="G421" t="inlineStr"/>
      <c r="H421" t="inlineStr">
        <is>
          <t>DFL Common Technologies and User Experience impacted by Oracle 26C change</t>
        </is>
      </c>
      <c r="I421" t="inlineStr">
        <is>
          <t>Y</t>
        </is>
      </c>
      <c r="J421" t="inlineStr">
        <is>
          <t>N</t>
        </is>
      </c>
      <c r="K421" t="inlineStr">
        <is>
          <t>N</t>
        </is>
      </c>
      <c r="L421" t="inlineStr">
        <is>
          <t>N</t>
        </is>
      </c>
      <c r="M421" t="n">
        <v>1</v>
      </c>
      <c r="N421" t="n">
        <v>2</v>
      </c>
      <c r="O421" t="n">
        <v>2</v>
      </c>
      <c r="P421" t="n">
        <v>1</v>
      </c>
      <c r="Q421" t="n">
        <v>3</v>
      </c>
      <c r="R421">
        <f>IFERROR(XLOOKUP(XLOOKUP(D421,tblReleaseChanges[Change_ID],tblReleaseChanges[Oracle_Severity],""),tblSeverityMap[Severity_Text],tblSeverityMap[Score],0),0)</f>
        <v/>
      </c>
      <c r="S421" t="n">
        <v>1</v>
      </c>
      <c r="T421">
        <f>ROUND((M421*0.25)+(N421*0.20)+(O421*0.15)+(P421*0.15)+(Q421*0.10)+(R421*0.10)+(S421*0.05),2)</f>
        <v/>
      </c>
      <c r="U421">
        <f>IF(T421&gt;=4.25,"Critical",IF(T421&gt;=3.5,"High",IF(T421&gt;=2,"Medium","Low")))</f>
        <v/>
      </c>
      <c r="V421" t="inlineStr">
        <is>
          <t>Pending Review</t>
        </is>
      </c>
      <c r="W421" t="inlineStr"/>
      <c r="X421" t="inlineStr"/>
      <c r="Y421" t="inlineStr">
        <is>
          <t>Auto-enabled — no action required</t>
        </is>
      </c>
      <c r="Z421" t="inlineStr">
        <is>
          <t>N</t>
        </is>
      </c>
      <c r="AA421" t="inlineStr">
        <is>
          <t>N</t>
        </is>
      </c>
    </row>
    <row r="422">
      <c r="A422" t="inlineStr">
        <is>
          <t>ASMT_IMP_0397</t>
        </is>
      </c>
      <c r="B422" t="inlineStr">
        <is>
          <t>CLT_DFL001</t>
        </is>
      </c>
      <c r="C422" t="inlineStr">
        <is>
          <t>REL_26C</t>
        </is>
      </c>
      <c r="D422" t="inlineStr">
        <is>
          <t>CHG_IMP_0397</t>
        </is>
      </c>
      <c r="E422" t="inlineStr">
        <is>
          <t>AI Feature</t>
        </is>
      </c>
      <c r="F422" t="inlineStr">
        <is>
          <t>Configuration</t>
        </is>
      </c>
      <c r="G422" t="inlineStr"/>
      <c r="H422" t="inlineStr">
        <is>
          <t>DFL Inventory Management impacted by Oracle 26C change</t>
        </is>
      </c>
      <c r="I422" t="inlineStr">
        <is>
          <t>Y</t>
        </is>
      </c>
      <c r="J422" t="inlineStr">
        <is>
          <t>N</t>
        </is>
      </c>
      <c r="K422" t="inlineStr">
        <is>
          <t>N</t>
        </is>
      </c>
      <c r="L422" t="inlineStr">
        <is>
          <t>N</t>
        </is>
      </c>
      <c r="M422" t="n">
        <v>3</v>
      </c>
      <c r="N422" t="n">
        <v>2</v>
      </c>
      <c r="O422" t="n">
        <v>3</v>
      </c>
      <c r="P422" t="n">
        <v>3</v>
      </c>
      <c r="Q422" t="n">
        <v>3</v>
      </c>
      <c r="R422">
        <f>IFERROR(XLOOKUP(XLOOKUP(D422,tblReleaseChanges[Change_ID],tblReleaseChanges[Oracle_Severity],""),tblSeverityMap[Severity_Text],tblSeverityMap[Score],0),0)</f>
        <v/>
      </c>
      <c r="S422" t="n">
        <v>1</v>
      </c>
      <c r="T422">
        <f>ROUND((M422*0.25)+(N422*0.20)+(O422*0.15)+(P422*0.15)+(Q422*0.10)+(R422*0.10)+(S422*0.05),2)</f>
        <v/>
      </c>
      <c r="U422">
        <f>IF(T422&gt;=4.25,"Critical",IF(T422&gt;=3.5,"High",IF(T422&gt;=2,"Medium","Low")))</f>
        <v/>
      </c>
      <c r="V422" t="inlineStr">
        <is>
          <t>Pending Review</t>
        </is>
      </c>
      <c r="W422" t="inlineStr"/>
      <c r="X422" t="inlineStr"/>
      <c r="Y422" t="inlineStr">
        <is>
          <t>Auto-enabled — no action required</t>
        </is>
      </c>
      <c r="Z422" t="inlineStr">
        <is>
          <t>N</t>
        </is>
      </c>
      <c r="AA422" t="inlineStr">
        <is>
          <t>N</t>
        </is>
      </c>
    </row>
    <row r="423">
      <c r="A423" t="inlineStr">
        <is>
          <t>ASMT_IMP_0398</t>
        </is>
      </c>
      <c r="B423" t="inlineStr">
        <is>
          <t>CLT_DFL001</t>
        </is>
      </c>
      <c r="C423" t="inlineStr">
        <is>
          <t>REL_26C</t>
        </is>
      </c>
      <c r="D423" t="inlineStr">
        <is>
          <t>CHG_IMP_0398</t>
        </is>
      </c>
      <c r="E423" t="inlineStr">
        <is>
          <t>AI Feature</t>
        </is>
      </c>
      <c r="F423" t="inlineStr">
        <is>
          <t>Configuration</t>
        </is>
      </c>
      <c r="G423" t="inlineStr"/>
      <c r="H423" t="inlineStr">
        <is>
          <t>DFL Inventory Management impacted by Oracle 26C change</t>
        </is>
      </c>
      <c r="I423" t="inlineStr">
        <is>
          <t>Y</t>
        </is>
      </c>
      <c r="J423" t="inlineStr">
        <is>
          <t>N</t>
        </is>
      </c>
      <c r="K423" t="inlineStr">
        <is>
          <t>N</t>
        </is>
      </c>
      <c r="L423" t="inlineStr">
        <is>
          <t>N</t>
        </is>
      </c>
      <c r="M423" t="n">
        <v>3</v>
      </c>
      <c r="N423" t="n">
        <v>2</v>
      </c>
      <c r="O423" t="n">
        <v>3</v>
      </c>
      <c r="P423" t="n">
        <v>3</v>
      </c>
      <c r="Q423" t="n">
        <v>3</v>
      </c>
      <c r="R423">
        <f>IFERROR(XLOOKUP(XLOOKUP(D423,tblReleaseChanges[Change_ID],tblReleaseChanges[Oracle_Severity],""),tblSeverityMap[Severity_Text],tblSeverityMap[Score],0),0)</f>
        <v/>
      </c>
      <c r="S423" t="n">
        <v>1</v>
      </c>
      <c r="T423">
        <f>ROUND((M423*0.25)+(N423*0.20)+(O423*0.15)+(P423*0.15)+(Q423*0.10)+(R423*0.10)+(S423*0.05),2)</f>
        <v/>
      </c>
      <c r="U423">
        <f>IF(T423&gt;=4.25,"Critical",IF(T423&gt;=3.5,"High",IF(T423&gt;=2,"Medium","Low")))</f>
        <v/>
      </c>
      <c r="V423" t="inlineStr">
        <is>
          <t>Pending Review</t>
        </is>
      </c>
      <c r="W423" t="inlineStr"/>
      <c r="X423" t="inlineStr"/>
      <c r="Y423" t="inlineStr">
        <is>
          <t>Auto-enabled — no action required</t>
        </is>
      </c>
      <c r="Z423" t="inlineStr">
        <is>
          <t>N</t>
        </is>
      </c>
      <c r="AA423" t="inlineStr">
        <is>
          <t>N</t>
        </is>
      </c>
    </row>
    <row r="424">
      <c r="A424" t="inlineStr">
        <is>
          <t>ASMT_IMP_0399</t>
        </is>
      </c>
      <c r="B424" t="inlineStr">
        <is>
          <t>CLT_DFL001</t>
        </is>
      </c>
      <c r="C424" t="inlineStr">
        <is>
          <t>REL_26C</t>
        </is>
      </c>
      <c r="D424" t="inlineStr">
        <is>
          <t>CHG_IMP_0399</t>
        </is>
      </c>
      <c r="E424" t="inlineStr">
        <is>
          <t>AI Feature</t>
        </is>
      </c>
      <c r="F424" t="inlineStr">
        <is>
          <t>Configuration</t>
        </is>
      </c>
      <c r="G424" t="inlineStr"/>
      <c r="H424" t="inlineStr">
        <is>
          <t>DFL Inventory Management impacted by Oracle 26C change</t>
        </is>
      </c>
      <c r="I424" t="inlineStr">
        <is>
          <t>Y</t>
        </is>
      </c>
      <c r="J424" t="inlineStr">
        <is>
          <t>N</t>
        </is>
      </c>
      <c r="K424" t="inlineStr">
        <is>
          <t>N</t>
        </is>
      </c>
      <c r="L424" t="inlineStr">
        <is>
          <t>N</t>
        </is>
      </c>
      <c r="M424" t="n">
        <v>3</v>
      </c>
      <c r="N424" t="n">
        <v>2</v>
      </c>
      <c r="O424" t="n">
        <v>3</v>
      </c>
      <c r="P424" t="n">
        <v>3</v>
      </c>
      <c r="Q424" t="n">
        <v>3</v>
      </c>
      <c r="R424">
        <f>IFERROR(XLOOKUP(XLOOKUP(D424,tblReleaseChanges[Change_ID],tblReleaseChanges[Oracle_Severity],""),tblSeverityMap[Severity_Text],tblSeverityMap[Score],0),0)</f>
        <v/>
      </c>
      <c r="S424" t="n">
        <v>2</v>
      </c>
      <c r="T424">
        <f>ROUND((M424*0.25)+(N424*0.20)+(O424*0.15)+(P424*0.15)+(Q424*0.10)+(R424*0.10)+(S424*0.05),2)</f>
        <v/>
      </c>
      <c r="U424">
        <f>IF(T424&gt;=4.25,"Critical",IF(T424&gt;=3.5,"High",IF(T424&gt;=2,"Medium","Low")))</f>
        <v/>
      </c>
      <c r="V424" t="inlineStr">
        <is>
          <t>Pending Review</t>
        </is>
      </c>
      <c r="W424" t="inlineStr"/>
      <c r="X424" t="inlineStr"/>
      <c r="Y424" t="inlineStr">
        <is>
          <t>Action type: Steps to Enable. To enable permission groups for roles, take these steps: 1. In the Setup and Maintenance work area, search for the **Manage Administrator Profile Values** task usin</t>
        </is>
      </c>
      <c r="Z424" t="inlineStr">
        <is>
          <t>Y</t>
        </is>
      </c>
      <c r="AA424" t="inlineStr">
        <is>
          <t>N</t>
        </is>
      </c>
    </row>
    <row r="425">
      <c r="A425" t="inlineStr">
        <is>
          <t>ASMT_IMP_0400</t>
        </is>
      </c>
      <c r="B425" t="inlineStr">
        <is>
          <t>CLT_DFL001</t>
        </is>
      </c>
      <c r="C425" t="inlineStr">
        <is>
          <t>REL_26C</t>
        </is>
      </c>
      <c r="D425" t="inlineStr">
        <is>
          <t>CHG_IMP_0400</t>
        </is>
      </c>
      <c r="E425" t="inlineStr">
        <is>
          <t>AI Feature</t>
        </is>
      </c>
      <c r="F425" t="inlineStr">
        <is>
          <t>Configuration</t>
        </is>
      </c>
      <c r="G425" t="inlineStr"/>
      <c r="H425" t="inlineStr">
        <is>
          <t>DFL Inventory Management impacted by Oracle 26C change</t>
        </is>
      </c>
      <c r="I425" t="inlineStr">
        <is>
          <t>Y</t>
        </is>
      </c>
      <c r="J425" t="inlineStr">
        <is>
          <t>N</t>
        </is>
      </c>
      <c r="K425" t="inlineStr">
        <is>
          <t>N</t>
        </is>
      </c>
      <c r="L425" t="inlineStr">
        <is>
          <t>N</t>
        </is>
      </c>
      <c r="M425" t="n">
        <v>3</v>
      </c>
      <c r="N425" t="n">
        <v>2</v>
      </c>
      <c r="O425" t="n">
        <v>3</v>
      </c>
      <c r="P425" t="n">
        <v>3</v>
      </c>
      <c r="Q425" t="n">
        <v>3</v>
      </c>
      <c r="R425">
        <f>IFERROR(XLOOKUP(XLOOKUP(D425,tblReleaseChanges[Change_ID],tblReleaseChanges[Oracle_Severity],""),tblSeverityMap[Severity_Text],tblSeverityMap[Score],0),0)</f>
        <v/>
      </c>
      <c r="S425" t="n">
        <v>2</v>
      </c>
      <c r="T425">
        <f>ROUND((M425*0.25)+(N425*0.20)+(O425*0.15)+(P425*0.15)+(Q425*0.10)+(R425*0.10)+(S425*0.05),2)</f>
        <v/>
      </c>
      <c r="U425">
        <f>IF(T425&gt;=4.25,"Critical",IF(T425&gt;=3.5,"High",IF(T425&gt;=2,"Medium","Low")))</f>
        <v/>
      </c>
      <c r="V425" t="inlineStr">
        <is>
          <t>Pending Review</t>
        </is>
      </c>
      <c r="W425" t="inlineStr"/>
      <c r="X425" t="inlineStr"/>
      <c r="Y425" t="inlineStr">
        <is>
          <t>Action type: Steps to Enable. **Configure Advanced Inventory Parameters** To enable cross-docking, you must select the **Cross-Dock Action**on the **Advanced Inventory Parameters**setup page. Navigate</t>
        </is>
      </c>
      <c r="Z425" t="inlineStr">
        <is>
          <t>Y</t>
        </is>
      </c>
      <c r="AA425" t="inlineStr">
        <is>
          <t>N</t>
        </is>
      </c>
    </row>
    <row r="426">
      <c r="A426" t="inlineStr">
        <is>
          <t>ASMT_IMP_0401</t>
        </is>
      </c>
      <c r="B426" t="inlineStr">
        <is>
          <t>CLT_DFL001</t>
        </is>
      </c>
      <c r="C426" t="inlineStr">
        <is>
          <t>REL_26C</t>
        </is>
      </c>
      <c r="D426" t="inlineStr">
        <is>
          <t>CHG_IMP_0401</t>
        </is>
      </c>
      <c r="E426" t="inlineStr">
        <is>
          <t>AI Feature</t>
        </is>
      </c>
      <c r="F426" t="inlineStr">
        <is>
          <t>Configuration</t>
        </is>
      </c>
      <c r="G426" t="inlineStr"/>
      <c r="H426" t="inlineStr">
        <is>
          <t>DFL Inventory Management impacted by Oracle 26C change</t>
        </is>
      </c>
      <c r="I426" t="inlineStr">
        <is>
          <t>Y</t>
        </is>
      </c>
      <c r="J426" t="inlineStr">
        <is>
          <t>N</t>
        </is>
      </c>
      <c r="K426" t="inlineStr">
        <is>
          <t>N</t>
        </is>
      </c>
      <c r="L426" t="inlineStr">
        <is>
          <t>N</t>
        </is>
      </c>
      <c r="M426" t="n">
        <v>3</v>
      </c>
      <c r="N426" t="n">
        <v>2</v>
      </c>
      <c r="O426" t="n">
        <v>3</v>
      </c>
      <c r="P426" t="n">
        <v>3</v>
      </c>
      <c r="Q426" t="n">
        <v>3</v>
      </c>
      <c r="R426">
        <f>IFERROR(XLOOKUP(XLOOKUP(D426,tblReleaseChanges[Change_ID],tblReleaseChanges[Oracle_Severity],""),tblSeverityMap[Severity_Text],tblSeverityMap[Score],0),0)</f>
        <v/>
      </c>
      <c r="S426" t="n">
        <v>2</v>
      </c>
      <c r="T426">
        <f>ROUND((M426*0.25)+(N426*0.20)+(O426*0.15)+(P426*0.15)+(Q426*0.10)+(R426*0.10)+(S426*0.05),2)</f>
        <v/>
      </c>
      <c r="U426">
        <f>IF(T426&gt;=4.25,"Critical",IF(T426&gt;=3.5,"High",IF(T426&gt;=2,"Medium","Low")))</f>
        <v/>
      </c>
      <c r="V426" t="inlineStr">
        <is>
          <t>Pending Review</t>
        </is>
      </c>
      <c r="W426" t="inlineStr"/>
      <c r="X426" t="inlineStr"/>
      <c r="Y426" t="inlineStr">
        <is>
          <t>Action type: Steps to Enable. To enable permission groups for roles, take these steps: 1. In the Setup and Maintenance work area, search for the **Manage Administrator Profile Values** tas</t>
        </is>
      </c>
      <c r="Z426" t="inlineStr">
        <is>
          <t>Y</t>
        </is>
      </c>
      <c r="AA426" t="inlineStr">
        <is>
          <t>N</t>
        </is>
      </c>
    </row>
    <row r="427">
      <c r="A427" t="inlineStr">
        <is>
          <t>ASMT_IMP_0402</t>
        </is>
      </c>
      <c r="B427" t="inlineStr">
        <is>
          <t>CLT_DFL001</t>
        </is>
      </c>
      <c r="C427" t="inlineStr">
        <is>
          <t>REL_26C</t>
        </is>
      </c>
      <c r="D427" t="inlineStr">
        <is>
          <t>CHG_IMP_0402</t>
        </is>
      </c>
      <c r="E427" t="inlineStr">
        <is>
          <t>AI Feature</t>
        </is>
      </c>
      <c r="F427" t="inlineStr">
        <is>
          <t>Configuration</t>
        </is>
      </c>
      <c r="G427" t="inlineStr"/>
      <c r="H427" t="inlineStr">
        <is>
          <t>DFL Inventory Management impacted by Oracle 26C change</t>
        </is>
      </c>
      <c r="I427" t="inlineStr">
        <is>
          <t>Y</t>
        </is>
      </c>
      <c r="J427" t="inlineStr">
        <is>
          <t>N</t>
        </is>
      </c>
      <c r="K427" t="inlineStr">
        <is>
          <t>N</t>
        </is>
      </c>
      <c r="L427" t="inlineStr">
        <is>
          <t>N</t>
        </is>
      </c>
      <c r="M427" t="n">
        <v>3</v>
      </c>
      <c r="N427" t="n">
        <v>2</v>
      </c>
      <c r="O427" t="n">
        <v>3</v>
      </c>
      <c r="P427" t="n">
        <v>3</v>
      </c>
      <c r="Q427" t="n">
        <v>3</v>
      </c>
      <c r="R427">
        <f>IFERROR(XLOOKUP(XLOOKUP(D427,tblReleaseChanges[Change_ID],tblReleaseChanges[Oracle_Severity],""),tblSeverityMap[Severity_Text],tblSeverityMap[Score],0),0)</f>
        <v/>
      </c>
      <c r="S427" t="n">
        <v>2</v>
      </c>
      <c r="T427">
        <f>ROUND((M427*0.25)+(N427*0.20)+(O427*0.15)+(P427*0.15)+(Q427*0.10)+(R427*0.10)+(S427*0.05),2)</f>
        <v/>
      </c>
      <c r="U427">
        <f>IF(T427&gt;=4.25,"Critical",IF(T427&gt;=3.5,"High",IF(T427&gt;=2,"Medium","Low")))</f>
        <v/>
      </c>
      <c r="V427" t="inlineStr">
        <is>
          <t>Pending Review</t>
        </is>
      </c>
      <c r="W427" t="inlineStr"/>
      <c r="X427" t="inlineStr"/>
      <c r="Y427" t="inlineStr">
        <is>
          <t>Action type: Steps to Enable. To enable permission groups for roles, take these steps: 1. In the Setup and Maintenance work area, search for the **Manage Administrator Pro</t>
        </is>
      </c>
      <c r="Z427" t="inlineStr">
        <is>
          <t>Y</t>
        </is>
      </c>
      <c r="AA427" t="inlineStr">
        <is>
          <t>N</t>
        </is>
      </c>
    </row>
    <row r="428">
      <c r="A428" t="inlineStr">
        <is>
          <t>ASMT_IMP_0403</t>
        </is>
      </c>
      <c r="B428" t="inlineStr">
        <is>
          <t>CLT_DFL001</t>
        </is>
      </c>
      <c r="C428" t="inlineStr">
        <is>
          <t>REL_26C</t>
        </is>
      </c>
      <c r="D428" t="inlineStr">
        <is>
          <t>CHG_IMP_0403</t>
        </is>
      </c>
      <c r="E428" t="inlineStr">
        <is>
          <t>AI Feature</t>
        </is>
      </c>
      <c r="F428" t="inlineStr">
        <is>
          <t>Configuration</t>
        </is>
      </c>
      <c r="G428" t="inlineStr"/>
      <c r="H428" t="inlineStr">
        <is>
          <t>DFL Inventory Management impacted by Oracle 26C change</t>
        </is>
      </c>
      <c r="I428" t="inlineStr">
        <is>
          <t>Y</t>
        </is>
      </c>
      <c r="J428" t="inlineStr">
        <is>
          <t>N</t>
        </is>
      </c>
      <c r="K428" t="inlineStr">
        <is>
          <t>N</t>
        </is>
      </c>
      <c r="L428" t="inlineStr">
        <is>
          <t>N</t>
        </is>
      </c>
      <c r="M428" t="n">
        <v>3</v>
      </c>
      <c r="N428" t="n">
        <v>2</v>
      </c>
      <c r="O428" t="n">
        <v>3</v>
      </c>
      <c r="P428" t="n">
        <v>3</v>
      </c>
      <c r="Q428" t="n">
        <v>3</v>
      </c>
      <c r="R428">
        <f>IFERROR(XLOOKUP(XLOOKUP(D428,tblReleaseChanges[Change_ID],tblReleaseChanges[Oracle_Severity],""),tblSeverityMap[Severity_Text],tblSeverityMap[Score],0),0)</f>
        <v/>
      </c>
      <c r="S428" t="n">
        <v>2</v>
      </c>
      <c r="T428">
        <f>ROUND((M428*0.25)+(N428*0.20)+(O428*0.15)+(P428*0.15)+(Q428*0.10)+(R428*0.10)+(S428*0.05),2)</f>
        <v/>
      </c>
      <c r="U428">
        <f>IF(T428&gt;=4.25,"Critical",IF(T428&gt;=3.5,"High",IF(T428&gt;=2,"Medium","Low")))</f>
        <v/>
      </c>
      <c r="V428" t="inlineStr">
        <is>
          <t>Pending Review</t>
        </is>
      </c>
      <c r="W428" t="inlineStr"/>
      <c r="X428" t="inlineStr"/>
      <c r="Y428" t="inlineStr">
        <is>
          <t>Action type: Steps to Enable. Use the same AI Agent Studio setup and document publishing steps shown for the agent in earlier releases. No additional configured item</t>
        </is>
      </c>
      <c r="Z428" t="inlineStr">
        <is>
          <t>Y</t>
        </is>
      </c>
      <c r="AA428" t="inlineStr">
        <is>
          <t>N</t>
        </is>
      </c>
    </row>
    <row r="429">
      <c r="A429" t="inlineStr">
        <is>
          <t>ASMT_IMP_0404</t>
        </is>
      </c>
      <c r="B429" t="inlineStr">
        <is>
          <t>CLT_DFL001</t>
        </is>
      </c>
      <c r="C429" t="inlineStr">
        <is>
          <t>REL_26C</t>
        </is>
      </c>
      <c r="D429" t="inlineStr">
        <is>
          <t>CHG_IMP_0404</t>
        </is>
      </c>
      <c r="E429" t="inlineStr">
        <is>
          <t>AI Feature</t>
        </is>
      </c>
      <c r="F429" t="inlineStr">
        <is>
          <t>Configuration</t>
        </is>
      </c>
      <c r="G429" t="inlineStr"/>
      <c r="H429" t="inlineStr">
        <is>
          <t>DFL Inventory Management impacted by Oracle 26C change</t>
        </is>
      </c>
      <c r="I429" t="inlineStr">
        <is>
          <t>Y</t>
        </is>
      </c>
      <c r="J429" t="inlineStr">
        <is>
          <t>N</t>
        </is>
      </c>
      <c r="K429" t="inlineStr">
        <is>
          <t>N</t>
        </is>
      </c>
      <c r="L429" t="inlineStr">
        <is>
          <t>N</t>
        </is>
      </c>
      <c r="M429" t="n">
        <v>3</v>
      </c>
      <c r="N429" t="n">
        <v>2</v>
      </c>
      <c r="O429" t="n">
        <v>3</v>
      </c>
      <c r="P429" t="n">
        <v>3</v>
      </c>
      <c r="Q429" t="n">
        <v>3</v>
      </c>
      <c r="R429">
        <f>IFERROR(XLOOKUP(XLOOKUP(D429,tblReleaseChanges[Change_ID],tblReleaseChanges[Oracle_Severity],""),tblSeverityMap[Severity_Text],tblSeverityMap[Score],0),0)</f>
        <v/>
      </c>
      <c r="S429" t="n">
        <v>2</v>
      </c>
      <c r="T429">
        <f>ROUND((M429*0.25)+(N429*0.20)+(O429*0.15)+(P429*0.15)+(Q429*0.10)+(R429*0.10)+(S429*0.05),2)</f>
        <v/>
      </c>
      <c r="U429">
        <f>IF(T429&gt;=4.25,"Critical",IF(T429&gt;=3.5,"High",IF(T429&gt;=2,"Medium","Low")))</f>
        <v/>
      </c>
      <c r="V429" t="inlineStr">
        <is>
          <t>Pending Review</t>
        </is>
      </c>
      <c r="W429" t="inlineStr"/>
      <c r="X429" t="inlineStr"/>
      <c r="Y429" t="inlineStr">
        <is>
          <t>Action type: Steps to Enable. Follow these steps to enable the Warehouse Operations workspace agentic app: 1. Navigate to the Setup and Maintenanc</t>
        </is>
      </c>
      <c r="Z429" t="inlineStr">
        <is>
          <t>Y</t>
        </is>
      </c>
      <c r="AA429" t="inlineStr">
        <is>
          <t>N</t>
        </is>
      </c>
    </row>
    <row r="430">
      <c r="A430" t="inlineStr">
        <is>
          <t>ASMT_IMP_0405</t>
        </is>
      </c>
      <c r="B430" t="inlineStr">
        <is>
          <t>CLT_DFL001</t>
        </is>
      </c>
      <c r="C430" t="inlineStr">
        <is>
          <t>REL_26C</t>
        </is>
      </c>
      <c r="D430" t="inlineStr">
        <is>
          <t>CHG_IMP_0405</t>
        </is>
      </c>
      <c r="E430" t="inlineStr">
        <is>
          <t>Functional</t>
        </is>
      </c>
      <c r="F430" t="inlineStr">
        <is>
          <t>Configuration</t>
        </is>
      </c>
      <c r="G430" t="inlineStr"/>
      <c r="H430" t="inlineStr">
        <is>
          <t>DFL Inventory Management impacted by Oracle 26C change</t>
        </is>
      </c>
      <c r="I430" t="inlineStr">
        <is>
          <t>Y</t>
        </is>
      </c>
      <c r="J430" t="inlineStr">
        <is>
          <t>N</t>
        </is>
      </c>
      <c r="K430" t="inlineStr">
        <is>
          <t>N</t>
        </is>
      </c>
      <c r="L430" t="inlineStr">
        <is>
          <t>N</t>
        </is>
      </c>
      <c r="M430" t="n">
        <v>3</v>
      </c>
      <c r="N430" t="n">
        <v>2</v>
      </c>
      <c r="O430" t="n">
        <v>3</v>
      </c>
      <c r="P430" t="n">
        <v>1</v>
      </c>
      <c r="Q430" t="n">
        <v>3</v>
      </c>
      <c r="R430">
        <f>IFERROR(XLOOKUP(XLOOKUP(D430,tblReleaseChanges[Change_ID],tblReleaseChanges[Oracle_Severity],""),tblSeverityMap[Severity_Text],tblSeverityMap[Score],0),0)</f>
        <v/>
      </c>
      <c r="S430" t="n">
        <v>2</v>
      </c>
      <c r="T430">
        <f>ROUND((M430*0.25)+(N430*0.20)+(O430*0.15)+(P430*0.15)+(Q430*0.10)+(R430*0.10)+(S430*0.05),2)</f>
        <v/>
      </c>
      <c r="U430">
        <f>IF(T430&gt;=4.25,"Critical",IF(T430&gt;=3.5,"High",IF(T430&gt;=2,"Medium","Low")))</f>
        <v/>
      </c>
      <c r="V430" t="inlineStr">
        <is>
          <t>Pending Review</t>
        </is>
      </c>
      <c r="W430" t="inlineStr"/>
      <c r="X430" t="inlineStr"/>
      <c r="Y430" t="inlineStr">
        <is>
          <t>Action type: Steps to Enable. Set up a valid financial orchestration flow between the participating business units, enable the 26A shipment-flow hold-control feature, and configure the rele</t>
        </is>
      </c>
      <c r="Z430" t="inlineStr">
        <is>
          <t>Y</t>
        </is>
      </c>
      <c r="AA430" t="inlineStr">
        <is>
          <t>N</t>
        </is>
      </c>
    </row>
    <row r="431">
      <c r="A431" t="inlineStr">
        <is>
          <t>ASMT_IMP_0406</t>
        </is>
      </c>
      <c r="B431" t="inlineStr">
        <is>
          <t>CLT_DFL001</t>
        </is>
      </c>
      <c r="C431" t="inlineStr">
        <is>
          <t>REL_26C</t>
        </is>
      </c>
      <c r="D431" t="inlineStr">
        <is>
          <t>CHG_IMP_0406</t>
        </is>
      </c>
      <c r="E431" t="inlineStr">
        <is>
          <t>Functional</t>
        </is>
      </c>
      <c r="F431" t="inlineStr">
        <is>
          <t>Configuration</t>
        </is>
      </c>
      <c r="G431" t="inlineStr"/>
      <c r="H431" t="inlineStr">
        <is>
          <t>DFL Inventory Management impacted by Oracle 26C change</t>
        </is>
      </c>
      <c r="I431" t="inlineStr">
        <is>
          <t>Y</t>
        </is>
      </c>
      <c r="J431" t="inlineStr">
        <is>
          <t>N</t>
        </is>
      </c>
      <c r="K431" t="inlineStr">
        <is>
          <t>N</t>
        </is>
      </c>
      <c r="L431" t="inlineStr">
        <is>
          <t>N</t>
        </is>
      </c>
      <c r="M431" t="n">
        <v>3</v>
      </c>
      <c r="N431" t="n">
        <v>2</v>
      </c>
      <c r="O431" t="n">
        <v>3</v>
      </c>
      <c r="P431" t="n">
        <v>1</v>
      </c>
      <c r="Q431" t="n">
        <v>3</v>
      </c>
      <c r="R431">
        <f>IFERROR(XLOOKUP(XLOOKUP(D431,tblReleaseChanges[Change_ID],tblReleaseChanges[Oracle_Severity],""),tblSeverityMap[Severity_Text],tblSeverityMap[Score],0),0)</f>
        <v/>
      </c>
      <c r="S431" t="n">
        <v>2</v>
      </c>
      <c r="T431">
        <f>ROUND((M431*0.25)+(N431*0.20)+(O431*0.15)+(P431*0.15)+(Q431*0.10)+(R431*0.10)+(S431*0.05),2)</f>
        <v/>
      </c>
      <c r="U431">
        <f>IF(T431&gt;=4.25,"Critical",IF(T431&gt;=3.5,"High",IF(T431&gt;=2,"Medium","Low")))</f>
        <v/>
      </c>
      <c r="V431" t="inlineStr">
        <is>
          <t>Pending Review</t>
        </is>
      </c>
      <c r="W431" t="inlineStr"/>
      <c r="X431" t="inlineStr"/>
      <c r="Y431" t="inlineStr">
        <is>
          <t>Action type: Steps to Enable. Review the REST service definition in the REST API guides to leverage (available from the Oracle Help Center &gt; *your apps service area of interest* &gt;</t>
        </is>
      </c>
      <c r="Z431" t="inlineStr">
        <is>
          <t>Y</t>
        </is>
      </c>
      <c r="AA431" t="inlineStr">
        <is>
          <t>N</t>
        </is>
      </c>
    </row>
    <row r="432">
      <c r="A432" t="inlineStr">
        <is>
          <t>ASMT_IMP_0407</t>
        </is>
      </c>
      <c r="B432" t="inlineStr">
        <is>
          <t>CLT_DFL001</t>
        </is>
      </c>
      <c r="C432" t="inlineStr">
        <is>
          <t>REL_26C</t>
        </is>
      </c>
      <c r="D432" t="inlineStr">
        <is>
          <t>CHG_IMP_0407</t>
        </is>
      </c>
      <c r="E432" t="inlineStr">
        <is>
          <t>Functional</t>
        </is>
      </c>
      <c r="F432" t="inlineStr">
        <is>
          <t>Configuration</t>
        </is>
      </c>
      <c r="G432" t="inlineStr"/>
      <c r="H432" t="inlineStr">
        <is>
          <t>DFL Inventory Management impacted by Oracle 26C change</t>
        </is>
      </c>
      <c r="I432" t="inlineStr">
        <is>
          <t>Y</t>
        </is>
      </c>
      <c r="J432" t="inlineStr">
        <is>
          <t>N</t>
        </is>
      </c>
      <c r="K432" t="inlineStr">
        <is>
          <t>N</t>
        </is>
      </c>
      <c r="L432" t="inlineStr">
        <is>
          <t>N</t>
        </is>
      </c>
      <c r="M432" t="n">
        <v>3</v>
      </c>
      <c r="N432" t="n">
        <v>2</v>
      </c>
      <c r="O432" t="n">
        <v>3</v>
      </c>
      <c r="P432" t="n">
        <v>1</v>
      </c>
      <c r="Q432" t="n">
        <v>3</v>
      </c>
      <c r="R432">
        <f>IFERROR(XLOOKUP(XLOOKUP(D432,tblReleaseChanges[Change_ID],tblReleaseChanges[Oracle_Severity],""),tblSeverityMap[Severity_Text],tblSeverityMap[Score],0),0)</f>
        <v/>
      </c>
      <c r="S432" t="n">
        <v>1</v>
      </c>
      <c r="T432">
        <f>ROUND((M432*0.25)+(N432*0.20)+(O432*0.15)+(P432*0.15)+(Q432*0.10)+(R432*0.10)+(S432*0.05),2)</f>
        <v/>
      </c>
      <c r="U432">
        <f>IF(T432&gt;=4.25,"Critical",IF(T432&gt;=3.5,"High",IF(T432&gt;=2,"Medium","Low")))</f>
        <v/>
      </c>
      <c r="V432" t="inlineStr">
        <is>
          <t>Pending Review</t>
        </is>
      </c>
      <c r="W432" t="inlineStr"/>
      <c r="X432" t="inlineStr"/>
      <c r="Y432" t="inlineStr">
        <is>
          <t>Auto-enabled — no action required</t>
        </is>
      </c>
      <c r="Z432" t="inlineStr">
        <is>
          <t>N</t>
        </is>
      </c>
      <c r="AA432" t="inlineStr">
        <is>
          <t>N</t>
        </is>
      </c>
    </row>
    <row r="433">
      <c r="A433" t="inlineStr">
        <is>
          <t>ASMT_IMP_0408</t>
        </is>
      </c>
      <c r="B433" t="inlineStr">
        <is>
          <t>CLT_DFL001</t>
        </is>
      </c>
      <c r="C433" t="inlineStr">
        <is>
          <t>REL_26C</t>
        </is>
      </c>
      <c r="D433" t="inlineStr">
        <is>
          <t>CHG_IMP_0408</t>
        </is>
      </c>
      <c r="E433" t="inlineStr">
        <is>
          <t>Functional</t>
        </is>
      </c>
      <c r="F433" t="inlineStr">
        <is>
          <t>Configuration</t>
        </is>
      </c>
      <c r="G433" t="inlineStr"/>
      <c r="H433" t="inlineStr">
        <is>
          <t>DFL Inventory Management impacted by Oracle 26C change</t>
        </is>
      </c>
      <c r="I433" t="inlineStr">
        <is>
          <t>Y</t>
        </is>
      </c>
      <c r="J433" t="inlineStr">
        <is>
          <t>N</t>
        </is>
      </c>
      <c r="K433" t="inlineStr">
        <is>
          <t>N</t>
        </is>
      </c>
      <c r="L433" t="inlineStr">
        <is>
          <t>N</t>
        </is>
      </c>
      <c r="M433" t="n">
        <v>3</v>
      </c>
      <c r="N433" t="n">
        <v>2</v>
      </c>
      <c r="O433" t="n">
        <v>3</v>
      </c>
      <c r="P433" t="n">
        <v>1</v>
      </c>
      <c r="Q433" t="n">
        <v>3</v>
      </c>
      <c r="R433">
        <f>IFERROR(XLOOKUP(XLOOKUP(D433,tblReleaseChanges[Change_ID],tblReleaseChanges[Oracle_Severity],""),tblSeverityMap[Severity_Text],tblSeverityMap[Score],0),0)</f>
        <v/>
      </c>
      <c r="S433" t="n">
        <v>1</v>
      </c>
      <c r="T433">
        <f>ROUND((M433*0.25)+(N433*0.20)+(O433*0.15)+(P433*0.15)+(Q433*0.10)+(R433*0.10)+(S433*0.05),2)</f>
        <v/>
      </c>
      <c r="U433">
        <f>IF(T433&gt;=4.25,"Critical",IF(T433&gt;=3.5,"High",IF(T433&gt;=2,"Medium","Low")))</f>
        <v/>
      </c>
      <c r="V433" t="inlineStr">
        <is>
          <t>Pending Review</t>
        </is>
      </c>
      <c r="W433" t="inlineStr"/>
      <c r="X433" t="inlineStr"/>
      <c r="Y433" t="inlineStr">
        <is>
          <t>Auto-enabled — no action required</t>
        </is>
      </c>
      <c r="Z433" t="inlineStr">
        <is>
          <t>N</t>
        </is>
      </c>
      <c r="AA433" t="inlineStr">
        <is>
          <t>N</t>
        </is>
      </c>
    </row>
    <row r="434">
      <c r="A434" t="inlineStr">
        <is>
          <t>ASMT_IMP_0409</t>
        </is>
      </c>
      <c r="B434" t="inlineStr">
        <is>
          <t>CLT_DFL001</t>
        </is>
      </c>
      <c r="C434" t="inlineStr">
        <is>
          <t>REL_26C</t>
        </is>
      </c>
      <c r="D434" t="inlineStr">
        <is>
          <t>CHG_IMP_0409</t>
        </is>
      </c>
      <c r="E434" t="inlineStr">
        <is>
          <t>Functional</t>
        </is>
      </c>
      <c r="F434" t="inlineStr">
        <is>
          <t>Configuration</t>
        </is>
      </c>
      <c r="G434" t="inlineStr"/>
      <c r="H434" t="inlineStr">
        <is>
          <t>DFL Inventory Management impacted by Oracle 26C change</t>
        </is>
      </c>
      <c r="I434" t="inlineStr">
        <is>
          <t>Y</t>
        </is>
      </c>
      <c r="J434" t="inlineStr">
        <is>
          <t>N</t>
        </is>
      </c>
      <c r="K434" t="inlineStr">
        <is>
          <t>N</t>
        </is>
      </c>
      <c r="L434" t="inlineStr">
        <is>
          <t>N</t>
        </is>
      </c>
      <c r="M434" t="n">
        <v>3</v>
      </c>
      <c r="N434" t="n">
        <v>2</v>
      </c>
      <c r="O434" t="n">
        <v>3</v>
      </c>
      <c r="P434" t="n">
        <v>1</v>
      </c>
      <c r="Q434" t="n">
        <v>3</v>
      </c>
      <c r="R434">
        <f>IFERROR(XLOOKUP(XLOOKUP(D434,tblReleaseChanges[Change_ID],tblReleaseChanges[Oracle_Severity],""),tblSeverityMap[Severity_Text],tblSeverityMap[Score],0),0)</f>
        <v/>
      </c>
      <c r="S434" t="n">
        <v>2</v>
      </c>
      <c r="T434">
        <f>ROUND((M434*0.25)+(N434*0.20)+(O434*0.15)+(P434*0.15)+(Q434*0.10)+(R434*0.10)+(S434*0.05),2)</f>
        <v/>
      </c>
      <c r="U434">
        <f>IF(T434&gt;=4.25,"Critical",IF(T434&gt;=3.5,"High",IF(T434&gt;=2,"Medium","Low")))</f>
        <v/>
      </c>
      <c r="V434" t="inlineStr">
        <is>
          <t>Pending Review</t>
        </is>
      </c>
      <c r="W434" t="inlineStr"/>
      <c r="X434" t="inlineStr"/>
      <c r="Y434" t="inlineStr">
        <is>
          <t>Action type: Steps to Enable. Use the Opt In UI to enable this feature. For instructions, refer to the Optional Uptake of New Features section of this document. Offerin</t>
        </is>
      </c>
      <c r="Z434" t="inlineStr">
        <is>
          <t>Y</t>
        </is>
      </c>
      <c r="AA434" t="inlineStr">
        <is>
          <t>N</t>
        </is>
      </c>
    </row>
    <row r="435">
      <c r="A435" t="inlineStr">
        <is>
          <t>ASMT_IMP_0410</t>
        </is>
      </c>
      <c r="B435" t="inlineStr">
        <is>
          <t>CLT_DFL001</t>
        </is>
      </c>
      <c r="C435" t="inlineStr">
        <is>
          <t>REL_26C</t>
        </is>
      </c>
      <c r="D435" t="inlineStr">
        <is>
          <t>CHG_IMP_0410</t>
        </is>
      </c>
      <c r="E435" t="inlineStr">
        <is>
          <t>Functional</t>
        </is>
      </c>
      <c r="F435" t="inlineStr">
        <is>
          <t>Configuration</t>
        </is>
      </c>
      <c r="G435" t="inlineStr"/>
      <c r="H435" t="inlineStr">
        <is>
          <t>DFL Inventory Management impacted by Oracle 26C change</t>
        </is>
      </c>
      <c r="I435" t="inlineStr">
        <is>
          <t>Y</t>
        </is>
      </c>
      <c r="J435" t="inlineStr">
        <is>
          <t>N</t>
        </is>
      </c>
      <c r="K435" t="inlineStr">
        <is>
          <t>N</t>
        </is>
      </c>
      <c r="L435" t="inlineStr">
        <is>
          <t>N</t>
        </is>
      </c>
      <c r="M435" t="n">
        <v>3</v>
      </c>
      <c r="N435" t="n">
        <v>2</v>
      </c>
      <c r="O435" t="n">
        <v>3</v>
      </c>
      <c r="P435" t="n">
        <v>1</v>
      </c>
      <c r="Q435" t="n">
        <v>3</v>
      </c>
      <c r="R435">
        <f>IFERROR(XLOOKUP(XLOOKUP(D435,tblReleaseChanges[Change_ID],tblReleaseChanges[Oracle_Severity],""),tblSeverityMap[Severity_Text],tblSeverityMap[Score],0),0)</f>
        <v/>
      </c>
      <c r="S435" t="n">
        <v>2</v>
      </c>
      <c r="T435">
        <f>ROUND((M435*0.25)+(N435*0.20)+(O435*0.15)+(P435*0.15)+(Q435*0.10)+(R435*0.10)+(S435*0.05),2)</f>
        <v/>
      </c>
      <c r="U435">
        <f>IF(T435&gt;=4.25,"Critical",IF(T435&gt;=3.5,"High",IF(T435&gt;=2,"Medium","Low")))</f>
        <v/>
      </c>
      <c r="V435" t="inlineStr">
        <is>
          <t>Pending Review</t>
        </is>
      </c>
      <c r="W435" t="inlineStr"/>
      <c r="X435" t="inlineStr"/>
      <c r="Y435" t="inlineStr">
        <is>
          <t>Action type: Steps to Enable. Use the Opt In UI to enable this feature. For instructions, refer to the Optional Uptake of New Features section of this document. Offering: *Manufacturing and Supply Cha</t>
        </is>
      </c>
      <c r="Z435" t="inlineStr">
        <is>
          <t>Y</t>
        </is>
      </c>
      <c r="AA435" t="inlineStr">
        <is>
          <t>N</t>
        </is>
      </c>
    </row>
    <row r="436">
      <c r="A436" t="inlineStr">
        <is>
          <t>ASMT_IMP_0411</t>
        </is>
      </c>
      <c r="B436" t="inlineStr">
        <is>
          <t>CLT_DFL001</t>
        </is>
      </c>
      <c r="C436" t="inlineStr">
        <is>
          <t>REL_26C</t>
        </is>
      </c>
      <c r="D436" t="inlineStr">
        <is>
          <t>CHG_IMP_0411</t>
        </is>
      </c>
      <c r="E436" t="inlineStr">
        <is>
          <t>Functional</t>
        </is>
      </c>
      <c r="F436" t="inlineStr">
        <is>
          <t>Configuration</t>
        </is>
      </c>
      <c r="G436" t="inlineStr"/>
      <c r="H436" t="inlineStr">
        <is>
          <t>DFL Inventory Management impacted by Oracle 26C change</t>
        </is>
      </c>
      <c r="I436" t="inlineStr">
        <is>
          <t>Y</t>
        </is>
      </c>
      <c r="J436" t="inlineStr">
        <is>
          <t>N</t>
        </is>
      </c>
      <c r="K436" t="inlineStr">
        <is>
          <t>N</t>
        </is>
      </c>
      <c r="L436" t="inlineStr">
        <is>
          <t>N</t>
        </is>
      </c>
      <c r="M436" t="n">
        <v>3</v>
      </c>
      <c r="N436" t="n">
        <v>2</v>
      </c>
      <c r="O436" t="n">
        <v>3</v>
      </c>
      <c r="P436" t="n">
        <v>1</v>
      </c>
      <c r="Q436" t="n">
        <v>3</v>
      </c>
      <c r="R436">
        <f>IFERROR(XLOOKUP(XLOOKUP(D436,tblReleaseChanges[Change_ID],tblReleaseChanges[Oracle_Severity],""),tblSeverityMap[Severity_Text],tblSeverityMap[Score],0),0)</f>
        <v/>
      </c>
      <c r="S436" t="n">
        <v>1</v>
      </c>
      <c r="T436">
        <f>ROUND((M436*0.25)+(N436*0.20)+(O436*0.15)+(P436*0.15)+(Q436*0.10)+(R436*0.10)+(S436*0.05),2)</f>
        <v/>
      </c>
      <c r="U436">
        <f>IF(T436&gt;=4.25,"Critical",IF(T436&gt;=3.5,"High",IF(T436&gt;=2,"Medium","Low")))</f>
        <v/>
      </c>
      <c r="V436" t="inlineStr">
        <is>
          <t>Pending Review</t>
        </is>
      </c>
      <c r="W436" t="inlineStr"/>
      <c r="X436" t="inlineStr"/>
      <c r="Y436" t="inlineStr">
        <is>
          <t>Auto-enabled — no action required</t>
        </is>
      </c>
      <c r="Z436" t="inlineStr">
        <is>
          <t>N</t>
        </is>
      </c>
      <c r="AA436" t="inlineStr">
        <is>
          <t>N</t>
        </is>
      </c>
    </row>
    <row r="437">
      <c r="A437" t="inlineStr">
        <is>
          <t>ASMT_IMP_0412</t>
        </is>
      </c>
      <c r="B437" t="inlineStr">
        <is>
          <t>CLT_DFL001</t>
        </is>
      </c>
      <c r="C437" t="inlineStr">
        <is>
          <t>REL_26C</t>
        </is>
      </c>
      <c r="D437" t="inlineStr">
        <is>
          <t>CHG_IMP_0412</t>
        </is>
      </c>
      <c r="E437" t="inlineStr">
        <is>
          <t>Functional</t>
        </is>
      </c>
      <c r="F437" t="inlineStr">
        <is>
          <t>Configuration</t>
        </is>
      </c>
      <c r="G437" t="inlineStr"/>
      <c r="H437" t="inlineStr">
        <is>
          <t>DFL Inventory Management impacted by Oracle 26C change</t>
        </is>
      </c>
      <c r="I437" t="inlineStr">
        <is>
          <t>Y</t>
        </is>
      </c>
      <c r="J437" t="inlineStr">
        <is>
          <t>N</t>
        </is>
      </c>
      <c r="K437" t="inlineStr">
        <is>
          <t>N</t>
        </is>
      </c>
      <c r="L437" t="inlineStr">
        <is>
          <t>N</t>
        </is>
      </c>
      <c r="M437" t="n">
        <v>3</v>
      </c>
      <c r="N437" t="n">
        <v>2</v>
      </c>
      <c r="O437" t="n">
        <v>3</v>
      </c>
      <c r="P437" t="n">
        <v>1</v>
      </c>
      <c r="Q437" t="n">
        <v>3</v>
      </c>
      <c r="R437">
        <f>IFERROR(XLOOKUP(XLOOKUP(D437,tblReleaseChanges[Change_ID],tblReleaseChanges[Oracle_Severity],""),tblSeverityMap[Severity_Text],tblSeverityMap[Score],0),0)</f>
        <v/>
      </c>
      <c r="S437" t="n">
        <v>2</v>
      </c>
      <c r="T437">
        <f>ROUND((M437*0.25)+(N437*0.20)+(O437*0.15)+(P437*0.15)+(Q437*0.10)+(R437*0.10)+(S437*0.05),2)</f>
        <v/>
      </c>
      <c r="U437">
        <f>IF(T437&gt;=4.25,"Critical",IF(T437&gt;=3.5,"High",IF(T437&gt;=2,"Medium","Low")))</f>
        <v/>
      </c>
      <c r="V437" t="inlineStr">
        <is>
          <t>Pending Review</t>
        </is>
      </c>
      <c r="W437" t="inlineStr"/>
      <c r="X437" t="inlineStr"/>
      <c r="Y437" t="inlineStr">
        <is>
          <t>Action type: Steps to Enable. Here's how you can clean up accumulated files: 1. From the **Scheduled Processes** area, schedule the **Run Data Lifecycle Process for Collabo</t>
        </is>
      </c>
      <c r="Z437" t="inlineStr">
        <is>
          <t>Y</t>
        </is>
      </c>
      <c r="AA437" t="inlineStr">
        <is>
          <t>N</t>
        </is>
      </c>
    </row>
    <row r="438">
      <c r="A438" t="inlineStr">
        <is>
          <t>ASMT_IMP_0413</t>
        </is>
      </c>
      <c r="B438" t="inlineStr">
        <is>
          <t>CLT_DFL001</t>
        </is>
      </c>
      <c r="C438" t="inlineStr">
        <is>
          <t>REL_26C</t>
        </is>
      </c>
      <c r="D438" t="inlineStr">
        <is>
          <t>CHG_IMP_0413</t>
        </is>
      </c>
      <c r="E438" t="inlineStr">
        <is>
          <t>Functional</t>
        </is>
      </c>
      <c r="F438" t="inlineStr">
        <is>
          <t>Configuration</t>
        </is>
      </c>
      <c r="G438" t="inlineStr"/>
      <c r="H438" t="inlineStr">
        <is>
          <t>DFL Inventory Management impacted by Oracle 26C change</t>
        </is>
      </c>
      <c r="I438" t="inlineStr">
        <is>
          <t>Y</t>
        </is>
      </c>
      <c r="J438" t="inlineStr">
        <is>
          <t>N</t>
        </is>
      </c>
      <c r="K438" t="inlineStr">
        <is>
          <t>N</t>
        </is>
      </c>
      <c r="L438" t="inlineStr">
        <is>
          <t>N</t>
        </is>
      </c>
      <c r="M438" t="n">
        <v>3</v>
      </c>
      <c r="N438" t="n">
        <v>2</v>
      </c>
      <c r="O438" t="n">
        <v>3</v>
      </c>
      <c r="P438" t="n">
        <v>1</v>
      </c>
      <c r="Q438" t="n">
        <v>3</v>
      </c>
      <c r="R438">
        <f>IFERROR(XLOOKUP(XLOOKUP(D438,tblReleaseChanges[Change_ID],tblReleaseChanges[Oracle_Severity],""),tblSeverityMap[Severity_Text],tblSeverityMap[Score],0),0)</f>
        <v/>
      </c>
      <c r="S438" t="n">
        <v>1</v>
      </c>
      <c r="T438">
        <f>ROUND((M438*0.25)+(N438*0.20)+(O438*0.15)+(P438*0.15)+(Q438*0.10)+(R438*0.10)+(S438*0.05),2)</f>
        <v/>
      </c>
      <c r="U438">
        <f>IF(T438&gt;=4.25,"Critical",IF(T438&gt;=3.5,"High",IF(T438&gt;=2,"Medium","Low")))</f>
        <v/>
      </c>
      <c r="V438" t="inlineStr">
        <is>
          <t>Pending Review</t>
        </is>
      </c>
      <c r="W438" t="inlineStr"/>
      <c r="X438" t="inlineStr"/>
      <c r="Y438" t="inlineStr">
        <is>
          <t>Auto-enabled — no action required</t>
        </is>
      </c>
      <c r="Z438" t="inlineStr">
        <is>
          <t>N</t>
        </is>
      </c>
      <c r="AA438" t="inlineStr">
        <is>
          <t>N</t>
        </is>
      </c>
    </row>
    <row r="439">
      <c r="A439" t="inlineStr">
        <is>
          <t>ASMT_IMP_0414</t>
        </is>
      </c>
      <c r="B439" t="inlineStr">
        <is>
          <t>CLT_DFL001</t>
        </is>
      </c>
      <c r="C439" t="inlineStr">
        <is>
          <t>REL_26C</t>
        </is>
      </c>
      <c r="D439" t="inlineStr">
        <is>
          <t>CHG_IMP_0414</t>
        </is>
      </c>
      <c r="E439" t="inlineStr">
        <is>
          <t>Functional</t>
        </is>
      </c>
      <c r="F439" t="inlineStr">
        <is>
          <t>Configuration</t>
        </is>
      </c>
      <c r="G439" t="inlineStr"/>
      <c r="H439" t="inlineStr">
        <is>
          <t>DFL Inventory Management impacted by Oracle 26C change</t>
        </is>
      </c>
      <c r="I439" t="inlineStr">
        <is>
          <t>Y</t>
        </is>
      </c>
      <c r="J439" t="inlineStr">
        <is>
          <t>N</t>
        </is>
      </c>
      <c r="K439" t="inlineStr">
        <is>
          <t>N</t>
        </is>
      </c>
      <c r="L439" t="inlineStr">
        <is>
          <t>N</t>
        </is>
      </c>
      <c r="M439" t="n">
        <v>3</v>
      </c>
      <c r="N439" t="n">
        <v>2</v>
      </c>
      <c r="O439" t="n">
        <v>3</v>
      </c>
      <c r="P439" t="n">
        <v>1</v>
      </c>
      <c r="Q439" t="n">
        <v>3</v>
      </c>
      <c r="R439">
        <f>IFERROR(XLOOKUP(XLOOKUP(D439,tblReleaseChanges[Change_ID],tblReleaseChanges[Oracle_Severity],""),tblSeverityMap[Severity_Text],tblSeverityMap[Score],0),0)</f>
        <v/>
      </c>
      <c r="S439" t="n">
        <v>1</v>
      </c>
      <c r="T439">
        <f>ROUND((M439*0.25)+(N439*0.20)+(O439*0.15)+(P439*0.15)+(Q439*0.10)+(R439*0.10)+(S439*0.05),2)</f>
        <v/>
      </c>
      <c r="U439">
        <f>IF(T439&gt;=4.25,"Critical",IF(T439&gt;=3.5,"High",IF(T439&gt;=2,"Medium","Low")))</f>
        <v/>
      </c>
      <c r="V439" t="inlineStr">
        <is>
          <t>Pending Review</t>
        </is>
      </c>
      <c r="W439" t="inlineStr"/>
      <c r="X439" t="inlineStr"/>
      <c r="Y439" t="inlineStr">
        <is>
          <t>Auto-enabled — no action required</t>
        </is>
      </c>
      <c r="Z439" t="inlineStr">
        <is>
          <t>N</t>
        </is>
      </c>
      <c r="AA439" t="inlineStr">
        <is>
          <t>N</t>
        </is>
      </c>
    </row>
    <row r="440">
      <c r="A440" t="inlineStr">
        <is>
          <t>ASMT_IMP_0415</t>
        </is>
      </c>
      <c r="B440" t="inlineStr">
        <is>
          <t>CLT_DFL001</t>
        </is>
      </c>
      <c r="C440" t="inlineStr">
        <is>
          <t>REL_26C</t>
        </is>
      </c>
      <c r="D440" t="inlineStr">
        <is>
          <t>CHG_IMP_0415</t>
        </is>
      </c>
      <c r="E440" t="inlineStr">
        <is>
          <t>Functional</t>
        </is>
      </c>
      <c r="F440" t="inlineStr">
        <is>
          <t>Configuration</t>
        </is>
      </c>
      <c r="G440" t="inlineStr"/>
      <c r="H440" t="inlineStr">
        <is>
          <t>DFL Inventory Management impacted by Oracle 26C change</t>
        </is>
      </c>
      <c r="I440" t="inlineStr">
        <is>
          <t>Y</t>
        </is>
      </c>
      <c r="J440" t="inlineStr">
        <is>
          <t>N</t>
        </is>
      </c>
      <c r="K440" t="inlineStr">
        <is>
          <t>N</t>
        </is>
      </c>
      <c r="L440" t="inlineStr">
        <is>
          <t>N</t>
        </is>
      </c>
      <c r="M440" t="n">
        <v>3</v>
      </c>
      <c r="N440" t="n">
        <v>2</v>
      </c>
      <c r="O440" t="n">
        <v>3</v>
      </c>
      <c r="P440" t="n">
        <v>1</v>
      </c>
      <c r="Q440" t="n">
        <v>3</v>
      </c>
      <c r="R440">
        <f>IFERROR(XLOOKUP(XLOOKUP(D440,tblReleaseChanges[Change_ID],tblReleaseChanges[Oracle_Severity],""),tblSeverityMap[Severity_Text],tblSeverityMap[Score],0),0)</f>
        <v/>
      </c>
      <c r="S440" t="n">
        <v>2</v>
      </c>
      <c r="T440">
        <f>ROUND((M440*0.25)+(N440*0.20)+(O440*0.15)+(P440*0.15)+(Q440*0.10)+(R440*0.10)+(S440*0.05),2)</f>
        <v/>
      </c>
      <c r="U440">
        <f>IF(T440&gt;=4.25,"Critical",IF(T440&gt;=3.5,"High",IF(T440&gt;=2,"Medium","Low")))</f>
        <v/>
      </c>
      <c r="V440" t="inlineStr">
        <is>
          <t>Pending Review</t>
        </is>
      </c>
      <c r="W440" t="inlineStr"/>
      <c r="X440" t="inlineStr"/>
      <c r="Y440" t="inlineStr">
        <is>
          <t>Action type: Steps to Enable. Use the Opt In UI to enable this feature. For instructions, refer to the Optional Uptake of New Features section of this document. Offerin</t>
        </is>
      </c>
      <c r="Z440" t="inlineStr">
        <is>
          <t>Y</t>
        </is>
      </c>
      <c r="AA440" t="inlineStr">
        <is>
          <t>N</t>
        </is>
      </c>
    </row>
    <row r="441">
      <c r="A441" t="inlineStr">
        <is>
          <t>ASMT_IMP_0416</t>
        </is>
      </c>
      <c r="B441" t="inlineStr">
        <is>
          <t>CLT_DFL001</t>
        </is>
      </c>
      <c r="C441" t="inlineStr">
        <is>
          <t>REL_26C</t>
        </is>
      </c>
      <c r="D441" t="inlineStr">
        <is>
          <t>CHG_IMP_0416</t>
        </is>
      </c>
      <c r="E441" t="inlineStr">
        <is>
          <t>Functional</t>
        </is>
      </c>
      <c r="F441" t="inlineStr">
        <is>
          <t>Configuration</t>
        </is>
      </c>
      <c r="G441" t="inlineStr"/>
      <c r="H441" t="inlineStr">
        <is>
          <t>DFL Inventory Management impacted by Oracle 26C change</t>
        </is>
      </c>
      <c r="I441" t="inlineStr">
        <is>
          <t>Y</t>
        </is>
      </c>
      <c r="J441" t="inlineStr">
        <is>
          <t>N</t>
        </is>
      </c>
      <c r="K441" t="inlineStr">
        <is>
          <t>N</t>
        </is>
      </c>
      <c r="L441" t="inlineStr">
        <is>
          <t>N</t>
        </is>
      </c>
      <c r="M441" t="n">
        <v>3</v>
      </c>
      <c r="N441" t="n">
        <v>2</v>
      </c>
      <c r="O441" t="n">
        <v>3</v>
      </c>
      <c r="P441" t="n">
        <v>1</v>
      </c>
      <c r="Q441" t="n">
        <v>3</v>
      </c>
      <c r="R441">
        <f>IFERROR(XLOOKUP(XLOOKUP(D441,tblReleaseChanges[Change_ID],tblReleaseChanges[Oracle_Severity],""),tblSeverityMap[Severity_Text],tblSeverityMap[Score],0),0)</f>
        <v/>
      </c>
      <c r="S441" t="n">
        <v>2</v>
      </c>
      <c r="T441">
        <f>ROUND((M441*0.25)+(N441*0.20)+(O441*0.15)+(P441*0.15)+(Q441*0.10)+(R441*0.10)+(S441*0.05),2)</f>
        <v/>
      </c>
      <c r="U441">
        <f>IF(T441&gt;=4.25,"Critical",IF(T441&gt;=3.5,"High",IF(T441&gt;=2,"Medium","Low")))</f>
        <v/>
      </c>
      <c r="V441" t="inlineStr">
        <is>
          <t>Pending Review</t>
        </is>
      </c>
      <c r="W441" t="inlineStr"/>
      <c r="X441" t="inlineStr"/>
      <c r="Y441" t="inlineStr">
        <is>
          <t>Action type: Steps to Enable. Leverage the Visual Builder Studio to expose your applications. To learn more about extending your application using Visual Builder, visit Oracle Help Center &gt; *your apps</t>
        </is>
      </c>
      <c r="Z441" t="inlineStr">
        <is>
          <t>Y</t>
        </is>
      </c>
      <c r="AA441" t="inlineStr">
        <is>
          <t>N</t>
        </is>
      </c>
    </row>
    <row r="442">
      <c r="A442" t="inlineStr">
        <is>
          <t>ASMT_IMP_0417</t>
        </is>
      </c>
      <c r="B442" t="inlineStr">
        <is>
          <t>CLT_DFL001</t>
        </is>
      </c>
      <c r="C442" t="inlineStr">
        <is>
          <t>REL_26C</t>
        </is>
      </c>
      <c r="D442" t="inlineStr">
        <is>
          <t>CHG_IMP_0417</t>
        </is>
      </c>
      <c r="E442" t="inlineStr">
        <is>
          <t>Functional</t>
        </is>
      </c>
      <c r="F442" t="inlineStr">
        <is>
          <t>Configuration</t>
        </is>
      </c>
      <c r="G442" t="inlineStr"/>
      <c r="H442" t="inlineStr">
        <is>
          <t>DFL Inventory Management impacted by Oracle 26C change</t>
        </is>
      </c>
      <c r="I442" t="inlineStr">
        <is>
          <t>Y</t>
        </is>
      </c>
      <c r="J442" t="inlineStr">
        <is>
          <t>N</t>
        </is>
      </c>
      <c r="K442" t="inlineStr">
        <is>
          <t>N</t>
        </is>
      </c>
      <c r="L442" t="inlineStr">
        <is>
          <t>N</t>
        </is>
      </c>
      <c r="M442" t="n">
        <v>3</v>
      </c>
      <c r="N442" t="n">
        <v>2</v>
      </c>
      <c r="O442" t="n">
        <v>3</v>
      </c>
      <c r="P442" t="n">
        <v>1</v>
      </c>
      <c r="Q442" t="n">
        <v>3</v>
      </c>
      <c r="R442">
        <f>IFERROR(XLOOKUP(XLOOKUP(D442,tblReleaseChanges[Change_ID],tblReleaseChanges[Oracle_Severity],""),tblSeverityMap[Severity_Text],tblSeverityMap[Score],0),0)</f>
        <v/>
      </c>
      <c r="S442" t="n">
        <v>2</v>
      </c>
      <c r="T442">
        <f>ROUND((M442*0.25)+(N442*0.20)+(O442*0.15)+(P442*0.15)+(Q442*0.10)+(R442*0.10)+(S442*0.05),2)</f>
        <v/>
      </c>
      <c r="U442">
        <f>IF(T442&gt;=4.25,"Critical",IF(T442&gt;=3.5,"High",IF(T442&gt;=2,"Medium","Low")))</f>
        <v/>
      </c>
      <c r="V442" t="inlineStr">
        <is>
          <t>Pending Review</t>
        </is>
      </c>
      <c r="W442" t="inlineStr"/>
      <c r="X442" t="inlineStr"/>
      <c r="Y442" t="inlineStr">
        <is>
          <t>Action type: Steps to Enable. • Add this new privilege (mentioned in Access Requirements section) to a custom role and assign the role to the applicable users.</t>
        </is>
      </c>
      <c r="Z442" t="inlineStr">
        <is>
          <t>Y</t>
        </is>
      </c>
      <c r="AA442" t="inlineStr">
        <is>
          <t>N</t>
        </is>
      </c>
    </row>
    <row r="443">
      <c r="A443" t="inlineStr">
        <is>
          <t>ASMT_IMP_0418</t>
        </is>
      </c>
      <c r="B443" t="inlineStr">
        <is>
          <t>CLT_DFL001</t>
        </is>
      </c>
      <c r="C443" t="inlineStr">
        <is>
          <t>REL_26C</t>
        </is>
      </c>
      <c r="D443" t="inlineStr">
        <is>
          <t>CHG_IMP_0418</t>
        </is>
      </c>
      <c r="E443" t="inlineStr">
        <is>
          <t>Functional</t>
        </is>
      </c>
      <c r="F443" t="inlineStr">
        <is>
          <t>Configuration</t>
        </is>
      </c>
      <c r="G443" t="inlineStr"/>
      <c r="H443" t="inlineStr">
        <is>
          <t>DFL Inventory Management impacted by Oracle 26C change</t>
        </is>
      </c>
      <c r="I443" t="inlineStr">
        <is>
          <t>Y</t>
        </is>
      </c>
      <c r="J443" t="inlineStr">
        <is>
          <t>N</t>
        </is>
      </c>
      <c r="K443" t="inlineStr">
        <is>
          <t>N</t>
        </is>
      </c>
      <c r="L443" t="inlineStr">
        <is>
          <t>N</t>
        </is>
      </c>
      <c r="M443" t="n">
        <v>3</v>
      </c>
      <c r="N443" t="n">
        <v>2</v>
      </c>
      <c r="O443" t="n">
        <v>3</v>
      </c>
      <c r="P443" t="n">
        <v>1</v>
      </c>
      <c r="Q443" t="n">
        <v>3</v>
      </c>
      <c r="R443">
        <f>IFERROR(XLOOKUP(XLOOKUP(D443,tblReleaseChanges[Change_ID],tblReleaseChanges[Oracle_Severity],""),tblSeverityMap[Severity_Text],tblSeverityMap[Score],0),0)</f>
        <v/>
      </c>
      <c r="S443" t="n">
        <v>1</v>
      </c>
      <c r="T443">
        <f>ROUND((M443*0.25)+(N443*0.20)+(O443*0.15)+(P443*0.15)+(Q443*0.10)+(R443*0.10)+(S443*0.05),2)</f>
        <v/>
      </c>
      <c r="U443">
        <f>IF(T443&gt;=4.25,"Critical",IF(T443&gt;=3.5,"High",IF(T443&gt;=2,"Medium","Low")))</f>
        <v/>
      </c>
      <c r="V443" t="inlineStr">
        <is>
          <t>Pending Review</t>
        </is>
      </c>
      <c r="W443" t="inlineStr"/>
      <c r="X443" t="inlineStr"/>
      <c r="Y443" t="inlineStr">
        <is>
          <t>Auto-enabled — no action required</t>
        </is>
      </c>
      <c r="Z443" t="inlineStr">
        <is>
          <t>N</t>
        </is>
      </c>
      <c r="AA443" t="inlineStr">
        <is>
          <t>N</t>
        </is>
      </c>
    </row>
    <row r="444">
      <c r="A444" t="inlineStr">
        <is>
          <t>ASMT_IMP_0419</t>
        </is>
      </c>
      <c r="B444" t="inlineStr">
        <is>
          <t>CLT_DFL001</t>
        </is>
      </c>
      <c r="C444" t="inlineStr">
        <is>
          <t>REL_26C</t>
        </is>
      </c>
      <c r="D444" t="inlineStr">
        <is>
          <t>CHG_IMP_0419</t>
        </is>
      </c>
      <c r="E444" t="inlineStr">
        <is>
          <t>Functional</t>
        </is>
      </c>
      <c r="F444" t="inlineStr">
        <is>
          <t>Configuration</t>
        </is>
      </c>
      <c r="G444" t="inlineStr"/>
      <c r="H444" t="inlineStr">
        <is>
          <t>DFL Inventory Management impacted by Oracle 26C change</t>
        </is>
      </c>
      <c r="I444" t="inlineStr">
        <is>
          <t>Y</t>
        </is>
      </c>
      <c r="J444" t="inlineStr">
        <is>
          <t>N</t>
        </is>
      </c>
      <c r="K444" t="inlineStr">
        <is>
          <t>N</t>
        </is>
      </c>
      <c r="L444" t="inlineStr">
        <is>
          <t>N</t>
        </is>
      </c>
      <c r="M444" t="n">
        <v>3</v>
      </c>
      <c r="N444" t="n">
        <v>2</v>
      </c>
      <c r="O444" t="n">
        <v>3</v>
      </c>
      <c r="P444" t="n">
        <v>1</v>
      </c>
      <c r="Q444" t="n">
        <v>3</v>
      </c>
      <c r="R444">
        <f>IFERROR(XLOOKUP(XLOOKUP(D444,tblReleaseChanges[Change_ID],tblReleaseChanges[Oracle_Severity],""),tblSeverityMap[Severity_Text],tblSeverityMap[Score],0),0)</f>
        <v/>
      </c>
      <c r="S444" t="n">
        <v>2</v>
      </c>
      <c r="T444">
        <f>ROUND((M444*0.25)+(N444*0.20)+(O444*0.15)+(P444*0.15)+(Q444*0.10)+(R444*0.10)+(S444*0.05),2)</f>
        <v/>
      </c>
      <c r="U444">
        <f>IF(T444&gt;=4.25,"Critical",IF(T444&gt;=3.5,"High",IF(T444&gt;=2,"Medium","Low")))</f>
        <v/>
      </c>
      <c r="V444" t="inlineStr">
        <is>
          <t>Pending Review</t>
        </is>
      </c>
      <c r="W444" t="inlineStr"/>
      <c r="X444" t="inlineStr"/>
      <c r="Y444" t="inlineStr">
        <is>
          <t>Action type: Steps to Enable. You can access this functionality by enabling the feature **Simplify Configuration and Processing for B2B Messaging**orthe profile option **ORA_CMK_MESSAGING_CERTIFICATES</t>
        </is>
      </c>
      <c r="Z444" t="inlineStr">
        <is>
          <t>Y</t>
        </is>
      </c>
      <c r="AA444" t="inlineStr">
        <is>
          <t>N</t>
        </is>
      </c>
    </row>
    <row r="445">
      <c r="A445" t="inlineStr">
        <is>
          <t>ASMT_IMP_0420</t>
        </is>
      </c>
      <c r="B445" t="inlineStr">
        <is>
          <t>CLT_DFL001</t>
        </is>
      </c>
      <c r="C445" t="inlineStr">
        <is>
          <t>REL_26C</t>
        </is>
      </c>
      <c r="D445" t="inlineStr">
        <is>
          <t>CHG_IMP_0420</t>
        </is>
      </c>
      <c r="E445" t="inlineStr">
        <is>
          <t>Functional</t>
        </is>
      </c>
      <c r="F445" t="inlineStr">
        <is>
          <t>Configuration</t>
        </is>
      </c>
      <c r="G445" t="inlineStr"/>
      <c r="H445" t="inlineStr">
        <is>
          <t>DFL Inventory Management impacted by Oracle 26C change</t>
        </is>
      </c>
      <c r="I445" t="inlineStr">
        <is>
          <t>Y</t>
        </is>
      </c>
      <c r="J445" t="inlineStr">
        <is>
          <t>N</t>
        </is>
      </c>
      <c r="K445" t="inlineStr">
        <is>
          <t>N</t>
        </is>
      </c>
      <c r="L445" t="inlineStr">
        <is>
          <t>N</t>
        </is>
      </c>
      <c r="M445" t="n">
        <v>3</v>
      </c>
      <c r="N445" t="n">
        <v>2</v>
      </c>
      <c r="O445" t="n">
        <v>3</v>
      </c>
      <c r="P445" t="n">
        <v>1</v>
      </c>
      <c r="Q445" t="n">
        <v>3</v>
      </c>
      <c r="R445">
        <f>IFERROR(XLOOKUP(XLOOKUP(D445,tblReleaseChanges[Change_ID],tblReleaseChanges[Oracle_Severity],""),tblSeverityMap[Severity_Text],tblSeverityMap[Score],0),0)</f>
        <v/>
      </c>
      <c r="S445" t="n">
        <v>1</v>
      </c>
      <c r="T445">
        <f>ROUND((M445*0.25)+(N445*0.20)+(O445*0.15)+(P445*0.15)+(Q445*0.10)+(R445*0.10)+(S445*0.05),2)</f>
        <v/>
      </c>
      <c r="U445">
        <f>IF(T445&gt;=4.25,"Critical",IF(T445&gt;=3.5,"High",IF(T445&gt;=2,"Medium","Low")))</f>
        <v/>
      </c>
      <c r="V445" t="inlineStr">
        <is>
          <t>Pending Review</t>
        </is>
      </c>
      <c r="W445" t="inlineStr"/>
      <c r="X445" t="inlineStr"/>
      <c r="Y445" t="inlineStr">
        <is>
          <t>Auto-enabled — no action required</t>
        </is>
      </c>
      <c r="Z445" t="inlineStr">
        <is>
          <t>N</t>
        </is>
      </c>
      <c r="AA445" t="inlineStr">
        <is>
          <t>N</t>
        </is>
      </c>
    </row>
    <row r="446">
      <c r="A446" t="inlineStr">
        <is>
          <t>ASMT_IMP_0421</t>
        </is>
      </c>
      <c r="B446" t="inlineStr">
        <is>
          <t>CLT_DFL001</t>
        </is>
      </c>
      <c r="C446" t="inlineStr">
        <is>
          <t>REL_26C</t>
        </is>
      </c>
      <c r="D446" t="inlineStr">
        <is>
          <t>CHG_IMP_0421</t>
        </is>
      </c>
      <c r="E446" t="inlineStr">
        <is>
          <t>Functional</t>
        </is>
      </c>
      <c r="F446" t="inlineStr">
        <is>
          <t>Configuration</t>
        </is>
      </c>
      <c r="G446" t="inlineStr"/>
      <c r="H446" t="inlineStr">
        <is>
          <t>DFL Inventory Management impacted by Oracle 26C change</t>
        </is>
      </c>
      <c r="I446" t="inlineStr">
        <is>
          <t>Y</t>
        </is>
      </c>
      <c r="J446" t="inlineStr">
        <is>
          <t>N</t>
        </is>
      </c>
      <c r="K446" t="inlineStr">
        <is>
          <t>N</t>
        </is>
      </c>
      <c r="L446" t="inlineStr">
        <is>
          <t>N</t>
        </is>
      </c>
      <c r="M446" t="n">
        <v>3</v>
      </c>
      <c r="N446" t="n">
        <v>2</v>
      </c>
      <c r="O446" t="n">
        <v>3</v>
      </c>
      <c r="P446" t="n">
        <v>1</v>
      </c>
      <c r="Q446" t="n">
        <v>3</v>
      </c>
      <c r="R446">
        <f>IFERROR(XLOOKUP(XLOOKUP(D446,tblReleaseChanges[Change_ID],tblReleaseChanges[Oracle_Severity],""),tblSeverityMap[Severity_Text],tblSeverityMap[Score],0),0)</f>
        <v/>
      </c>
      <c r="S446" t="n">
        <v>1</v>
      </c>
      <c r="T446">
        <f>ROUND((M446*0.25)+(N446*0.20)+(O446*0.15)+(P446*0.15)+(Q446*0.10)+(R446*0.10)+(S446*0.05),2)</f>
        <v/>
      </c>
      <c r="U446">
        <f>IF(T446&gt;=4.25,"Critical",IF(T446&gt;=3.5,"High",IF(T446&gt;=2,"Medium","Low")))</f>
        <v/>
      </c>
      <c r="V446" t="inlineStr">
        <is>
          <t>Pending Review</t>
        </is>
      </c>
      <c r="W446" t="inlineStr"/>
      <c r="X446" t="inlineStr"/>
      <c r="Y446" t="inlineStr">
        <is>
          <t>Auto-enabled — no action required</t>
        </is>
      </c>
      <c r="Z446" t="inlineStr">
        <is>
          <t>N</t>
        </is>
      </c>
      <c r="AA446" t="inlineStr">
        <is>
          <t>N</t>
        </is>
      </c>
    </row>
    <row r="447">
      <c r="A447" t="inlineStr">
        <is>
          <t>ASMT_IMP_0422</t>
        </is>
      </c>
      <c r="B447" t="inlineStr">
        <is>
          <t>CLT_DFL001</t>
        </is>
      </c>
      <c r="C447" t="inlineStr">
        <is>
          <t>REL_26C</t>
        </is>
      </c>
      <c r="D447" t="inlineStr">
        <is>
          <t>CHG_IMP_0422</t>
        </is>
      </c>
      <c r="E447" t="inlineStr">
        <is>
          <t>Functional</t>
        </is>
      </c>
      <c r="F447" t="inlineStr">
        <is>
          <t>Configuration</t>
        </is>
      </c>
      <c r="G447" t="inlineStr"/>
      <c r="H447" t="inlineStr">
        <is>
          <t>DFL Inventory Management impacted by Oracle 26C change</t>
        </is>
      </c>
      <c r="I447" t="inlineStr">
        <is>
          <t>Y</t>
        </is>
      </c>
      <c r="J447" t="inlineStr">
        <is>
          <t>N</t>
        </is>
      </c>
      <c r="K447" t="inlineStr">
        <is>
          <t>N</t>
        </is>
      </c>
      <c r="L447" t="inlineStr">
        <is>
          <t>N</t>
        </is>
      </c>
      <c r="M447" t="n">
        <v>3</v>
      </c>
      <c r="N447" t="n">
        <v>2</v>
      </c>
      <c r="O447" t="n">
        <v>3</v>
      </c>
      <c r="P447" t="n">
        <v>1</v>
      </c>
      <c r="Q447" t="n">
        <v>3</v>
      </c>
      <c r="R447">
        <f>IFERROR(XLOOKUP(XLOOKUP(D447,tblReleaseChanges[Change_ID],tblReleaseChanges[Oracle_Severity],""),tblSeverityMap[Severity_Text],tblSeverityMap[Score],0),0)</f>
        <v/>
      </c>
      <c r="S447" t="n">
        <v>1</v>
      </c>
      <c r="T447">
        <f>ROUND((M447*0.25)+(N447*0.20)+(O447*0.15)+(P447*0.15)+(Q447*0.10)+(R447*0.10)+(S447*0.05),2)</f>
        <v/>
      </c>
      <c r="U447">
        <f>IF(T447&gt;=4.25,"Critical",IF(T447&gt;=3.5,"High",IF(T447&gt;=2,"Medium","Low")))</f>
        <v/>
      </c>
      <c r="V447" t="inlineStr">
        <is>
          <t>Pending Review</t>
        </is>
      </c>
      <c r="W447" t="inlineStr"/>
      <c r="X447" t="inlineStr"/>
      <c r="Y447" t="inlineStr">
        <is>
          <t>Auto-enabled — no action required</t>
        </is>
      </c>
      <c r="Z447" t="inlineStr">
        <is>
          <t>N</t>
        </is>
      </c>
      <c r="AA447" t="inlineStr">
        <is>
          <t>N</t>
        </is>
      </c>
    </row>
    <row r="448">
      <c r="A448" t="inlineStr">
        <is>
          <t>ASMT_IMP_0423</t>
        </is>
      </c>
      <c r="B448" t="inlineStr">
        <is>
          <t>CLT_DFL001</t>
        </is>
      </c>
      <c r="C448" t="inlineStr">
        <is>
          <t>REL_26C</t>
        </is>
      </c>
      <c r="D448" t="inlineStr">
        <is>
          <t>CHG_IMP_0423</t>
        </is>
      </c>
      <c r="E448" t="inlineStr">
        <is>
          <t>Functional</t>
        </is>
      </c>
      <c r="F448" t="inlineStr">
        <is>
          <t>Configuration</t>
        </is>
      </c>
      <c r="G448" t="inlineStr"/>
      <c r="H448" t="inlineStr">
        <is>
          <t>DFL Inventory Management impacted by Oracle 26C change</t>
        </is>
      </c>
      <c r="I448" t="inlineStr">
        <is>
          <t>Y</t>
        </is>
      </c>
      <c r="J448" t="inlineStr">
        <is>
          <t>N</t>
        </is>
      </c>
      <c r="K448" t="inlineStr">
        <is>
          <t>N</t>
        </is>
      </c>
      <c r="L448" t="inlineStr">
        <is>
          <t>N</t>
        </is>
      </c>
      <c r="M448" t="n">
        <v>3</v>
      </c>
      <c r="N448" t="n">
        <v>2</v>
      </c>
      <c r="O448" t="n">
        <v>3</v>
      </c>
      <c r="P448" t="n">
        <v>1</v>
      </c>
      <c r="Q448" t="n">
        <v>3</v>
      </c>
      <c r="R448">
        <f>IFERROR(XLOOKUP(XLOOKUP(D448,tblReleaseChanges[Change_ID],tblReleaseChanges[Oracle_Severity],""),tblSeverityMap[Severity_Text],tblSeverityMap[Score],0),0)</f>
        <v/>
      </c>
      <c r="S448" t="n">
        <v>2</v>
      </c>
      <c r="T448">
        <f>ROUND((M448*0.25)+(N448*0.20)+(O448*0.15)+(P448*0.15)+(Q448*0.10)+(R448*0.10)+(S448*0.05),2)</f>
        <v/>
      </c>
      <c r="U448">
        <f>IF(T448&gt;=4.25,"Critical",IF(T448&gt;=3.5,"High",IF(T448&gt;=2,"Medium","Low")))</f>
        <v/>
      </c>
      <c r="V448" t="inlineStr">
        <is>
          <t>Pending Review</t>
        </is>
      </c>
      <c r="W448" t="inlineStr"/>
      <c r="X448" t="inlineStr"/>
      <c r="Y448" t="inlineStr">
        <is>
          <t>Action type: Steps to Enable. You can access this functionality by enabling the feature **Simplify Configuration and Processing for B2B Messaging**. 1. Perform the following standard steps to s</t>
        </is>
      </c>
      <c r="Z448" t="inlineStr">
        <is>
          <t>Y</t>
        </is>
      </c>
      <c r="AA448" t="inlineStr">
        <is>
          <t>N</t>
        </is>
      </c>
    </row>
    <row r="449">
      <c r="A449" t="inlineStr">
        <is>
          <t>ASMT_IMP_0424</t>
        </is>
      </c>
      <c r="B449" t="inlineStr">
        <is>
          <t>CLT_DFL001</t>
        </is>
      </c>
      <c r="C449" t="inlineStr">
        <is>
          <t>REL_26C</t>
        </is>
      </c>
      <c r="D449" t="inlineStr">
        <is>
          <t>CHG_IMP_0424</t>
        </is>
      </c>
      <c r="E449" t="inlineStr">
        <is>
          <t>Functional</t>
        </is>
      </c>
      <c r="F449" t="inlineStr">
        <is>
          <t>Configuration</t>
        </is>
      </c>
      <c r="G449" t="inlineStr"/>
      <c r="H449" t="inlineStr">
        <is>
          <t>DFL Inventory Management impacted by Oracle 26C change</t>
        </is>
      </c>
      <c r="I449" t="inlineStr">
        <is>
          <t>Y</t>
        </is>
      </c>
      <c r="J449" t="inlineStr">
        <is>
          <t>N</t>
        </is>
      </c>
      <c r="K449" t="inlineStr">
        <is>
          <t>N</t>
        </is>
      </c>
      <c r="L449" t="inlineStr">
        <is>
          <t>N</t>
        </is>
      </c>
      <c r="M449" t="n">
        <v>3</v>
      </c>
      <c r="N449" t="n">
        <v>2</v>
      </c>
      <c r="O449" t="n">
        <v>3</v>
      </c>
      <c r="P449" t="n">
        <v>1</v>
      </c>
      <c r="Q449" t="n">
        <v>3</v>
      </c>
      <c r="R449">
        <f>IFERROR(XLOOKUP(XLOOKUP(D449,tblReleaseChanges[Change_ID],tblReleaseChanges[Oracle_Severity],""),tblSeverityMap[Severity_Text],tblSeverityMap[Score],0),0)</f>
        <v/>
      </c>
      <c r="S449" t="n">
        <v>2</v>
      </c>
      <c r="T449">
        <f>ROUND((M449*0.25)+(N449*0.20)+(O449*0.15)+(P449*0.15)+(Q449*0.10)+(R449*0.10)+(S449*0.05),2)</f>
        <v/>
      </c>
      <c r="U449">
        <f>IF(T449&gt;=4.25,"Critical",IF(T449&gt;=3.5,"High",IF(T449&gt;=2,"Medium","Low")))</f>
        <v/>
      </c>
      <c r="V449" t="inlineStr">
        <is>
          <t>Pending Review</t>
        </is>
      </c>
      <c r="W449" t="inlineStr"/>
      <c r="X449" t="inlineStr"/>
      <c r="Y449" t="inlineStr">
        <is>
          <t>Action type: Steps to Enable. To enable scanning of barcodes using item number, GTIN, MPN, or SPN without a predefined barcode format, configure th</t>
        </is>
      </c>
      <c r="Z449" t="inlineStr">
        <is>
          <t>Y</t>
        </is>
      </c>
      <c r="AA449" t="inlineStr">
        <is>
          <t>N</t>
        </is>
      </c>
    </row>
    <row r="450">
      <c r="A450" t="inlineStr">
        <is>
          <t>ASMT_IMP_0425</t>
        </is>
      </c>
      <c r="B450" t="inlineStr">
        <is>
          <t>CLT_DFL001</t>
        </is>
      </c>
      <c r="C450" t="inlineStr">
        <is>
          <t>REL_26C</t>
        </is>
      </c>
      <c r="D450" t="inlineStr">
        <is>
          <t>CHG_IMP_0425</t>
        </is>
      </c>
      <c r="E450" t="inlineStr">
        <is>
          <t>Functional</t>
        </is>
      </c>
      <c r="F450" t="inlineStr">
        <is>
          <t>Configuration</t>
        </is>
      </c>
      <c r="G450" t="inlineStr"/>
      <c r="H450" t="inlineStr">
        <is>
          <t>DFL Inventory Management impacted by Oracle 26C change</t>
        </is>
      </c>
      <c r="I450" t="inlineStr">
        <is>
          <t>Y</t>
        </is>
      </c>
      <c r="J450" t="inlineStr">
        <is>
          <t>N</t>
        </is>
      </c>
      <c r="K450" t="inlineStr">
        <is>
          <t>N</t>
        </is>
      </c>
      <c r="L450" t="inlineStr">
        <is>
          <t>N</t>
        </is>
      </c>
      <c r="M450" t="n">
        <v>3</v>
      </c>
      <c r="N450" t="n">
        <v>2</v>
      </c>
      <c r="O450" t="n">
        <v>3</v>
      </c>
      <c r="P450" t="n">
        <v>1</v>
      </c>
      <c r="Q450" t="n">
        <v>3</v>
      </c>
      <c r="R450">
        <f>IFERROR(XLOOKUP(XLOOKUP(D450,tblReleaseChanges[Change_ID],tblReleaseChanges[Oracle_Severity],""),tblSeverityMap[Severity_Text],tblSeverityMap[Score],0),0)</f>
        <v/>
      </c>
      <c r="S450" t="n">
        <v>2</v>
      </c>
      <c r="T450">
        <f>ROUND((M450*0.25)+(N450*0.20)+(O450*0.15)+(P450*0.15)+(Q450*0.10)+(R450*0.10)+(S450*0.05),2)</f>
        <v/>
      </c>
      <c r="U450">
        <f>IF(T450&gt;=4.25,"Critical",IF(T450&gt;=3.5,"High",IF(T450&gt;=2,"Medium","Low")))</f>
        <v/>
      </c>
      <c r="V450" t="inlineStr">
        <is>
          <t>Pending Review</t>
        </is>
      </c>
      <c r="W450" t="inlineStr"/>
      <c r="X450" t="inlineStr"/>
      <c r="Y450" t="inlineStr">
        <is>
          <t>Action type: Steps to Enable. Leverage the Visual Builder Studio to expose your applications. To learn more about extending your application using Visu</t>
        </is>
      </c>
      <c r="Z450" t="inlineStr">
        <is>
          <t>Y</t>
        </is>
      </c>
      <c r="AA450" t="inlineStr">
        <is>
          <t>N</t>
        </is>
      </c>
    </row>
    <row r="451">
      <c r="A451" t="inlineStr">
        <is>
          <t>ASMT_IMP_0426</t>
        </is>
      </c>
      <c r="B451" t="inlineStr">
        <is>
          <t>CLT_DFL001</t>
        </is>
      </c>
      <c r="C451" t="inlineStr">
        <is>
          <t>REL_26C</t>
        </is>
      </c>
      <c r="D451" t="inlineStr">
        <is>
          <t>CHG_IMP_0426</t>
        </is>
      </c>
      <c r="E451" t="inlineStr">
        <is>
          <t>Functional</t>
        </is>
      </c>
      <c r="F451" t="inlineStr">
        <is>
          <t>Configuration</t>
        </is>
      </c>
      <c r="G451" t="inlineStr"/>
      <c r="H451" t="inlineStr">
        <is>
          <t>DFL Inventory Management impacted by Oracle 26C change</t>
        </is>
      </c>
      <c r="I451" t="inlineStr">
        <is>
          <t>Y</t>
        </is>
      </c>
      <c r="J451" t="inlineStr">
        <is>
          <t>N</t>
        </is>
      </c>
      <c r="K451" t="inlineStr">
        <is>
          <t>N</t>
        </is>
      </c>
      <c r="L451" t="inlineStr">
        <is>
          <t>N</t>
        </is>
      </c>
      <c r="M451" t="n">
        <v>3</v>
      </c>
      <c r="N451" t="n">
        <v>2</v>
      </c>
      <c r="O451" t="n">
        <v>3</v>
      </c>
      <c r="P451" t="n">
        <v>1</v>
      </c>
      <c r="Q451" t="n">
        <v>3</v>
      </c>
      <c r="R451">
        <f>IFERROR(XLOOKUP(XLOOKUP(D451,tblReleaseChanges[Change_ID],tblReleaseChanges[Oracle_Severity],""),tblSeverityMap[Severity_Text],tblSeverityMap[Score],0),0)</f>
        <v/>
      </c>
      <c r="S451" t="n">
        <v>2</v>
      </c>
      <c r="T451">
        <f>ROUND((M451*0.25)+(N451*0.20)+(O451*0.15)+(P451*0.15)+(Q451*0.10)+(R451*0.10)+(S451*0.05),2)</f>
        <v/>
      </c>
      <c r="U451">
        <f>IF(T451&gt;=4.25,"Critical",IF(T451&gt;=3.5,"High",IF(T451&gt;=2,"Medium","Low")))</f>
        <v/>
      </c>
      <c r="V451" t="inlineStr">
        <is>
          <t>Pending Review</t>
        </is>
      </c>
      <c r="W451" t="inlineStr"/>
      <c r="X451" t="inlineStr"/>
      <c r="Y451" t="inlineStr">
        <is>
          <t>Action type: Steps to Enable. Use the Opt In UI to enable this feature. For instructions, refer to the Optional Uptake of New Features section of this document. Offering: *Manufacturing a</t>
        </is>
      </c>
      <c r="Z451" t="inlineStr">
        <is>
          <t>Y</t>
        </is>
      </c>
      <c r="AA451" t="inlineStr">
        <is>
          <t>N</t>
        </is>
      </c>
    </row>
    <row r="452">
      <c r="A452" t="inlineStr">
        <is>
          <t>ASMT_IMP_0427</t>
        </is>
      </c>
      <c r="B452" t="inlineStr">
        <is>
          <t>CLT_DFL001</t>
        </is>
      </c>
      <c r="C452" t="inlineStr">
        <is>
          <t>REL_26C</t>
        </is>
      </c>
      <c r="D452" t="inlineStr">
        <is>
          <t>CHG_IMP_0427</t>
        </is>
      </c>
      <c r="E452" t="inlineStr">
        <is>
          <t>Functional</t>
        </is>
      </c>
      <c r="F452" t="inlineStr">
        <is>
          <t>Configuration</t>
        </is>
      </c>
      <c r="G452" t="inlineStr"/>
      <c r="H452" t="inlineStr">
        <is>
          <t>DFL Inventory Management impacted by Oracle 26C change</t>
        </is>
      </c>
      <c r="I452" t="inlineStr">
        <is>
          <t>Y</t>
        </is>
      </c>
      <c r="J452" t="inlineStr">
        <is>
          <t>N</t>
        </is>
      </c>
      <c r="K452" t="inlineStr">
        <is>
          <t>N</t>
        </is>
      </c>
      <c r="L452" t="inlineStr">
        <is>
          <t>N</t>
        </is>
      </c>
      <c r="M452" t="n">
        <v>3</v>
      </c>
      <c r="N452" t="n">
        <v>2</v>
      </c>
      <c r="O452" t="n">
        <v>3</v>
      </c>
      <c r="P452" t="n">
        <v>1</v>
      </c>
      <c r="Q452" t="n">
        <v>3</v>
      </c>
      <c r="R452">
        <f>IFERROR(XLOOKUP(XLOOKUP(D452,tblReleaseChanges[Change_ID],tblReleaseChanges[Oracle_Severity],""),tblSeverityMap[Severity_Text],tblSeverityMap[Score],0),0)</f>
        <v/>
      </c>
      <c r="S452" t="n">
        <v>2</v>
      </c>
      <c r="T452">
        <f>ROUND((M452*0.25)+(N452*0.20)+(O452*0.15)+(P452*0.15)+(Q452*0.10)+(R452*0.10)+(S452*0.05),2)</f>
        <v/>
      </c>
      <c r="U452">
        <f>IF(T452&gt;=4.25,"Critical",IF(T452&gt;=3.5,"High",IF(T452&gt;=2,"Medium","Low")))</f>
        <v/>
      </c>
      <c r="V452" t="inlineStr">
        <is>
          <t>Pending Review</t>
        </is>
      </c>
      <c r="W452" t="inlineStr"/>
      <c r="X452" t="inlineStr"/>
      <c r="Y452" t="inlineStr">
        <is>
          <t>Action type: Steps to Enable. Use the Opt In UI to enable this feature. For instructions, refer to the Optional Uptake of New Features section of this document. Offering: *Manufacturing and Supply C</t>
        </is>
      </c>
      <c r="Z452" t="inlineStr">
        <is>
          <t>Y</t>
        </is>
      </c>
      <c r="AA452" t="inlineStr">
        <is>
          <t>N</t>
        </is>
      </c>
    </row>
    <row r="453">
      <c r="A453" t="inlineStr">
        <is>
          <t>ASMT_IMP_0428</t>
        </is>
      </c>
      <c r="B453" t="inlineStr">
        <is>
          <t>CLT_DFL001</t>
        </is>
      </c>
      <c r="C453" t="inlineStr">
        <is>
          <t>REL_26C</t>
        </is>
      </c>
      <c r="D453" t="inlineStr">
        <is>
          <t>CHG_IMP_0428</t>
        </is>
      </c>
      <c r="E453" t="inlineStr">
        <is>
          <t>Functional</t>
        </is>
      </c>
      <c r="F453" t="inlineStr">
        <is>
          <t>Configuration</t>
        </is>
      </c>
      <c r="G453" t="inlineStr"/>
      <c r="H453" t="inlineStr">
        <is>
          <t>DFL Inventory Management impacted by Oracle 26C change</t>
        </is>
      </c>
      <c r="I453" t="inlineStr">
        <is>
          <t>Y</t>
        </is>
      </c>
      <c r="J453" t="inlineStr">
        <is>
          <t>N</t>
        </is>
      </c>
      <c r="K453" t="inlineStr">
        <is>
          <t>N</t>
        </is>
      </c>
      <c r="L453" t="inlineStr">
        <is>
          <t>N</t>
        </is>
      </c>
      <c r="M453" t="n">
        <v>3</v>
      </c>
      <c r="N453" t="n">
        <v>2</v>
      </c>
      <c r="O453" t="n">
        <v>3</v>
      </c>
      <c r="P453" t="n">
        <v>1</v>
      </c>
      <c r="Q453" t="n">
        <v>3</v>
      </c>
      <c r="R453">
        <f>IFERROR(XLOOKUP(XLOOKUP(D453,tblReleaseChanges[Change_ID],tblReleaseChanges[Oracle_Severity],""),tblSeverityMap[Severity_Text],tblSeverityMap[Score],0),0)</f>
        <v/>
      </c>
      <c r="S453" t="n">
        <v>2</v>
      </c>
      <c r="T453">
        <f>ROUND((M453*0.25)+(N453*0.20)+(O453*0.15)+(P453*0.15)+(Q453*0.10)+(R453*0.10)+(S453*0.05),2)</f>
        <v/>
      </c>
      <c r="U453">
        <f>IF(T453&gt;=4.25,"Critical",IF(T453&gt;=3.5,"High",IF(T453&gt;=2,"Medium","Low")))</f>
        <v/>
      </c>
      <c r="V453" t="inlineStr">
        <is>
          <t>Pending Review</t>
        </is>
      </c>
      <c r="W453" t="inlineStr"/>
      <c r="X453" t="inlineStr"/>
      <c r="Y453" t="inlineStr">
        <is>
          <t>Action type: Steps to Enable. Use the Opt In UI to enable this feature. For instructions, refer to the Optional Uptake of New Features section of this document. Offering: *Manufacturing</t>
        </is>
      </c>
      <c r="Z453" t="inlineStr">
        <is>
          <t>Y</t>
        </is>
      </c>
      <c r="AA453" t="inlineStr">
        <is>
          <t>N</t>
        </is>
      </c>
    </row>
    <row r="454">
      <c r="A454" t="inlineStr">
        <is>
          <t>ASMT_IMP_0429</t>
        </is>
      </c>
      <c r="B454" t="inlineStr">
        <is>
          <t>CLT_DFL001</t>
        </is>
      </c>
      <c r="C454" t="inlineStr">
        <is>
          <t>REL_26C</t>
        </is>
      </c>
      <c r="D454" t="inlineStr">
        <is>
          <t>CHG_IMP_0429</t>
        </is>
      </c>
      <c r="E454" t="inlineStr">
        <is>
          <t>Functional</t>
        </is>
      </c>
      <c r="F454" t="inlineStr">
        <is>
          <t>Configuration</t>
        </is>
      </c>
      <c r="G454" t="inlineStr"/>
      <c r="H454" t="inlineStr">
        <is>
          <t>DFL Inventory Management impacted by Oracle 26C change</t>
        </is>
      </c>
      <c r="I454" t="inlineStr">
        <is>
          <t>Y</t>
        </is>
      </c>
      <c r="J454" t="inlineStr">
        <is>
          <t>N</t>
        </is>
      </c>
      <c r="K454" t="inlineStr">
        <is>
          <t>N</t>
        </is>
      </c>
      <c r="L454" t="inlineStr">
        <is>
          <t>N</t>
        </is>
      </c>
      <c r="M454" t="n">
        <v>3</v>
      </c>
      <c r="N454" t="n">
        <v>2</v>
      </c>
      <c r="O454" t="n">
        <v>3</v>
      </c>
      <c r="P454" t="n">
        <v>1</v>
      </c>
      <c r="Q454" t="n">
        <v>3</v>
      </c>
      <c r="R454">
        <f>IFERROR(XLOOKUP(XLOOKUP(D454,tblReleaseChanges[Change_ID],tblReleaseChanges[Oracle_Severity],""),tblSeverityMap[Severity_Text],tblSeverityMap[Score],0),0)</f>
        <v/>
      </c>
      <c r="S454" t="n">
        <v>2</v>
      </c>
      <c r="T454">
        <f>ROUND((M454*0.25)+(N454*0.20)+(O454*0.15)+(P454*0.15)+(Q454*0.10)+(R454*0.10)+(S454*0.05),2)</f>
        <v/>
      </c>
      <c r="U454">
        <f>IF(T454&gt;=4.25,"Critical",IF(T454&gt;=3.5,"High",IF(T454&gt;=2,"Medium","Low")))</f>
        <v/>
      </c>
      <c r="V454" t="inlineStr">
        <is>
          <t>Pending Review</t>
        </is>
      </c>
      <c r="W454" t="inlineStr"/>
      <c r="X454" t="inlineStr"/>
      <c r="Y454" t="inlineStr">
        <is>
          <t>Action type: Steps to Enable. Review the REST service definition in the REST API guides to leverage (available from the Oracle Help Center &gt; *your apps service area of interest* &gt; APIs &amp; Schema)</t>
        </is>
      </c>
      <c r="Z454" t="inlineStr">
        <is>
          <t>Y</t>
        </is>
      </c>
      <c r="AA454" t="inlineStr">
        <is>
          <t>N</t>
        </is>
      </c>
    </row>
    <row r="455">
      <c r="A455" t="inlineStr">
        <is>
          <t>ASMT_IMP_0430</t>
        </is>
      </c>
      <c r="B455" t="inlineStr">
        <is>
          <t>CLT_DFL001</t>
        </is>
      </c>
      <c r="C455" t="inlineStr">
        <is>
          <t>REL_26C</t>
        </is>
      </c>
      <c r="D455" t="inlineStr">
        <is>
          <t>CHG_IMP_0430</t>
        </is>
      </c>
      <c r="E455" t="inlineStr">
        <is>
          <t>Functional</t>
        </is>
      </c>
      <c r="F455" t="inlineStr">
        <is>
          <t>Configuration</t>
        </is>
      </c>
      <c r="G455" t="inlineStr"/>
      <c r="H455" t="inlineStr">
        <is>
          <t>DFL Inventory Management impacted by Oracle 26C change</t>
        </is>
      </c>
      <c r="I455" t="inlineStr">
        <is>
          <t>Y</t>
        </is>
      </c>
      <c r="J455" t="inlineStr">
        <is>
          <t>N</t>
        </is>
      </c>
      <c r="K455" t="inlineStr">
        <is>
          <t>N</t>
        </is>
      </c>
      <c r="L455" t="inlineStr">
        <is>
          <t>N</t>
        </is>
      </c>
      <c r="M455" t="n">
        <v>3</v>
      </c>
      <c r="N455" t="n">
        <v>2</v>
      </c>
      <c r="O455" t="n">
        <v>3</v>
      </c>
      <c r="P455" t="n">
        <v>1</v>
      </c>
      <c r="Q455" t="n">
        <v>3</v>
      </c>
      <c r="R455">
        <f>IFERROR(XLOOKUP(XLOOKUP(D455,tblReleaseChanges[Change_ID],tblReleaseChanges[Oracle_Severity],""),tblSeverityMap[Severity_Text],tblSeverityMap[Score],0),0)</f>
        <v/>
      </c>
      <c r="S455" t="n">
        <v>1</v>
      </c>
      <c r="T455">
        <f>ROUND((M455*0.25)+(N455*0.20)+(O455*0.15)+(P455*0.15)+(Q455*0.10)+(R455*0.10)+(S455*0.05),2)</f>
        <v/>
      </c>
      <c r="U455">
        <f>IF(T455&gt;=4.25,"Critical",IF(T455&gt;=3.5,"High",IF(T455&gt;=2,"Medium","Low")))</f>
        <v/>
      </c>
      <c r="V455" t="inlineStr">
        <is>
          <t>Pending Review</t>
        </is>
      </c>
      <c r="W455" t="inlineStr"/>
      <c r="X455" t="inlineStr"/>
      <c r="Y455" t="inlineStr">
        <is>
          <t>Auto-enabled — no action required</t>
        </is>
      </c>
      <c r="Z455" t="inlineStr">
        <is>
          <t>N</t>
        </is>
      </c>
      <c r="AA455" t="inlineStr">
        <is>
          <t>N</t>
        </is>
      </c>
    </row>
    <row r="456">
      <c r="A456" t="inlineStr">
        <is>
          <t>ASMT_IMP_0431</t>
        </is>
      </c>
      <c r="B456" t="inlineStr">
        <is>
          <t>CLT_DFL001</t>
        </is>
      </c>
      <c r="C456" t="inlineStr">
        <is>
          <t>REL_26C</t>
        </is>
      </c>
      <c r="D456" t="inlineStr">
        <is>
          <t>CHG_IMP_0431</t>
        </is>
      </c>
      <c r="E456" t="inlineStr">
        <is>
          <t>Functional</t>
        </is>
      </c>
      <c r="F456" t="inlineStr">
        <is>
          <t>Configuration</t>
        </is>
      </c>
      <c r="G456" t="inlineStr"/>
      <c r="H456" t="inlineStr">
        <is>
          <t>DFL Inventory Management impacted by Oracle 26C change</t>
        </is>
      </c>
      <c r="I456" t="inlineStr">
        <is>
          <t>Y</t>
        </is>
      </c>
      <c r="J456" t="inlineStr">
        <is>
          <t>N</t>
        </is>
      </c>
      <c r="K456" t="inlineStr">
        <is>
          <t>N</t>
        </is>
      </c>
      <c r="L456" t="inlineStr">
        <is>
          <t>N</t>
        </is>
      </c>
      <c r="M456" t="n">
        <v>3</v>
      </c>
      <c r="N456" t="n">
        <v>2</v>
      </c>
      <c r="O456" t="n">
        <v>3</v>
      </c>
      <c r="P456" t="n">
        <v>1</v>
      </c>
      <c r="Q456" t="n">
        <v>3</v>
      </c>
      <c r="R456">
        <f>IFERROR(XLOOKUP(XLOOKUP(D456,tblReleaseChanges[Change_ID],tblReleaseChanges[Oracle_Severity],""),tblSeverityMap[Severity_Text],tblSeverityMap[Score],0),0)</f>
        <v/>
      </c>
      <c r="S456" t="n">
        <v>2</v>
      </c>
      <c r="T456">
        <f>ROUND((M456*0.25)+(N456*0.20)+(O456*0.15)+(P456*0.15)+(Q456*0.10)+(R456*0.10)+(S456*0.05),2)</f>
        <v/>
      </c>
      <c r="U456">
        <f>IF(T456&gt;=4.25,"Critical",IF(T456&gt;=3.5,"High",IF(T456&gt;=2,"Medium","Low")))</f>
        <v/>
      </c>
      <c r="V456" t="inlineStr">
        <is>
          <t>Pending Review</t>
        </is>
      </c>
      <c r="W456" t="inlineStr"/>
      <c r="X456" t="inlineStr"/>
      <c r="Y456" t="inlineStr">
        <is>
          <t xml:space="preserve">Action type: Steps to Enable. 1. Perform the following high-level tasks to set up your documents: • Define your providers. • Create connections. • Assign properties to your inbound order documents. • </t>
        </is>
      </c>
      <c r="Z456" t="inlineStr">
        <is>
          <t>Y</t>
        </is>
      </c>
      <c r="AA456" t="inlineStr">
        <is>
          <t>N</t>
        </is>
      </c>
    </row>
    <row r="457">
      <c r="A457" t="inlineStr">
        <is>
          <t>ASMT_IMP_0432</t>
        </is>
      </c>
      <c r="B457" t="inlineStr">
        <is>
          <t>CLT_DFL001</t>
        </is>
      </c>
      <c r="C457" t="inlineStr">
        <is>
          <t>REL_26C</t>
        </is>
      </c>
      <c r="D457" t="inlineStr">
        <is>
          <t>CHG_IMP_0432</t>
        </is>
      </c>
      <c r="E457" t="inlineStr">
        <is>
          <t>Functional</t>
        </is>
      </c>
      <c r="F457" t="inlineStr">
        <is>
          <t>Configuration</t>
        </is>
      </c>
      <c r="G457" t="inlineStr"/>
      <c r="H457" t="inlineStr">
        <is>
          <t>DFL Inventory Management impacted by Oracle 26C change</t>
        </is>
      </c>
      <c r="I457" t="inlineStr">
        <is>
          <t>Y</t>
        </is>
      </c>
      <c r="J457" t="inlineStr">
        <is>
          <t>N</t>
        </is>
      </c>
      <c r="K457" t="inlineStr">
        <is>
          <t>N</t>
        </is>
      </c>
      <c r="L457" t="inlineStr">
        <is>
          <t>N</t>
        </is>
      </c>
      <c r="M457" t="n">
        <v>3</v>
      </c>
      <c r="N457" t="n">
        <v>2</v>
      </c>
      <c r="O457" t="n">
        <v>3</v>
      </c>
      <c r="P457" t="n">
        <v>1</v>
      </c>
      <c r="Q457" t="n">
        <v>3</v>
      </c>
      <c r="R457">
        <f>IFERROR(XLOOKUP(XLOOKUP(D457,tblReleaseChanges[Change_ID],tblReleaseChanges[Oracle_Severity],""),tblSeverityMap[Severity_Text],tblSeverityMap[Score],0),0)</f>
        <v/>
      </c>
      <c r="S457" t="n">
        <v>1</v>
      </c>
      <c r="T457">
        <f>ROUND((M457*0.25)+(N457*0.20)+(O457*0.15)+(P457*0.15)+(Q457*0.10)+(R457*0.10)+(S457*0.05),2)</f>
        <v/>
      </c>
      <c r="U457">
        <f>IF(T457&gt;=4.25,"Critical",IF(T457&gt;=3.5,"High",IF(T457&gt;=2,"Medium","Low")))</f>
        <v/>
      </c>
      <c r="V457" t="inlineStr">
        <is>
          <t>Pending Review</t>
        </is>
      </c>
      <c r="W457" t="inlineStr"/>
      <c r="X457" t="inlineStr"/>
      <c r="Y457" t="inlineStr">
        <is>
          <t>Auto-enabled — no action required</t>
        </is>
      </c>
      <c r="Z457" t="inlineStr">
        <is>
          <t>N</t>
        </is>
      </c>
      <c r="AA457" t="inlineStr">
        <is>
          <t>N</t>
        </is>
      </c>
    </row>
    <row r="458">
      <c r="A458" t="inlineStr">
        <is>
          <t>ASMT_IMP_0433</t>
        </is>
      </c>
      <c r="B458" t="inlineStr">
        <is>
          <t>CLT_DFL001</t>
        </is>
      </c>
      <c r="C458" t="inlineStr">
        <is>
          <t>REL_26C</t>
        </is>
      </c>
      <c r="D458" t="inlineStr">
        <is>
          <t>CHG_IMP_0433</t>
        </is>
      </c>
      <c r="E458" t="inlineStr">
        <is>
          <t>Functional</t>
        </is>
      </c>
      <c r="F458" t="inlineStr">
        <is>
          <t>Configuration</t>
        </is>
      </c>
      <c r="G458" t="inlineStr"/>
      <c r="H458" t="inlineStr">
        <is>
          <t>DFL Inventory Management impacted by Oracle 26C change</t>
        </is>
      </c>
      <c r="I458" t="inlineStr">
        <is>
          <t>Y</t>
        </is>
      </c>
      <c r="J458" t="inlineStr">
        <is>
          <t>N</t>
        </is>
      </c>
      <c r="K458" t="inlineStr">
        <is>
          <t>N</t>
        </is>
      </c>
      <c r="L458" t="inlineStr">
        <is>
          <t>N</t>
        </is>
      </c>
      <c r="M458" t="n">
        <v>3</v>
      </c>
      <c r="N458" t="n">
        <v>2</v>
      </c>
      <c r="O458" t="n">
        <v>3</v>
      </c>
      <c r="P458" t="n">
        <v>1</v>
      </c>
      <c r="Q458" t="n">
        <v>3</v>
      </c>
      <c r="R458">
        <f>IFERROR(XLOOKUP(XLOOKUP(D458,tblReleaseChanges[Change_ID],tblReleaseChanges[Oracle_Severity],""),tblSeverityMap[Severity_Text],tblSeverityMap[Score],0),0)</f>
        <v/>
      </c>
      <c r="S458" t="n">
        <v>1</v>
      </c>
      <c r="T458">
        <f>ROUND((M458*0.25)+(N458*0.20)+(O458*0.15)+(P458*0.15)+(Q458*0.10)+(R458*0.10)+(S458*0.05),2)</f>
        <v/>
      </c>
      <c r="U458">
        <f>IF(T458&gt;=4.25,"Critical",IF(T458&gt;=3.5,"High",IF(T458&gt;=2,"Medium","Low")))</f>
        <v/>
      </c>
      <c r="V458" t="inlineStr">
        <is>
          <t>Pending Review</t>
        </is>
      </c>
      <c r="W458" t="inlineStr"/>
      <c r="X458" t="inlineStr"/>
      <c r="Y458" t="inlineStr">
        <is>
          <t>Auto-enabled — no action required</t>
        </is>
      </c>
      <c r="Z458" t="inlineStr">
        <is>
          <t>N</t>
        </is>
      </c>
      <c r="AA458" t="inlineStr">
        <is>
          <t>N</t>
        </is>
      </c>
    </row>
    <row r="459">
      <c r="A459" t="inlineStr">
        <is>
          <t>ASMT_IMP_0434</t>
        </is>
      </c>
      <c r="B459" t="inlineStr">
        <is>
          <t>CLT_DFL001</t>
        </is>
      </c>
      <c r="C459" t="inlineStr">
        <is>
          <t>REL_26C</t>
        </is>
      </c>
      <c r="D459" t="inlineStr">
        <is>
          <t>CHG_IMP_0434</t>
        </is>
      </c>
      <c r="E459" t="inlineStr">
        <is>
          <t>Functional</t>
        </is>
      </c>
      <c r="F459" t="inlineStr">
        <is>
          <t>Configuration</t>
        </is>
      </c>
      <c r="G459" t="inlineStr"/>
      <c r="H459" t="inlineStr">
        <is>
          <t>DFL Inventory Management impacted by Oracle 26C change</t>
        </is>
      </c>
      <c r="I459" t="inlineStr">
        <is>
          <t>Y</t>
        </is>
      </c>
      <c r="J459" t="inlineStr">
        <is>
          <t>N</t>
        </is>
      </c>
      <c r="K459" t="inlineStr">
        <is>
          <t>N</t>
        </is>
      </c>
      <c r="L459" t="inlineStr">
        <is>
          <t>N</t>
        </is>
      </c>
      <c r="M459" t="n">
        <v>3</v>
      </c>
      <c r="N459" t="n">
        <v>2</v>
      </c>
      <c r="O459" t="n">
        <v>3</v>
      </c>
      <c r="P459" t="n">
        <v>1</v>
      </c>
      <c r="Q459" t="n">
        <v>3</v>
      </c>
      <c r="R459">
        <f>IFERROR(XLOOKUP(XLOOKUP(D459,tblReleaseChanges[Change_ID],tblReleaseChanges[Oracle_Severity],""),tblSeverityMap[Severity_Text],tblSeverityMap[Score],0),0)</f>
        <v/>
      </c>
      <c r="S459" t="n">
        <v>1</v>
      </c>
      <c r="T459">
        <f>ROUND((M459*0.25)+(N459*0.20)+(O459*0.15)+(P459*0.15)+(Q459*0.10)+(R459*0.10)+(S459*0.05),2)</f>
        <v/>
      </c>
      <c r="U459">
        <f>IF(T459&gt;=4.25,"Critical",IF(T459&gt;=3.5,"High",IF(T459&gt;=2,"Medium","Low")))</f>
        <v/>
      </c>
      <c r="V459" t="inlineStr">
        <is>
          <t>Pending Review</t>
        </is>
      </c>
      <c r="W459" t="inlineStr"/>
      <c r="X459" t="inlineStr"/>
      <c r="Y459" t="inlineStr">
        <is>
          <t>Auto-enabled — no action required</t>
        </is>
      </c>
      <c r="Z459" t="inlineStr">
        <is>
          <t>N</t>
        </is>
      </c>
      <c r="AA459" t="inlineStr">
        <is>
          <t>N</t>
        </is>
      </c>
    </row>
    <row r="460">
      <c r="A460" t="inlineStr">
        <is>
          <t>ASMT_IMP_0435</t>
        </is>
      </c>
      <c r="B460" t="inlineStr">
        <is>
          <t>CLT_DFL001</t>
        </is>
      </c>
      <c r="C460" t="inlineStr">
        <is>
          <t>REL_26C</t>
        </is>
      </c>
      <c r="D460" t="inlineStr">
        <is>
          <t>CHG_IMP_0435</t>
        </is>
      </c>
      <c r="E460" t="inlineStr">
        <is>
          <t>Functional</t>
        </is>
      </c>
      <c r="F460" t="inlineStr">
        <is>
          <t>Configuration</t>
        </is>
      </c>
      <c r="G460" t="inlineStr"/>
      <c r="H460" t="inlineStr">
        <is>
          <t>DFL Inventory Management impacted by Oracle 26C change</t>
        </is>
      </c>
      <c r="I460" t="inlineStr">
        <is>
          <t>Y</t>
        </is>
      </c>
      <c r="J460" t="inlineStr">
        <is>
          <t>N</t>
        </is>
      </c>
      <c r="K460" t="inlineStr">
        <is>
          <t>N</t>
        </is>
      </c>
      <c r="L460" t="inlineStr">
        <is>
          <t>N</t>
        </is>
      </c>
      <c r="M460" t="n">
        <v>3</v>
      </c>
      <c r="N460" t="n">
        <v>2</v>
      </c>
      <c r="O460" t="n">
        <v>3</v>
      </c>
      <c r="P460" t="n">
        <v>1</v>
      </c>
      <c r="Q460" t="n">
        <v>3</v>
      </c>
      <c r="R460">
        <f>IFERROR(XLOOKUP(XLOOKUP(D460,tblReleaseChanges[Change_ID],tblReleaseChanges[Oracle_Severity],""),tblSeverityMap[Severity_Text],tblSeverityMap[Score],0),0)</f>
        <v/>
      </c>
      <c r="S460" t="n">
        <v>2</v>
      </c>
      <c r="T460">
        <f>ROUND((M460*0.25)+(N460*0.20)+(O460*0.15)+(P460*0.15)+(Q460*0.10)+(R460*0.10)+(S460*0.05),2)</f>
        <v/>
      </c>
      <c r="U460">
        <f>IF(T460&gt;=4.25,"Critical",IF(T460&gt;=3.5,"High",IF(T460&gt;=2,"Medium","Low")))</f>
        <v/>
      </c>
      <c r="V460" t="inlineStr">
        <is>
          <t>Pending Review</t>
        </is>
      </c>
      <c r="W460" t="inlineStr"/>
      <c r="X460" t="inlineStr"/>
      <c r="Y460" t="inlineStr">
        <is>
          <t>Action type: Steps to Enable. After you enable the **Simplify Configuration and Processing for B2B Messaging** feature, perform the following high-level tasks: 1. Create an implementation project. 2.</t>
        </is>
      </c>
      <c r="Z460" t="inlineStr">
        <is>
          <t>Y</t>
        </is>
      </c>
      <c r="AA460" t="inlineStr">
        <is>
          <t>N</t>
        </is>
      </c>
    </row>
    <row r="461">
      <c r="A461" t="inlineStr">
        <is>
          <t>ASMT_IMP_0436</t>
        </is>
      </c>
      <c r="B461" t="inlineStr">
        <is>
          <t>CLT_DFL001</t>
        </is>
      </c>
      <c r="C461" t="inlineStr">
        <is>
          <t>REL_26C</t>
        </is>
      </c>
      <c r="D461" t="inlineStr">
        <is>
          <t>CHG_IMP_0436</t>
        </is>
      </c>
      <c r="E461" t="inlineStr">
        <is>
          <t>Functional</t>
        </is>
      </c>
      <c r="F461" t="inlineStr">
        <is>
          <t>Configuration</t>
        </is>
      </c>
      <c r="G461" t="inlineStr"/>
      <c r="H461" t="inlineStr">
        <is>
          <t>DFL Inventory Management impacted by Oracle 26C change</t>
        </is>
      </c>
      <c r="I461" t="inlineStr">
        <is>
          <t>Y</t>
        </is>
      </c>
      <c r="J461" t="inlineStr">
        <is>
          <t>N</t>
        </is>
      </c>
      <c r="K461" t="inlineStr">
        <is>
          <t>N</t>
        </is>
      </c>
      <c r="L461" t="inlineStr">
        <is>
          <t>N</t>
        </is>
      </c>
      <c r="M461" t="n">
        <v>3</v>
      </c>
      <c r="N461" t="n">
        <v>2</v>
      </c>
      <c r="O461" t="n">
        <v>3</v>
      </c>
      <c r="P461" t="n">
        <v>1</v>
      </c>
      <c r="Q461" t="n">
        <v>3</v>
      </c>
      <c r="R461">
        <f>IFERROR(XLOOKUP(XLOOKUP(D461,tblReleaseChanges[Change_ID],tblReleaseChanges[Oracle_Severity],""),tblSeverityMap[Severity_Text],tblSeverityMap[Score],0),0)</f>
        <v/>
      </c>
      <c r="S461" t="n">
        <v>2</v>
      </c>
      <c r="T461">
        <f>ROUND((M461*0.25)+(N461*0.20)+(O461*0.15)+(P461*0.15)+(Q461*0.10)+(R461*0.10)+(S461*0.05),2)</f>
        <v/>
      </c>
      <c r="U461">
        <f>IF(T461&gt;=4.25,"Critical",IF(T461&gt;=3.5,"High",IF(T461&gt;=2,"Medium","Low")))</f>
        <v/>
      </c>
      <c r="V461" t="inlineStr">
        <is>
          <t>Pending Review</t>
        </is>
      </c>
      <c r="W461" t="inlineStr"/>
      <c r="X461" t="inlineStr"/>
      <c r="Y461" t="inlineStr">
        <is>
          <t>Action type: Steps to Enable. There are no steps required to enable this feature.</t>
        </is>
      </c>
      <c r="Z461" t="inlineStr">
        <is>
          <t>Y</t>
        </is>
      </c>
      <c r="AA461" t="inlineStr">
        <is>
          <t>N</t>
        </is>
      </c>
    </row>
    <row r="462">
      <c r="A462" t="inlineStr">
        <is>
          <t>ASMT_IMP_0437</t>
        </is>
      </c>
      <c r="B462" t="inlineStr">
        <is>
          <t>CLT_DFL001</t>
        </is>
      </c>
      <c r="C462" t="inlineStr">
        <is>
          <t>REL_26C</t>
        </is>
      </c>
      <c r="D462" t="inlineStr">
        <is>
          <t>CHG_IMP_0437</t>
        </is>
      </c>
      <c r="E462" t="inlineStr">
        <is>
          <t>Functional</t>
        </is>
      </c>
      <c r="F462" t="inlineStr">
        <is>
          <t>Configuration</t>
        </is>
      </c>
      <c r="G462" t="inlineStr"/>
      <c r="H462" t="inlineStr">
        <is>
          <t>DFL Inventory Management impacted by Oracle 26C change</t>
        </is>
      </c>
      <c r="I462" t="inlineStr">
        <is>
          <t>Y</t>
        </is>
      </c>
      <c r="J462" t="inlineStr">
        <is>
          <t>N</t>
        </is>
      </c>
      <c r="K462" t="inlineStr">
        <is>
          <t>N</t>
        </is>
      </c>
      <c r="L462" t="inlineStr">
        <is>
          <t>N</t>
        </is>
      </c>
      <c r="M462" t="n">
        <v>3</v>
      </c>
      <c r="N462" t="n">
        <v>2</v>
      </c>
      <c r="O462" t="n">
        <v>3</v>
      </c>
      <c r="P462" t="n">
        <v>1</v>
      </c>
      <c r="Q462" t="n">
        <v>3</v>
      </c>
      <c r="R462">
        <f>IFERROR(XLOOKUP(XLOOKUP(D462,tblReleaseChanges[Change_ID],tblReleaseChanges[Oracle_Severity],""),tblSeverityMap[Severity_Text],tblSeverityMap[Score],0),0)</f>
        <v/>
      </c>
      <c r="S462" t="n">
        <v>2</v>
      </c>
      <c r="T462">
        <f>ROUND((M462*0.25)+(N462*0.20)+(O462*0.15)+(P462*0.15)+(Q462*0.10)+(R462*0.10)+(S462*0.05),2)</f>
        <v/>
      </c>
      <c r="U462">
        <f>IF(T462&gt;=4.25,"Critical",IF(T462&gt;=3.5,"High",IF(T462&gt;=2,"Medium","Low")))</f>
        <v/>
      </c>
      <c r="V462" t="inlineStr">
        <is>
          <t>Pending Review</t>
        </is>
      </c>
      <c r="W462" t="inlineStr"/>
      <c r="X462" t="inlineStr"/>
      <c r="Y462" t="inlineStr">
        <is>
          <t>Action type: Steps to Enable. You can access this functionality by enabling the feature **Simplify Configuration and Processing for B2B Messaging**. Perform the following high-level tasks to set up yo</t>
        </is>
      </c>
      <c r="Z462" t="inlineStr">
        <is>
          <t>Y</t>
        </is>
      </c>
      <c r="AA462" t="inlineStr">
        <is>
          <t>N</t>
        </is>
      </c>
    </row>
    <row r="463">
      <c r="A463" t="inlineStr">
        <is>
          <t>ASMT_IMP_0438</t>
        </is>
      </c>
      <c r="B463" t="inlineStr">
        <is>
          <t>CLT_DFL001</t>
        </is>
      </c>
      <c r="C463" t="inlineStr">
        <is>
          <t>REL_26C</t>
        </is>
      </c>
      <c r="D463" t="inlineStr">
        <is>
          <t>CHG_IMP_0438</t>
        </is>
      </c>
      <c r="E463" t="inlineStr">
        <is>
          <t>Functional</t>
        </is>
      </c>
      <c r="F463" t="inlineStr">
        <is>
          <t>Configuration</t>
        </is>
      </c>
      <c r="G463" t="inlineStr"/>
      <c r="H463" t="inlineStr">
        <is>
          <t>DFL Inventory Management impacted by Oracle 26C change</t>
        </is>
      </c>
      <c r="I463" t="inlineStr">
        <is>
          <t>Y</t>
        </is>
      </c>
      <c r="J463" t="inlineStr">
        <is>
          <t>N</t>
        </is>
      </c>
      <c r="K463" t="inlineStr">
        <is>
          <t>N</t>
        </is>
      </c>
      <c r="L463" t="inlineStr">
        <is>
          <t>N</t>
        </is>
      </c>
      <c r="M463" t="n">
        <v>3</v>
      </c>
      <c r="N463" t="n">
        <v>2</v>
      </c>
      <c r="O463" t="n">
        <v>3</v>
      </c>
      <c r="P463" t="n">
        <v>1</v>
      </c>
      <c r="Q463" t="n">
        <v>3</v>
      </c>
      <c r="R463">
        <f>IFERROR(XLOOKUP(XLOOKUP(D463,tblReleaseChanges[Change_ID],tblReleaseChanges[Oracle_Severity],""),tblSeverityMap[Severity_Text],tblSeverityMap[Score],0),0)</f>
        <v/>
      </c>
      <c r="S463" t="n">
        <v>1</v>
      </c>
      <c r="T463">
        <f>ROUND((M463*0.25)+(N463*0.20)+(O463*0.15)+(P463*0.15)+(Q463*0.10)+(R463*0.10)+(S463*0.05),2)</f>
        <v/>
      </c>
      <c r="U463">
        <f>IF(T463&gt;=4.25,"Critical",IF(T463&gt;=3.5,"High",IF(T463&gt;=2,"Medium","Low")))</f>
        <v/>
      </c>
      <c r="V463" t="inlineStr">
        <is>
          <t>Pending Review</t>
        </is>
      </c>
      <c r="W463" t="inlineStr"/>
      <c r="X463" t="inlineStr"/>
      <c r="Y463" t="inlineStr">
        <is>
          <t>Auto-enabled — no action required</t>
        </is>
      </c>
      <c r="Z463" t="inlineStr">
        <is>
          <t>N</t>
        </is>
      </c>
      <c r="AA463" t="inlineStr">
        <is>
          <t>N</t>
        </is>
      </c>
    </row>
    <row r="464">
      <c r="A464" t="inlineStr">
        <is>
          <t>ASMT_IMP_0439</t>
        </is>
      </c>
      <c r="B464" t="inlineStr">
        <is>
          <t>CLT_DFL001</t>
        </is>
      </c>
      <c r="C464" t="inlineStr">
        <is>
          <t>REL_26C</t>
        </is>
      </c>
      <c r="D464" t="inlineStr">
        <is>
          <t>CHG_IMP_0439</t>
        </is>
      </c>
      <c r="E464" t="inlineStr">
        <is>
          <t>AI Feature</t>
        </is>
      </c>
      <c r="F464" t="inlineStr">
        <is>
          <t>Configuration</t>
        </is>
      </c>
      <c r="G464" t="inlineStr"/>
      <c r="H464" t="inlineStr">
        <is>
          <t>DFL Order Management impacted by Oracle 26C change</t>
        </is>
      </c>
      <c r="I464" t="inlineStr">
        <is>
          <t>Y</t>
        </is>
      </c>
      <c r="J464" t="inlineStr">
        <is>
          <t>N</t>
        </is>
      </c>
      <c r="K464" t="inlineStr">
        <is>
          <t>N</t>
        </is>
      </c>
      <c r="L464" t="inlineStr">
        <is>
          <t>N</t>
        </is>
      </c>
      <c r="M464" t="n">
        <v>3</v>
      </c>
      <c r="N464" t="n">
        <v>2</v>
      </c>
      <c r="O464" t="n">
        <v>4</v>
      </c>
      <c r="P464" t="n">
        <v>3</v>
      </c>
      <c r="Q464" t="n">
        <v>3</v>
      </c>
      <c r="R464">
        <f>IFERROR(XLOOKUP(XLOOKUP(D464,tblReleaseChanges[Change_ID],tblReleaseChanges[Oracle_Severity],""),tblSeverityMap[Severity_Text],tblSeverityMap[Score],0),0)</f>
        <v/>
      </c>
      <c r="S464" t="n">
        <v>2</v>
      </c>
      <c r="T464">
        <f>ROUND((M464*0.25)+(N464*0.20)+(O464*0.15)+(P464*0.15)+(Q464*0.10)+(R464*0.10)+(S464*0.05),2)</f>
        <v/>
      </c>
      <c r="U464">
        <f>IF(T464&gt;=4.25,"Critical",IF(T464&gt;=3.5,"High",IF(T464&gt;=2,"Medium","Low")))</f>
        <v/>
      </c>
      <c r="V464" t="inlineStr">
        <is>
          <t>Pending Review</t>
        </is>
      </c>
      <c r="W464" t="inlineStr"/>
      <c r="X464" t="inlineStr"/>
      <c r="Y464" t="inlineStr">
        <is>
          <t xml:space="preserve">Action type: Steps to Enable. Use the Opt In UI to enable this feature. For instructions, refer to the Optional Uptake of New Features section of this document. Offering: *Order Management* 1. If you </t>
        </is>
      </c>
      <c r="Z464" t="inlineStr">
        <is>
          <t>Y</t>
        </is>
      </c>
      <c r="AA464" t="inlineStr">
        <is>
          <t>N</t>
        </is>
      </c>
    </row>
    <row r="465">
      <c r="A465" t="inlineStr">
        <is>
          <t>ASMT_IMP_0440</t>
        </is>
      </c>
      <c r="B465" t="inlineStr">
        <is>
          <t>CLT_DFL001</t>
        </is>
      </c>
      <c r="C465" t="inlineStr">
        <is>
          <t>REL_26C</t>
        </is>
      </c>
      <c r="D465" t="inlineStr">
        <is>
          <t>CHG_IMP_0440</t>
        </is>
      </c>
      <c r="E465" t="inlineStr">
        <is>
          <t>AI Feature</t>
        </is>
      </c>
      <c r="F465" t="inlineStr">
        <is>
          <t>Configuration</t>
        </is>
      </c>
      <c r="G465" t="inlineStr"/>
      <c r="H465" t="inlineStr">
        <is>
          <t>DFL Order Management impacted by Oracle 26C change</t>
        </is>
      </c>
      <c r="I465" t="inlineStr">
        <is>
          <t>Y</t>
        </is>
      </c>
      <c r="J465" t="inlineStr">
        <is>
          <t>N</t>
        </is>
      </c>
      <c r="K465" t="inlineStr">
        <is>
          <t>N</t>
        </is>
      </c>
      <c r="L465" t="inlineStr">
        <is>
          <t>N</t>
        </is>
      </c>
      <c r="M465" t="n">
        <v>3</v>
      </c>
      <c r="N465" t="n">
        <v>2</v>
      </c>
      <c r="O465" t="n">
        <v>4</v>
      </c>
      <c r="P465" t="n">
        <v>3</v>
      </c>
      <c r="Q465" t="n">
        <v>3</v>
      </c>
      <c r="R465">
        <f>IFERROR(XLOOKUP(XLOOKUP(D465,tblReleaseChanges[Change_ID],tblReleaseChanges[Oracle_Severity],""),tblSeverityMap[Severity_Text],tblSeverityMap[Score],0),0)</f>
        <v/>
      </c>
      <c r="S465" t="n">
        <v>2</v>
      </c>
      <c r="T465">
        <f>ROUND((M465*0.25)+(N465*0.20)+(O465*0.15)+(P465*0.15)+(Q465*0.10)+(R465*0.10)+(S465*0.05),2)</f>
        <v/>
      </c>
      <c r="U465">
        <f>IF(T465&gt;=4.25,"Critical",IF(T465&gt;=3.5,"High",IF(T465&gt;=2,"Medium","Low")))</f>
        <v/>
      </c>
      <c r="V465" t="inlineStr">
        <is>
          <t>Pending Review</t>
        </is>
      </c>
      <c r="W465" t="inlineStr"/>
      <c r="X465" t="inlineStr"/>
      <c r="Y465" t="inlineStr">
        <is>
          <t xml:space="preserve">Action type: Steps to Enable. This feature is available as part of Order Exception Assistant. No separate opt-in is required. Users can access the assistant from the Order Management dashboard, order </t>
        </is>
      </c>
      <c r="Z465" t="inlineStr">
        <is>
          <t>Y</t>
        </is>
      </c>
      <c r="AA465" t="inlineStr">
        <is>
          <t>N</t>
        </is>
      </c>
    </row>
    <row r="466">
      <c r="A466" t="inlineStr">
        <is>
          <t>ASMT_IMP_0441</t>
        </is>
      </c>
      <c r="B466" t="inlineStr">
        <is>
          <t>CLT_DFL001</t>
        </is>
      </c>
      <c r="C466" t="inlineStr">
        <is>
          <t>REL_26C</t>
        </is>
      </c>
      <c r="D466" t="inlineStr">
        <is>
          <t>CHG_IMP_0441</t>
        </is>
      </c>
      <c r="E466" t="inlineStr">
        <is>
          <t>AI Feature</t>
        </is>
      </c>
      <c r="F466" t="inlineStr">
        <is>
          <t>Configuration</t>
        </is>
      </c>
      <c r="G466" t="inlineStr"/>
      <c r="H466" t="inlineStr">
        <is>
          <t>DFL Order Management impacted by Oracle 26C change</t>
        </is>
      </c>
      <c r="I466" t="inlineStr">
        <is>
          <t>Y</t>
        </is>
      </c>
      <c r="J466" t="inlineStr">
        <is>
          <t>N</t>
        </is>
      </c>
      <c r="K466" t="inlineStr">
        <is>
          <t>N</t>
        </is>
      </c>
      <c r="L466" t="inlineStr">
        <is>
          <t>N</t>
        </is>
      </c>
      <c r="M466" t="n">
        <v>3</v>
      </c>
      <c r="N466" t="n">
        <v>2</v>
      </c>
      <c r="O466" t="n">
        <v>4</v>
      </c>
      <c r="P466" t="n">
        <v>3</v>
      </c>
      <c r="Q466" t="n">
        <v>3</v>
      </c>
      <c r="R466">
        <f>IFERROR(XLOOKUP(XLOOKUP(D466,tblReleaseChanges[Change_ID],tblReleaseChanges[Oracle_Severity],""),tblSeverityMap[Severity_Text],tblSeverityMap[Score],0),0)</f>
        <v/>
      </c>
      <c r="S466" t="n">
        <v>2</v>
      </c>
      <c r="T466">
        <f>ROUND((M466*0.25)+(N466*0.20)+(O466*0.15)+(P466*0.15)+(Q466*0.10)+(R466*0.10)+(S466*0.05),2)</f>
        <v/>
      </c>
      <c r="U466">
        <f>IF(T466&gt;=4.25,"Critical",IF(T466&gt;=3.5,"High",IF(T466&gt;=2,"Medium","Low")))</f>
        <v/>
      </c>
      <c r="V466" t="inlineStr">
        <is>
          <t>Pending Review</t>
        </is>
      </c>
      <c r="W466" t="inlineStr"/>
      <c r="X466" t="inlineStr"/>
      <c r="Y466" t="inlineStr">
        <is>
          <t>Action type: Steps to Enable. 1. Go to **Home** &gt; **Tools**&gt; **AI Agent Studio**, and then search for Price Administration Assistant. 2. Click **Copy Template.** In the Copy Template dialog box, enter</t>
        </is>
      </c>
      <c r="Z466" t="inlineStr">
        <is>
          <t>Y</t>
        </is>
      </c>
      <c r="AA466" t="inlineStr">
        <is>
          <t>N</t>
        </is>
      </c>
    </row>
    <row r="467">
      <c r="A467" t="inlineStr">
        <is>
          <t>ASMT_IMP_0442</t>
        </is>
      </c>
      <c r="B467" t="inlineStr">
        <is>
          <t>CLT_DFL001</t>
        </is>
      </c>
      <c r="C467" t="inlineStr">
        <is>
          <t>REL_26C</t>
        </is>
      </c>
      <c r="D467" t="inlineStr">
        <is>
          <t>CHG_IMP_0442</t>
        </is>
      </c>
      <c r="E467" t="inlineStr">
        <is>
          <t>AI Feature</t>
        </is>
      </c>
      <c r="F467" t="inlineStr">
        <is>
          <t>Configuration</t>
        </is>
      </c>
      <c r="G467" t="inlineStr"/>
      <c r="H467" t="inlineStr">
        <is>
          <t>DFL Order Management impacted by Oracle 26C change</t>
        </is>
      </c>
      <c r="I467" t="inlineStr">
        <is>
          <t>Y</t>
        </is>
      </c>
      <c r="J467" t="inlineStr">
        <is>
          <t>N</t>
        </is>
      </c>
      <c r="K467" t="inlineStr">
        <is>
          <t>N</t>
        </is>
      </c>
      <c r="L467" t="inlineStr">
        <is>
          <t>N</t>
        </is>
      </c>
      <c r="M467" t="n">
        <v>3</v>
      </c>
      <c r="N467" t="n">
        <v>2</v>
      </c>
      <c r="O467" t="n">
        <v>4</v>
      </c>
      <c r="P467" t="n">
        <v>3</v>
      </c>
      <c r="Q467" t="n">
        <v>3</v>
      </c>
      <c r="R467">
        <f>IFERROR(XLOOKUP(XLOOKUP(D467,tblReleaseChanges[Change_ID],tblReleaseChanges[Oracle_Severity],""),tblSeverityMap[Severity_Text],tblSeverityMap[Score],0),0)</f>
        <v/>
      </c>
      <c r="S467" t="n">
        <v>2</v>
      </c>
      <c r="T467">
        <f>ROUND((M467*0.25)+(N467*0.20)+(O467*0.15)+(P467*0.15)+(Q467*0.10)+(R467*0.10)+(S467*0.05),2)</f>
        <v/>
      </c>
      <c r="U467">
        <f>IF(T467&gt;=4.25,"Critical",IF(T467&gt;=3.5,"High",IF(T467&gt;=2,"Medium","Low")))</f>
        <v/>
      </c>
      <c r="V467" t="inlineStr">
        <is>
          <t>Pending Review</t>
        </is>
      </c>
      <c r="W467" t="inlineStr"/>
      <c r="X467" t="inlineStr"/>
      <c r="Y467" t="inlineStr">
        <is>
          <t>Action type: Steps to Enable. Setting up this feature requires a few easy steps. 1. Configure the inbound purchase order email account in AI Agent Studio, including the email address, monito</t>
        </is>
      </c>
      <c r="Z467" t="inlineStr">
        <is>
          <t>Y</t>
        </is>
      </c>
      <c r="AA467" t="inlineStr">
        <is>
          <t>N</t>
        </is>
      </c>
    </row>
    <row r="468">
      <c r="A468" t="inlineStr">
        <is>
          <t>ASMT_IMP_0443</t>
        </is>
      </c>
      <c r="B468" t="inlineStr">
        <is>
          <t>CLT_DFL001</t>
        </is>
      </c>
      <c r="C468" t="inlineStr">
        <is>
          <t>REL_26C</t>
        </is>
      </c>
      <c r="D468" t="inlineStr">
        <is>
          <t>CHG_IMP_0443</t>
        </is>
      </c>
      <c r="E468" t="inlineStr">
        <is>
          <t>AI Feature</t>
        </is>
      </c>
      <c r="F468" t="inlineStr">
        <is>
          <t>Configuration</t>
        </is>
      </c>
      <c r="G468" t="inlineStr"/>
      <c r="H468" t="inlineStr">
        <is>
          <t>DFL Order Management impacted by Oracle 26C change</t>
        </is>
      </c>
      <c r="I468" t="inlineStr">
        <is>
          <t>Y</t>
        </is>
      </c>
      <c r="J468" t="inlineStr">
        <is>
          <t>N</t>
        </is>
      </c>
      <c r="K468" t="inlineStr">
        <is>
          <t>N</t>
        </is>
      </c>
      <c r="L468" t="inlineStr">
        <is>
          <t>N</t>
        </is>
      </c>
      <c r="M468" t="n">
        <v>3</v>
      </c>
      <c r="N468" t="n">
        <v>2</v>
      </c>
      <c r="O468" t="n">
        <v>4</v>
      </c>
      <c r="P468" t="n">
        <v>3</v>
      </c>
      <c r="Q468" t="n">
        <v>3</v>
      </c>
      <c r="R468">
        <f>IFERROR(XLOOKUP(XLOOKUP(D468,tblReleaseChanges[Change_ID],tblReleaseChanges[Oracle_Severity],""),tblSeverityMap[Severity_Text],tblSeverityMap[Score],0),0)</f>
        <v/>
      </c>
      <c r="S468" t="n">
        <v>1</v>
      </c>
      <c r="T468">
        <f>ROUND((M468*0.25)+(N468*0.20)+(O468*0.15)+(P468*0.15)+(Q468*0.10)+(R468*0.10)+(S468*0.05),2)</f>
        <v/>
      </c>
      <c r="U468">
        <f>IF(T468&gt;=4.25,"Critical",IF(T468&gt;=3.5,"High",IF(T468&gt;=2,"Medium","Low")))</f>
        <v/>
      </c>
      <c r="V468" t="inlineStr">
        <is>
          <t>Pending Review</t>
        </is>
      </c>
      <c r="W468" t="inlineStr"/>
      <c r="X468" t="inlineStr"/>
      <c r="Y468" t="inlineStr">
        <is>
          <t>Auto-enabled — no action required</t>
        </is>
      </c>
      <c r="Z468" t="inlineStr">
        <is>
          <t>N</t>
        </is>
      </c>
      <c r="AA468" t="inlineStr">
        <is>
          <t>N</t>
        </is>
      </c>
    </row>
    <row r="469">
      <c r="A469" t="inlineStr">
        <is>
          <t>ASMT_IMP_0444</t>
        </is>
      </c>
      <c r="B469" t="inlineStr">
        <is>
          <t>CLT_DFL001</t>
        </is>
      </c>
      <c r="C469" t="inlineStr">
        <is>
          <t>REL_26C</t>
        </is>
      </c>
      <c r="D469" t="inlineStr">
        <is>
          <t>CHG_IMP_0444</t>
        </is>
      </c>
      <c r="E469" t="inlineStr">
        <is>
          <t>AI Feature</t>
        </is>
      </c>
      <c r="F469" t="inlineStr">
        <is>
          <t>Configuration</t>
        </is>
      </c>
      <c r="G469" t="inlineStr"/>
      <c r="H469" t="inlineStr">
        <is>
          <t>DFL Order Management impacted by Oracle 26C change</t>
        </is>
      </c>
      <c r="I469" t="inlineStr">
        <is>
          <t>Y</t>
        </is>
      </c>
      <c r="J469" t="inlineStr">
        <is>
          <t>N</t>
        </is>
      </c>
      <c r="K469" t="inlineStr">
        <is>
          <t>N</t>
        </is>
      </c>
      <c r="L469" t="inlineStr">
        <is>
          <t>N</t>
        </is>
      </c>
      <c r="M469" t="n">
        <v>3</v>
      </c>
      <c r="N469" t="n">
        <v>2</v>
      </c>
      <c r="O469" t="n">
        <v>4</v>
      </c>
      <c r="P469" t="n">
        <v>3</v>
      </c>
      <c r="Q469" t="n">
        <v>3</v>
      </c>
      <c r="R469">
        <f>IFERROR(XLOOKUP(XLOOKUP(D469,tblReleaseChanges[Change_ID],tblReleaseChanges[Oracle_Severity],""),tblSeverityMap[Severity_Text],tblSeverityMap[Score],0),0)</f>
        <v/>
      </c>
      <c r="S469" t="n">
        <v>2</v>
      </c>
      <c r="T469">
        <f>ROUND((M469*0.25)+(N469*0.20)+(O469*0.15)+(P469*0.15)+(Q469*0.10)+(R469*0.10)+(S469*0.05),2)</f>
        <v/>
      </c>
      <c r="U469">
        <f>IF(T469&gt;=4.25,"Critical",IF(T469&gt;=3.5,"High",IF(T469&gt;=2,"Medium","Low")))</f>
        <v/>
      </c>
      <c r="V469" t="inlineStr">
        <is>
          <t>Pending Review</t>
        </is>
      </c>
      <c r="W469" t="inlineStr"/>
      <c r="X469" t="inlineStr"/>
      <c r="Y469" t="inlineStr">
        <is>
          <t>Action type: Steps to Enable. To use this feature, the first thing you need to do is enable the Sales Order Command Center Agentic App Enabled profile option at the site and user level. ORA_FOM_COMMAN</t>
        </is>
      </c>
      <c r="Z469" t="inlineStr">
        <is>
          <t>Y</t>
        </is>
      </c>
      <c r="AA469" t="inlineStr">
        <is>
          <t>N</t>
        </is>
      </c>
    </row>
    <row r="470">
      <c r="A470" t="inlineStr">
        <is>
          <t>ASMT_IMP_0445</t>
        </is>
      </c>
      <c r="B470" t="inlineStr">
        <is>
          <t>CLT_DFL001</t>
        </is>
      </c>
      <c r="C470" t="inlineStr">
        <is>
          <t>REL_26C</t>
        </is>
      </c>
      <c r="D470" t="inlineStr">
        <is>
          <t>CHG_IMP_0445</t>
        </is>
      </c>
      <c r="E470" t="inlineStr">
        <is>
          <t>Functional</t>
        </is>
      </c>
      <c r="F470" t="inlineStr">
        <is>
          <t>Configuration</t>
        </is>
      </c>
      <c r="G470" t="inlineStr"/>
      <c r="H470" t="inlineStr">
        <is>
          <t>DFL Order Management impacted by Oracle 26C change</t>
        </is>
      </c>
      <c r="I470" t="inlineStr">
        <is>
          <t>Y</t>
        </is>
      </c>
      <c r="J470" t="inlineStr">
        <is>
          <t>N</t>
        </is>
      </c>
      <c r="K470" t="inlineStr">
        <is>
          <t>N</t>
        </is>
      </c>
      <c r="L470" t="inlineStr">
        <is>
          <t>N</t>
        </is>
      </c>
      <c r="M470" t="n">
        <v>3</v>
      </c>
      <c r="N470" t="n">
        <v>2</v>
      </c>
      <c r="O470" t="n">
        <v>4</v>
      </c>
      <c r="P470" t="n">
        <v>1</v>
      </c>
      <c r="Q470" t="n">
        <v>3</v>
      </c>
      <c r="R470">
        <f>IFERROR(XLOOKUP(XLOOKUP(D470,tblReleaseChanges[Change_ID],tblReleaseChanges[Oracle_Severity],""),tblSeverityMap[Severity_Text],tblSeverityMap[Score],0),0)</f>
        <v/>
      </c>
      <c r="S470" t="n">
        <v>1</v>
      </c>
      <c r="T470">
        <f>ROUND((M470*0.25)+(N470*0.20)+(O470*0.15)+(P470*0.15)+(Q470*0.10)+(R470*0.10)+(S470*0.05),2)</f>
        <v/>
      </c>
      <c r="U470">
        <f>IF(T470&gt;=4.25,"Critical",IF(T470&gt;=3.5,"High",IF(T470&gt;=2,"Medium","Low")))</f>
        <v/>
      </c>
      <c r="V470" t="inlineStr">
        <is>
          <t>Pending Review</t>
        </is>
      </c>
      <c r="W470" t="inlineStr"/>
      <c r="X470" t="inlineStr"/>
      <c r="Y470" t="inlineStr">
        <is>
          <t>Auto-enabled — no action required</t>
        </is>
      </c>
      <c r="Z470" t="inlineStr">
        <is>
          <t>N</t>
        </is>
      </c>
      <c r="AA470" t="inlineStr">
        <is>
          <t>N</t>
        </is>
      </c>
    </row>
    <row r="471">
      <c r="A471" t="inlineStr">
        <is>
          <t>ASMT_IMP_0446</t>
        </is>
      </c>
      <c r="B471" t="inlineStr">
        <is>
          <t>CLT_DFL001</t>
        </is>
      </c>
      <c r="C471" t="inlineStr">
        <is>
          <t>REL_26C</t>
        </is>
      </c>
      <c r="D471" t="inlineStr">
        <is>
          <t>CHG_IMP_0446</t>
        </is>
      </c>
      <c r="E471" t="inlineStr">
        <is>
          <t>Functional</t>
        </is>
      </c>
      <c r="F471" t="inlineStr">
        <is>
          <t>Configuration</t>
        </is>
      </c>
      <c r="G471" t="inlineStr"/>
      <c r="H471" t="inlineStr">
        <is>
          <t>DFL Order Management impacted by Oracle 26C change</t>
        </is>
      </c>
      <c r="I471" t="inlineStr">
        <is>
          <t>Y</t>
        </is>
      </c>
      <c r="J471" t="inlineStr">
        <is>
          <t>N</t>
        </is>
      </c>
      <c r="K471" t="inlineStr">
        <is>
          <t>N</t>
        </is>
      </c>
      <c r="L471" t="inlineStr">
        <is>
          <t>N</t>
        </is>
      </c>
      <c r="M471" t="n">
        <v>3</v>
      </c>
      <c r="N471" t="n">
        <v>2</v>
      </c>
      <c r="O471" t="n">
        <v>4</v>
      </c>
      <c r="P471" t="n">
        <v>1</v>
      </c>
      <c r="Q471" t="n">
        <v>3</v>
      </c>
      <c r="R471">
        <f>IFERROR(XLOOKUP(XLOOKUP(D471,tblReleaseChanges[Change_ID],tblReleaseChanges[Oracle_Severity],""),tblSeverityMap[Severity_Text],tblSeverityMap[Score],0),0)</f>
        <v/>
      </c>
      <c r="S471" t="n">
        <v>1</v>
      </c>
      <c r="T471">
        <f>ROUND((M471*0.25)+(N471*0.20)+(O471*0.15)+(P471*0.15)+(Q471*0.10)+(R471*0.10)+(S471*0.05),2)</f>
        <v/>
      </c>
      <c r="U471">
        <f>IF(T471&gt;=4.25,"Critical",IF(T471&gt;=3.5,"High",IF(T471&gt;=2,"Medium","Low")))</f>
        <v/>
      </c>
      <c r="V471" t="inlineStr">
        <is>
          <t>Pending Review</t>
        </is>
      </c>
      <c r="W471" t="inlineStr"/>
      <c r="X471" t="inlineStr"/>
      <c r="Y471" t="inlineStr">
        <is>
          <t>Auto-enabled — no action required</t>
        </is>
      </c>
      <c r="Z471" t="inlineStr">
        <is>
          <t>N</t>
        </is>
      </c>
      <c r="AA471" t="inlineStr">
        <is>
          <t>N</t>
        </is>
      </c>
    </row>
    <row r="472">
      <c r="A472" t="inlineStr">
        <is>
          <t>ASMT_IMP_0447</t>
        </is>
      </c>
      <c r="B472" t="inlineStr">
        <is>
          <t>CLT_DFL001</t>
        </is>
      </c>
      <c r="C472" t="inlineStr">
        <is>
          <t>REL_26C</t>
        </is>
      </c>
      <c r="D472" t="inlineStr">
        <is>
          <t>CHG_IMP_0447</t>
        </is>
      </c>
      <c r="E472" t="inlineStr">
        <is>
          <t>Functional</t>
        </is>
      </c>
      <c r="F472" t="inlineStr">
        <is>
          <t>Configuration</t>
        </is>
      </c>
      <c r="G472" t="inlineStr"/>
      <c r="H472" t="inlineStr">
        <is>
          <t>DFL Order Management impacted by Oracle 26C change</t>
        </is>
      </c>
      <c r="I472" t="inlineStr">
        <is>
          <t>Y</t>
        </is>
      </c>
      <c r="J472" t="inlineStr">
        <is>
          <t>N</t>
        </is>
      </c>
      <c r="K472" t="inlineStr">
        <is>
          <t>N</t>
        </is>
      </c>
      <c r="L472" t="inlineStr">
        <is>
          <t>N</t>
        </is>
      </c>
      <c r="M472" t="n">
        <v>3</v>
      </c>
      <c r="N472" t="n">
        <v>2</v>
      </c>
      <c r="O472" t="n">
        <v>4</v>
      </c>
      <c r="P472" t="n">
        <v>1</v>
      </c>
      <c r="Q472" t="n">
        <v>3</v>
      </c>
      <c r="R472">
        <f>IFERROR(XLOOKUP(XLOOKUP(D472,tblReleaseChanges[Change_ID],tblReleaseChanges[Oracle_Severity],""),tblSeverityMap[Severity_Text],tblSeverityMap[Score],0),0)</f>
        <v/>
      </c>
      <c r="S472" t="n">
        <v>1</v>
      </c>
      <c r="T472">
        <f>ROUND((M472*0.25)+(N472*0.20)+(O472*0.15)+(P472*0.15)+(Q472*0.10)+(R472*0.10)+(S472*0.05),2)</f>
        <v/>
      </c>
      <c r="U472">
        <f>IF(T472&gt;=4.25,"Critical",IF(T472&gt;=3.5,"High",IF(T472&gt;=2,"Medium","Low")))</f>
        <v/>
      </c>
      <c r="V472" t="inlineStr">
        <is>
          <t>Pending Review</t>
        </is>
      </c>
      <c r="W472" t="inlineStr"/>
      <c r="X472" t="inlineStr"/>
      <c r="Y472" t="inlineStr">
        <is>
          <t>Auto-enabled — no action required</t>
        </is>
      </c>
      <c r="Z472" t="inlineStr">
        <is>
          <t>N</t>
        </is>
      </c>
      <c r="AA472" t="inlineStr">
        <is>
          <t>N</t>
        </is>
      </c>
    </row>
    <row r="473">
      <c r="A473" t="inlineStr">
        <is>
          <t>ASMT_IMP_0448</t>
        </is>
      </c>
      <c r="B473" t="inlineStr">
        <is>
          <t>CLT_DFL001</t>
        </is>
      </c>
      <c r="C473" t="inlineStr">
        <is>
          <t>REL_26C</t>
        </is>
      </c>
      <c r="D473" t="inlineStr">
        <is>
          <t>CHG_IMP_0448</t>
        </is>
      </c>
      <c r="E473" t="inlineStr">
        <is>
          <t>Functional</t>
        </is>
      </c>
      <c r="F473" t="inlineStr">
        <is>
          <t>Configuration</t>
        </is>
      </c>
      <c r="G473" t="inlineStr"/>
      <c r="H473" t="inlineStr">
        <is>
          <t>DFL Order Management impacted by Oracle 26C change</t>
        </is>
      </c>
      <c r="I473" t="inlineStr">
        <is>
          <t>Y</t>
        </is>
      </c>
      <c r="J473" t="inlineStr">
        <is>
          <t>N</t>
        </is>
      </c>
      <c r="K473" t="inlineStr">
        <is>
          <t>N</t>
        </is>
      </c>
      <c r="L473" t="inlineStr">
        <is>
          <t>N</t>
        </is>
      </c>
      <c r="M473" t="n">
        <v>3</v>
      </c>
      <c r="N473" t="n">
        <v>2</v>
      </c>
      <c r="O473" t="n">
        <v>4</v>
      </c>
      <c r="P473" t="n">
        <v>1</v>
      </c>
      <c r="Q473" t="n">
        <v>3</v>
      </c>
      <c r="R473">
        <f>IFERROR(XLOOKUP(XLOOKUP(D473,tblReleaseChanges[Change_ID],tblReleaseChanges[Oracle_Severity],""),tblSeverityMap[Severity_Text],tblSeverityMap[Score],0),0)</f>
        <v/>
      </c>
      <c r="S473" t="n">
        <v>2</v>
      </c>
      <c r="T473">
        <f>ROUND((M473*0.25)+(N473*0.20)+(O473*0.15)+(P473*0.15)+(Q473*0.10)+(R473*0.10)+(S473*0.05),2)</f>
        <v/>
      </c>
      <c r="U473">
        <f>IF(T473&gt;=4.25,"Critical",IF(T473&gt;=3.5,"High",IF(T473&gt;=2,"Medium","Low")))</f>
        <v/>
      </c>
      <c r="V473" t="inlineStr">
        <is>
          <t>Pending Review</t>
        </is>
      </c>
      <c r="W473" t="inlineStr"/>
      <c r="X473" t="inlineStr"/>
      <c r="Y473" t="inlineStr">
        <is>
          <t>Action type: Steps to Enable. Here's how you can clean up accumulated files: 1. From the **Scheduled Processes** area, schedule the **Run Data Lifecycle Process for Collabo</t>
        </is>
      </c>
      <c r="Z473" t="inlineStr">
        <is>
          <t>Y</t>
        </is>
      </c>
      <c r="AA473" t="inlineStr">
        <is>
          <t>N</t>
        </is>
      </c>
    </row>
    <row r="474">
      <c r="A474" t="inlineStr">
        <is>
          <t>ASMT_IMP_0449</t>
        </is>
      </c>
      <c r="B474" t="inlineStr">
        <is>
          <t>CLT_DFL001</t>
        </is>
      </c>
      <c r="C474" t="inlineStr">
        <is>
          <t>REL_26C</t>
        </is>
      </c>
      <c r="D474" t="inlineStr">
        <is>
          <t>CHG_IMP_0449</t>
        </is>
      </c>
      <c r="E474" t="inlineStr">
        <is>
          <t>Functional</t>
        </is>
      </c>
      <c r="F474" t="inlineStr">
        <is>
          <t>Configuration</t>
        </is>
      </c>
      <c r="G474" t="inlineStr"/>
      <c r="H474" t="inlineStr">
        <is>
          <t>DFL Order Management impacted by Oracle 26C change</t>
        </is>
      </c>
      <c r="I474" t="inlineStr">
        <is>
          <t>Y</t>
        </is>
      </c>
      <c r="J474" t="inlineStr">
        <is>
          <t>N</t>
        </is>
      </c>
      <c r="K474" t="inlineStr">
        <is>
          <t>N</t>
        </is>
      </c>
      <c r="L474" t="inlineStr">
        <is>
          <t>N</t>
        </is>
      </c>
      <c r="M474" t="n">
        <v>3</v>
      </c>
      <c r="N474" t="n">
        <v>2</v>
      </c>
      <c r="O474" t="n">
        <v>4</v>
      </c>
      <c r="P474" t="n">
        <v>1</v>
      </c>
      <c r="Q474" t="n">
        <v>3</v>
      </c>
      <c r="R474">
        <f>IFERROR(XLOOKUP(XLOOKUP(D474,tblReleaseChanges[Change_ID],tblReleaseChanges[Oracle_Severity],""),tblSeverityMap[Severity_Text],tblSeverityMap[Score],0),0)</f>
        <v/>
      </c>
      <c r="S474" t="n">
        <v>2</v>
      </c>
      <c r="T474">
        <f>ROUND((M474*0.25)+(N474*0.20)+(O474*0.15)+(P474*0.15)+(Q474*0.10)+(R474*0.10)+(S474*0.05),2)</f>
        <v/>
      </c>
      <c r="U474">
        <f>IF(T474&gt;=4.25,"Critical",IF(T474&gt;=3.5,"High",IF(T474&gt;=2,"Medium","Low")))</f>
        <v/>
      </c>
      <c r="V474" t="inlineStr">
        <is>
          <t>Pending Review</t>
        </is>
      </c>
      <c r="W474" t="inlineStr"/>
      <c r="X474" t="inlineStr"/>
      <c r="Y474" t="inlineStr">
        <is>
          <t>Action type: Steps to Enable. Use the Opt In UI to enable this feature. For instructions, refer to the Optional Uptake of New Features section of this document. Offering: *Order Management* Functional</t>
        </is>
      </c>
      <c r="Z474" t="inlineStr">
        <is>
          <t>Y</t>
        </is>
      </c>
      <c r="AA474" t="inlineStr">
        <is>
          <t>N</t>
        </is>
      </c>
    </row>
    <row r="475">
      <c r="A475" t="inlineStr">
        <is>
          <t>ASMT_IMP_0450</t>
        </is>
      </c>
      <c r="B475" t="inlineStr">
        <is>
          <t>CLT_DFL001</t>
        </is>
      </c>
      <c r="C475" t="inlineStr">
        <is>
          <t>REL_26C</t>
        </is>
      </c>
      <c r="D475" t="inlineStr">
        <is>
          <t>CHG_IMP_0450</t>
        </is>
      </c>
      <c r="E475" t="inlineStr">
        <is>
          <t>Functional</t>
        </is>
      </c>
      <c r="F475" t="inlineStr">
        <is>
          <t>Configuration</t>
        </is>
      </c>
      <c r="G475" t="inlineStr"/>
      <c r="H475" t="inlineStr">
        <is>
          <t>DFL Order Management impacted by Oracle 26C change</t>
        </is>
      </c>
      <c r="I475" t="inlineStr">
        <is>
          <t>Y</t>
        </is>
      </c>
      <c r="J475" t="inlineStr">
        <is>
          <t>N</t>
        </is>
      </c>
      <c r="K475" t="inlineStr">
        <is>
          <t>N</t>
        </is>
      </c>
      <c r="L475" t="inlineStr">
        <is>
          <t>N</t>
        </is>
      </c>
      <c r="M475" t="n">
        <v>3</v>
      </c>
      <c r="N475" t="n">
        <v>2</v>
      </c>
      <c r="O475" t="n">
        <v>4</v>
      </c>
      <c r="P475" t="n">
        <v>1</v>
      </c>
      <c r="Q475" t="n">
        <v>3</v>
      </c>
      <c r="R475">
        <f>IFERROR(XLOOKUP(XLOOKUP(D475,tblReleaseChanges[Change_ID],tblReleaseChanges[Oracle_Severity],""),tblSeverityMap[Severity_Text],tblSeverityMap[Score],0),0)</f>
        <v/>
      </c>
      <c r="S475" t="n">
        <v>2</v>
      </c>
      <c r="T475">
        <f>ROUND((M475*0.25)+(N475*0.20)+(O475*0.15)+(P475*0.15)+(Q475*0.10)+(R475*0.10)+(S475*0.05),2)</f>
        <v/>
      </c>
      <c r="U475">
        <f>IF(T475&gt;=4.25,"Critical",IF(T475&gt;=3.5,"High",IF(T475&gt;=2,"Medium","Low")))</f>
        <v/>
      </c>
      <c r="V475" t="inlineStr">
        <is>
          <t>Pending Review</t>
        </is>
      </c>
      <c r="W475" t="inlineStr"/>
      <c r="X475" t="inlineStr"/>
      <c r="Y475" t="inlineStr">
        <is>
          <t xml:space="preserve">Action type: Steps to Enable. Use the Opt In UI to enable this feature. For instructions, refer to the Optional Uptake of New Features section of this document. Offering: *Sales* You must also opt in </t>
        </is>
      </c>
      <c r="Z475" t="inlineStr">
        <is>
          <t>Y</t>
        </is>
      </c>
      <c r="AA475" t="inlineStr">
        <is>
          <t>N</t>
        </is>
      </c>
    </row>
    <row r="476">
      <c r="A476" t="inlineStr">
        <is>
          <t>ASMT_IMP_0451</t>
        </is>
      </c>
      <c r="B476" t="inlineStr">
        <is>
          <t>CLT_DFL001</t>
        </is>
      </c>
      <c r="C476" t="inlineStr">
        <is>
          <t>REL_26C</t>
        </is>
      </c>
      <c r="D476" t="inlineStr">
        <is>
          <t>CHG_IMP_0451</t>
        </is>
      </c>
      <c r="E476" t="inlineStr">
        <is>
          <t>Functional</t>
        </is>
      </c>
      <c r="F476" t="inlineStr">
        <is>
          <t>Configuration</t>
        </is>
      </c>
      <c r="G476" t="inlineStr"/>
      <c r="H476" t="inlineStr">
        <is>
          <t>DFL Order Management impacted by Oracle 26C change</t>
        </is>
      </c>
      <c r="I476" t="inlineStr">
        <is>
          <t>Y</t>
        </is>
      </c>
      <c r="J476" t="inlineStr">
        <is>
          <t>N</t>
        </is>
      </c>
      <c r="K476" t="inlineStr">
        <is>
          <t>N</t>
        </is>
      </c>
      <c r="L476" t="inlineStr">
        <is>
          <t>N</t>
        </is>
      </c>
      <c r="M476" t="n">
        <v>3</v>
      </c>
      <c r="N476" t="n">
        <v>2</v>
      </c>
      <c r="O476" t="n">
        <v>4</v>
      </c>
      <c r="P476" t="n">
        <v>1</v>
      </c>
      <c r="Q476" t="n">
        <v>3</v>
      </c>
      <c r="R476">
        <f>IFERROR(XLOOKUP(XLOOKUP(D476,tblReleaseChanges[Change_ID],tblReleaseChanges[Oracle_Severity],""),tblSeverityMap[Severity_Text],tblSeverityMap[Score],0),0)</f>
        <v/>
      </c>
      <c r="S476" t="n">
        <v>2</v>
      </c>
      <c r="T476">
        <f>ROUND((M476*0.25)+(N476*0.20)+(O476*0.15)+(P476*0.15)+(Q476*0.10)+(R476*0.10)+(S476*0.05),2)</f>
        <v/>
      </c>
      <c r="U476">
        <f>IF(T476&gt;=4.25,"Critical",IF(T476&gt;=3.5,"High",IF(T476&gt;=2,"Medium","Low")))</f>
        <v/>
      </c>
      <c r="V476" t="inlineStr">
        <is>
          <t>Pending Review</t>
        </is>
      </c>
      <c r="W476" t="inlineStr"/>
      <c r="X476" t="inlineStr"/>
      <c r="Y476" t="inlineStr">
        <is>
          <t xml:space="preserve">Action type: Steps to Enable. Use the Opt In UI to enable this feature. For instructions, refer to the Optional Uptake of New Features section of this document. Offering: *Sales* </t>
        </is>
      </c>
      <c r="Z476" t="inlineStr">
        <is>
          <t>Y</t>
        </is>
      </c>
      <c r="AA476" t="inlineStr">
        <is>
          <t>N</t>
        </is>
      </c>
    </row>
    <row r="477">
      <c r="A477" t="inlineStr">
        <is>
          <t>ASMT_IMP_0452</t>
        </is>
      </c>
      <c r="B477" t="inlineStr">
        <is>
          <t>CLT_DFL001</t>
        </is>
      </c>
      <c r="C477" t="inlineStr">
        <is>
          <t>REL_26C</t>
        </is>
      </c>
      <c r="D477" t="inlineStr">
        <is>
          <t>CHG_IMP_0452</t>
        </is>
      </c>
      <c r="E477" t="inlineStr">
        <is>
          <t>Functional</t>
        </is>
      </c>
      <c r="F477" t="inlineStr">
        <is>
          <t>Configuration</t>
        </is>
      </c>
      <c r="G477" t="inlineStr"/>
      <c r="H477" t="inlineStr">
        <is>
          <t>DFL Order Management impacted by Oracle 26C change</t>
        </is>
      </c>
      <c r="I477" t="inlineStr">
        <is>
          <t>Y</t>
        </is>
      </c>
      <c r="J477" t="inlineStr">
        <is>
          <t>N</t>
        </is>
      </c>
      <c r="K477" t="inlineStr">
        <is>
          <t>N</t>
        </is>
      </c>
      <c r="L477" t="inlineStr">
        <is>
          <t>N</t>
        </is>
      </c>
      <c r="M477" t="n">
        <v>3</v>
      </c>
      <c r="N477" t="n">
        <v>2</v>
      </c>
      <c r="O477" t="n">
        <v>4</v>
      </c>
      <c r="P477" t="n">
        <v>1</v>
      </c>
      <c r="Q477" t="n">
        <v>3</v>
      </c>
      <c r="R477">
        <f>IFERROR(XLOOKUP(XLOOKUP(D477,tblReleaseChanges[Change_ID],tblReleaseChanges[Oracle_Severity],""),tblSeverityMap[Severity_Text],tblSeverityMap[Score],0),0)</f>
        <v/>
      </c>
      <c r="S477" t="n">
        <v>2</v>
      </c>
      <c r="T477">
        <f>ROUND((M477*0.25)+(N477*0.20)+(O477*0.15)+(P477*0.15)+(Q477*0.10)+(R477*0.10)+(S477*0.05),2)</f>
        <v/>
      </c>
      <c r="U477">
        <f>IF(T477&gt;=4.25,"Critical",IF(T477&gt;=3.5,"High",IF(T477&gt;=2,"Medium","Low")))</f>
        <v/>
      </c>
      <c r="V477" t="inlineStr">
        <is>
          <t>Pending Review</t>
        </is>
      </c>
      <c r="W477" t="inlineStr"/>
      <c r="X477" t="inlineStr"/>
      <c r="Y477" t="inlineStr">
        <is>
          <t>Action type: Steps to Enable. Use the Opt In UI to enable this feature. For instructions, refer to the Optional Uptake of New Features section of this document. Offering: *Order Management* This featu</t>
        </is>
      </c>
      <c r="Z477" t="inlineStr">
        <is>
          <t>Y</t>
        </is>
      </c>
      <c r="AA477" t="inlineStr">
        <is>
          <t>N</t>
        </is>
      </c>
    </row>
    <row r="478">
      <c r="A478" t="inlineStr">
        <is>
          <t>ASMT_IMP_0453</t>
        </is>
      </c>
      <c r="B478" t="inlineStr">
        <is>
          <t>CLT_DFL001</t>
        </is>
      </c>
      <c r="C478" t="inlineStr">
        <is>
          <t>REL_26C</t>
        </is>
      </c>
      <c r="D478" t="inlineStr">
        <is>
          <t>CHG_IMP_0453</t>
        </is>
      </c>
      <c r="E478" t="inlineStr">
        <is>
          <t>Functional</t>
        </is>
      </c>
      <c r="F478" t="inlineStr">
        <is>
          <t>Configuration</t>
        </is>
      </c>
      <c r="G478" t="inlineStr"/>
      <c r="H478" t="inlineStr">
        <is>
          <t>DFL Order Management impacted by Oracle 26C change</t>
        </is>
      </c>
      <c r="I478" t="inlineStr">
        <is>
          <t>Y</t>
        </is>
      </c>
      <c r="J478" t="inlineStr">
        <is>
          <t>N</t>
        </is>
      </c>
      <c r="K478" t="inlineStr">
        <is>
          <t>N</t>
        </is>
      </c>
      <c r="L478" t="inlineStr">
        <is>
          <t>N</t>
        </is>
      </c>
      <c r="M478" t="n">
        <v>3</v>
      </c>
      <c r="N478" t="n">
        <v>2</v>
      </c>
      <c r="O478" t="n">
        <v>4</v>
      </c>
      <c r="P478" t="n">
        <v>1</v>
      </c>
      <c r="Q478" t="n">
        <v>3</v>
      </c>
      <c r="R478">
        <f>IFERROR(XLOOKUP(XLOOKUP(D478,tblReleaseChanges[Change_ID],tblReleaseChanges[Oracle_Severity],""),tblSeverityMap[Severity_Text],tblSeverityMap[Score],0),0)</f>
        <v/>
      </c>
      <c r="S478" t="n">
        <v>2</v>
      </c>
      <c r="T478">
        <f>ROUND((M478*0.25)+(N478*0.20)+(O478*0.15)+(P478*0.15)+(Q478*0.10)+(R478*0.10)+(S478*0.05),2)</f>
        <v/>
      </c>
      <c r="U478">
        <f>IF(T478&gt;=4.25,"Critical",IF(T478&gt;=3.5,"High",IF(T478&gt;=2,"Medium","Low")))</f>
        <v/>
      </c>
      <c r="V478" t="inlineStr">
        <is>
          <t>Pending Review</t>
        </is>
      </c>
      <c r="W478" t="inlineStr"/>
      <c r="X478" t="inlineStr"/>
      <c r="Y478" t="inlineStr">
        <is>
          <t>Action type: Steps to Enable. Use the Opt In UI to enable this feature. For instructions, refer to the Optional Uptake of New Features s</t>
        </is>
      </c>
      <c r="Z478" t="inlineStr">
        <is>
          <t>Y</t>
        </is>
      </c>
      <c r="AA478" t="inlineStr">
        <is>
          <t>N</t>
        </is>
      </c>
    </row>
    <row r="479">
      <c r="A479" t="inlineStr">
        <is>
          <t>ASMT_IMP_0454</t>
        </is>
      </c>
      <c r="B479" t="inlineStr">
        <is>
          <t>CLT_DFL001</t>
        </is>
      </c>
      <c r="C479" t="inlineStr">
        <is>
          <t>REL_26C</t>
        </is>
      </c>
      <c r="D479" t="inlineStr">
        <is>
          <t>CHG_IMP_0454</t>
        </is>
      </c>
      <c r="E479" t="inlineStr">
        <is>
          <t>Functional</t>
        </is>
      </c>
      <c r="F479" t="inlineStr">
        <is>
          <t>Configuration</t>
        </is>
      </c>
      <c r="G479" t="inlineStr"/>
      <c r="H479" t="inlineStr">
        <is>
          <t>DFL Order Management impacted by Oracle 26C change</t>
        </is>
      </c>
      <c r="I479" t="inlineStr">
        <is>
          <t>Y</t>
        </is>
      </c>
      <c r="J479" t="inlineStr">
        <is>
          <t>N</t>
        </is>
      </c>
      <c r="K479" t="inlineStr">
        <is>
          <t>N</t>
        </is>
      </c>
      <c r="L479" t="inlineStr">
        <is>
          <t>N</t>
        </is>
      </c>
      <c r="M479" t="n">
        <v>3</v>
      </c>
      <c r="N479" t="n">
        <v>2</v>
      </c>
      <c r="O479" t="n">
        <v>4</v>
      </c>
      <c r="P479" t="n">
        <v>1</v>
      </c>
      <c r="Q479" t="n">
        <v>3</v>
      </c>
      <c r="R479">
        <f>IFERROR(XLOOKUP(XLOOKUP(D479,tblReleaseChanges[Change_ID],tblReleaseChanges[Oracle_Severity],""),tblSeverityMap[Severity_Text],tblSeverityMap[Score],0),0)</f>
        <v/>
      </c>
      <c r="S479" t="n">
        <v>2</v>
      </c>
      <c r="T479">
        <f>ROUND((M479*0.25)+(N479*0.20)+(O479*0.15)+(P479*0.15)+(Q479*0.10)+(R479*0.10)+(S479*0.05),2)</f>
        <v/>
      </c>
      <c r="U479">
        <f>IF(T479&gt;=4.25,"Critical",IF(T479&gt;=3.5,"High",IF(T479&gt;=2,"Medium","Low")))</f>
        <v/>
      </c>
      <c r="V479" t="inlineStr">
        <is>
          <t>Pending Review</t>
        </is>
      </c>
      <c r="W479" t="inlineStr"/>
      <c r="X479" t="inlineStr"/>
      <c r="Y479" t="inlineStr">
        <is>
          <t>Action type: Steps to Enable. You must enable the ORA_QP_PRICE_ELEMENTS_REDWOOD_ENABLED (Redwood Page for Price Elements Enabled) Follow these steps to enable this feature: 1. In the Setup and Mainten</t>
        </is>
      </c>
      <c r="Z479" t="inlineStr">
        <is>
          <t>Y</t>
        </is>
      </c>
      <c r="AA479" t="inlineStr">
        <is>
          <t>N</t>
        </is>
      </c>
    </row>
    <row r="480">
      <c r="A480" t="inlineStr">
        <is>
          <t>ASMT_IMP_0455</t>
        </is>
      </c>
      <c r="B480" t="inlineStr">
        <is>
          <t>CLT_DFL001</t>
        </is>
      </c>
      <c r="C480" t="inlineStr">
        <is>
          <t>REL_26C</t>
        </is>
      </c>
      <c r="D480" t="inlineStr">
        <is>
          <t>CHG_IMP_0455</t>
        </is>
      </c>
      <c r="E480" t="inlineStr">
        <is>
          <t>Functional</t>
        </is>
      </c>
      <c r="F480" t="inlineStr">
        <is>
          <t>Configuration</t>
        </is>
      </c>
      <c r="G480" t="inlineStr"/>
      <c r="H480" t="inlineStr">
        <is>
          <t>DFL Order Management impacted by Oracle 26C change</t>
        </is>
      </c>
      <c r="I480" t="inlineStr">
        <is>
          <t>Y</t>
        </is>
      </c>
      <c r="J480" t="inlineStr">
        <is>
          <t>N</t>
        </is>
      </c>
      <c r="K480" t="inlineStr">
        <is>
          <t>N</t>
        </is>
      </c>
      <c r="L480" t="inlineStr">
        <is>
          <t>N</t>
        </is>
      </c>
      <c r="M480" t="n">
        <v>3</v>
      </c>
      <c r="N480" t="n">
        <v>2</v>
      </c>
      <c r="O480" t="n">
        <v>4</v>
      </c>
      <c r="P480" t="n">
        <v>1</v>
      </c>
      <c r="Q480" t="n">
        <v>3</v>
      </c>
      <c r="R480">
        <f>IFERROR(XLOOKUP(XLOOKUP(D480,tblReleaseChanges[Change_ID],tblReleaseChanges[Oracle_Severity],""),tblSeverityMap[Severity_Text],tblSeverityMap[Score],0),0)</f>
        <v/>
      </c>
      <c r="S480" t="n">
        <v>2</v>
      </c>
      <c r="T480">
        <f>ROUND((M480*0.25)+(N480*0.20)+(O480*0.15)+(P480*0.15)+(Q480*0.10)+(R480*0.10)+(S480*0.05),2)</f>
        <v/>
      </c>
      <c r="U480">
        <f>IF(T480&gt;=4.25,"Critical",IF(T480&gt;=3.5,"High",IF(T480&gt;=2,"Medium","Low")))</f>
        <v/>
      </c>
      <c r="V480" t="inlineStr">
        <is>
          <t>Pending Review</t>
        </is>
      </c>
      <c r="W480" t="inlineStr"/>
      <c r="X480" t="inlineStr"/>
      <c r="Y480" t="inlineStr">
        <is>
          <t>Action type: Steps to Enable. You must enable the ORA_QP_PRICING_BASES_REDWOOD_ENABLED (Redwood Page for Pricing Bases Enabled) Follow these steps to enable this feature: 1. In the Setup and Maintenan</t>
        </is>
      </c>
      <c r="Z480" t="inlineStr">
        <is>
          <t>Y</t>
        </is>
      </c>
      <c r="AA480" t="inlineStr">
        <is>
          <t>N</t>
        </is>
      </c>
    </row>
    <row r="481">
      <c r="A481" t="inlineStr">
        <is>
          <t>ASMT_IMP_0456</t>
        </is>
      </c>
      <c r="B481" t="inlineStr">
        <is>
          <t>CLT_DFL001</t>
        </is>
      </c>
      <c r="C481" t="inlineStr">
        <is>
          <t>REL_26C</t>
        </is>
      </c>
      <c r="D481" t="inlineStr">
        <is>
          <t>CHG_IMP_0456</t>
        </is>
      </c>
      <c r="E481" t="inlineStr">
        <is>
          <t>Functional</t>
        </is>
      </c>
      <c r="F481" t="inlineStr">
        <is>
          <t>Configuration</t>
        </is>
      </c>
      <c r="G481" t="inlineStr"/>
      <c r="H481" t="inlineStr">
        <is>
          <t>DFL Order Management impacted by Oracle 26C change</t>
        </is>
      </c>
      <c r="I481" t="inlineStr">
        <is>
          <t>Y</t>
        </is>
      </c>
      <c r="J481" t="inlineStr">
        <is>
          <t>N</t>
        </is>
      </c>
      <c r="K481" t="inlineStr">
        <is>
          <t>N</t>
        </is>
      </c>
      <c r="L481" t="inlineStr">
        <is>
          <t>N</t>
        </is>
      </c>
      <c r="M481" t="n">
        <v>3</v>
      </c>
      <c r="N481" t="n">
        <v>2</v>
      </c>
      <c r="O481" t="n">
        <v>4</v>
      </c>
      <c r="P481" t="n">
        <v>1</v>
      </c>
      <c r="Q481" t="n">
        <v>3</v>
      </c>
      <c r="R481">
        <f>IFERROR(XLOOKUP(XLOOKUP(D481,tblReleaseChanges[Change_ID],tblReleaseChanges[Oracle_Severity],""),tblSeverityMap[Severity_Text],tblSeverityMap[Score],0),0)</f>
        <v/>
      </c>
      <c r="S481" t="n">
        <v>2</v>
      </c>
      <c r="T481">
        <f>ROUND((M481*0.25)+(N481*0.20)+(O481*0.15)+(P481*0.15)+(Q481*0.10)+(R481*0.10)+(S481*0.05),2)</f>
        <v/>
      </c>
      <c r="U481">
        <f>IF(T481&gt;=4.25,"Critical",IF(T481&gt;=3.5,"High",IF(T481&gt;=2,"Medium","Low")))</f>
        <v/>
      </c>
      <c r="V481" t="inlineStr">
        <is>
          <t>Pending Review</t>
        </is>
      </c>
      <c r="W481" t="inlineStr"/>
      <c r="X481" t="inlineStr"/>
      <c r="Y481" t="inlineStr">
        <is>
          <t>Action type: Steps to Enable. You must enable the ORA_QP_PRICING_CHARGE_DEFINITIONS_REDWOOD_ENABLED (Redwood Page for Pricing Charge Definitions Enabled) Follow these steps to enable this feature:</t>
        </is>
      </c>
      <c r="Z481" t="inlineStr">
        <is>
          <t>Y</t>
        </is>
      </c>
      <c r="AA481" t="inlineStr">
        <is>
          <t>N</t>
        </is>
      </c>
    </row>
    <row r="482">
      <c r="A482" t="inlineStr">
        <is>
          <t>ASMT_IMP_0457</t>
        </is>
      </c>
      <c r="B482" t="inlineStr">
        <is>
          <t>CLT_DFL001</t>
        </is>
      </c>
      <c r="C482" t="inlineStr">
        <is>
          <t>REL_26C</t>
        </is>
      </c>
      <c r="D482" t="inlineStr">
        <is>
          <t>CHG_IMP_0457</t>
        </is>
      </c>
      <c r="E482" t="inlineStr">
        <is>
          <t>Functional</t>
        </is>
      </c>
      <c r="F482" t="inlineStr">
        <is>
          <t>Configuration</t>
        </is>
      </c>
      <c r="G482" t="inlineStr"/>
      <c r="H482" t="inlineStr">
        <is>
          <t>DFL Order Management impacted by Oracle 26C change</t>
        </is>
      </c>
      <c r="I482" t="inlineStr">
        <is>
          <t>Y</t>
        </is>
      </c>
      <c r="J482" t="inlineStr">
        <is>
          <t>N</t>
        </is>
      </c>
      <c r="K482" t="inlineStr">
        <is>
          <t>N</t>
        </is>
      </c>
      <c r="L482" t="inlineStr">
        <is>
          <t>N</t>
        </is>
      </c>
      <c r="M482" t="n">
        <v>3</v>
      </c>
      <c r="N482" t="n">
        <v>2</v>
      </c>
      <c r="O482" t="n">
        <v>4</v>
      </c>
      <c r="P482" t="n">
        <v>1</v>
      </c>
      <c r="Q482" t="n">
        <v>3</v>
      </c>
      <c r="R482">
        <f>IFERROR(XLOOKUP(XLOOKUP(D482,tblReleaseChanges[Change_ID],tblReleaseChanges[Oracle_Severity],""),tblSeverityMap[Severity_Text],tblSeverityMap[Score],0),0)</f>
        <v/>
      </c>
      <c r="S482" t="n">
        <v>2</v>
      </c>
      <c r="T482">
        <f>ROUND((M482*0.25)+(N482*0.20)+(O482*0.15)+(P482*0.15)+(Q482*0.10)+(R482*0.10)+(S482*0.05),2)</f>
        <v/>
      </c>
      <c r="U482">
        <f>IF(T482&gt;=4.25,"Critical",IF(T482&gt;=3.5,"High",IF(T482&gt;=2,"Medium","Low")))</f>
        <v/>
      </c>
      <c r="V482" t="inlineStr">
        <is>
          <t>Pending Review</t>
        </is>
      </c>
      <c r="W482" t="inlineStr"/>
      <c r="X482" t="inlineStr"/>
      <c r="Y482" t="inlineStr">
        <is>
          <t>Action type: Steps to Enable. You must enable the ORA_QP_PRICING_PROCESS_ASSIGNMENTS_REDWOOD_ENABLED (Redwood Page for Pricing Process Assignments Enabled) Follow these steps to enable this featu</t>
        </is>
      </c>
      <c r="Z482" t="inlineStr">
        <is>
          <t>Y</t>
        </is>
      </c>
      <c r="AA482" t="inlineStr">
        <is>
          <t>N</t>
        </is>
      </c>
    </row>
    <row r="483">
      <c r="A483" t="inlineStr">
        <is>
          <t>ASMT_IMP_0458</t>
        </is>
      </c>
      <c r="B483" t="inlineStr">
        <is>
          <t>CLT_DFL001</t>
        </is>
      </c>
      <c r="C483" t="inlineStr">
        <is>
          <t>REL_26C</t>
        </is>
      </c>
      <c r="D483" t="inlineStr">
        <is>
          <t>CHG_IMP_0458</t>
        </is>
      </c>
      <c r="E483" t="inlineStr">
        <is>
          <t>Functional</t>
        </is>
      </c>
      <c r="F483" t="inlineStr">
        <is>
          <t>Configuration</t>
        </is>
      </c>
      <c r="G483" t="inlineStr"/>
      <c r="H483" t="inlineStr">
        <is>
          <t>DFL Order Management impacted by Oracle 26C change</t>
        </is>
      </c>
      <c r="I483" t="inlineStr">
        <is>
          <t>Y</t>
        </is>
      </c>
      <c r="J483" t="inlineStr">
        <is>
          <t>N</t>
        </is>
      </c>
      <c r="K483" t="inlineStr">
        <is>
          <t>N</t>
        </is>
      </c>
      <c r="L483" t="inlineStr">
        <is>
          <t>N</t>
        </is>
      </c>
      <c r="M483" t="n">
        <v>3</v>
      </c>
      <c r="N483" t="n">
        <v>2</v>
      </c>
      <c r="O483" t="n">
        <v>4</v>
      </c>
      <c r="P483" t="n">
        <v>1</v>
      </c>
      <c r="Q483" t="n">
        <v>3</v>
      </c>
      <c r="R483">
        <f>IFERROR(XLOOKUP(XLOOKUP(D483,tblReleaseChanges[Change_ID],tblReleaseChanges[Oracle_Severity],""),tblSeverityMap[Severity_Text],tblSeverityMap[Score],0),0)</f>
        <v/>
      </c>
      <c r="S483" t="n">
        <v>2</v>
      </c>
      <c r="T483">
        <f>ROUND((M483*0.25)+(N483*0.20)+(O483*0.15)+(P483*0.15)+(Q483*0.10)+(R483*0.10)+(S483*0.05),2)</f>
        <v/>
      </c>
      <c r="U483">
        <f>IF(T483&gt;=4.25,"Critical",IF(T483&gt;=3.5,"High",IF(T483&gt;=2,"Medium","Low")))</f>
        <v/>
      </c>
      <c r="V483" t="inlineStr">
        <is>
          <t>Pending Review</t>
        </is>
      </c>
      <c r="W483" t="inlineStr"/>
      <c r="X483" t="inlineStr"/>
      <c r="Y483" t="inlineStr">
        <is>
          <t>Action type: Steps to Enable. • To enable the Redwood Segment Pricing Profile and the Pricing Segments UI, go to **Home**&gt; **My Enterprise** &gt; **Setup and Maintenance** &gt; **Tasks**&gt; **Search**&gt; Man</t>
        </is>
      </c>
      <c r="Z483" t="inlineStr">
        <is>
          <t>Y</t>
        </is>
      </c>
      <c r="AA483" t="inlineStr">
        <is>
          <t>N</t>
        </is>
      </c>
    </row>
    <row r="484">
      <c r="A484" t="inlineStr">
        <is>
          <t>ASMT_IMP_0459</t>
        </is>
      </c>
      <c r="B484" t="inlineStr">
        <is>
          <t>CLT_DFL001</t>
        </is>
      </c>
      <c r="C484" t="inlineStr">
        <is>
          <t>REL_26C</t>
        </is>
      </c>
      <c r="D484" t="inlineStr">
        <is>
          <t>CHG_IMP_0459</t>
        </is>
      </c>
      <c r="E484" t="inlineStr">
        <is>
          <t>Functional</t>
        </is>
      </c>
      <c r="F484" t="inlineStr">
        <is>
          <t>Configuration</t>
        </is>
      </c>
      <c r="G484" t="inlineStr"/>
      <c r="H484" t="inlineStr">
        <is>
          <t>DFL Order Management impacted by Oracle 26C change</t>
        </is>
      </c>
      <c r="I484" t="inlineStr">
        <is>
          <t>Y</t>
        </is>
      </c>
      <c r="J484" t="inlineStr">
        <is>
          <t>N</t>
        </is>
      </c>
      <c r="K484" t="inlineStr">
        <is>
          <t>N</t>
        </is>
      </c>
      <c r="L484" t="inlineStr">
        <is>
          <t>N</t>
        </is>
      </c>
      <c r="M484" t="n">
        <v>3</v>
      </c>
      <c r="N484" t="n">
        <v>2</v>
      </c>
      <c r="O484" t="n">
        <v>4</v>
      </c>
      <c r="P484" t="n">
        <v>1</v>
      </c>
      <c r="Q484" t="n">
        <v>3</v>
      </c>
      <c r="R484">
        <f>IFERROR(XLOOKUP(XLOOKUP(D484,tblReleaseChanges[Change_ID],tblReleaseChanges[Oracle_Severity],""),tblSeverityMap[Severity_Text],tblSeverityMap[Score],0),0)</f>
        <v/>
      </c>
      <c r="S484" t="n">
        <v>1</v>
      </c>
      <c r="T484">
        <f>ROUND((M484*0.25)+(N484*0.20)+(O484*0.15)+(P484*0.15)+(Q484*0.10)+(R484*0.10)+(S484*0.05),2)</f>
        <v/>
      </c>
      <c r="U484">
        <f>IF(T484&gt;=4.25,"Critical",IF(T484&gt;=3.5,"High",IF(T484&gt;=2,"Medium","Low")))</f>
        <v/>
      </c>
      <c r="V484" t="inlineStr">
        <is>
          <t>Pending Review</t>
        </is>
      </c>
      <c r="W484" t="inlineStr"/>
      <c r="X484" t="inlineStr"/>
      <c r="Y484" t="inlineStr">
        <is>
          <t>Auto-enabled — no action required</t>
        </is>
      </c>
      <c r="Z484" t="inlineStr">
        <is>
          <t>N</t>
        </is>
      </c>
      <c r="AA484" t="inlineStr">
        <is>
          <t>N</t>
        </is>
      </c>
    </row>
    <row r="485">
      <c r="A485" t="inlineStr">
        <is>
          <t>ASMT_IMP_0460</t>
        </is>
      </c>
      <c r="B485" t="inlineStr">
        <is>
          <t>CLT_DFL001</t>
        </is>
      </c>
      <c r="C485" t="inlineStr">
        <is>
          <t>REL_26C</t>
        </is>
      </c>
      <c r="D485" t="inlineStr">
        <is>
          <t>CHG_IMP_0460</t>
        </is>
      </c>
      <c r="E485" t="inlineStr">
        <is>
          <t>Functional</t>
        </is>
      </c>
      <c r="F485" t="inlineStr">
        <is>
          <t>Configuration</t>
        </is>
      </c>
      <c r="G485" t="inlineStr"/>
      <c r="H485" t="inlineStr">
        <is>
          <t>DFL Order Management impacted by Oracle 26C change</t>
        </is>
      </c>
      <c r="I485" t="inlineStr">
        <is>
          <t>Y</t>
        </is>
      </c>
      <c r="J485" t="inlineStr">
        <is>
          <t>N</t>
        </is>
      </c>
      <c r="K485" t="inlineStr">
        <is>
          <t>N</t>
        </is>
      </c>
      <c r="L485" t="inlineStr">
        <is>
          <t>N</t>
        </is>
      </c>
      <c r="M485" t="n">
        <v>3</v>
      </c>
      <c r="N485" t="n">
        <v>2</v>
      </c>
      <c r="O485" t="n">
        <v>4</v>
      </c>
      <c r="P485" t="n">
        <v>1</v>
      </c>
      <c r="Q485" t="n">
        <v>3</v>
      </c>
      <c r="R485">
        <f>IFERROR(XLOOKUP(XLOOKUP(D485,tblReleaseChanges[Change_ID],tblReleaseChanges[Oracle_Severity],""),tblSeverityMap[Severity_Text],tblSeverityMap[Score],0),0)</f>
        <v/>
      </c>
      <c r="S485" t="n">
        <v>2</v>
      </c>
      <c r="T485">
        <f>ROUND((M485*0.25)+(N485*0.20)+(O485*0.15)+(P485*0.15)+(Q485*0.10)+(R485*0.10)+(S485*0.05),2)</f>
        <v/>
      </c>
      <c r="U485">
        <f>IF(T485&gt;=4.25,"Critical",IF(T485&gt;=3.5,"High",IF(T485&gt;=2,"Medium","Low")))</f>
        <v/>
      </c>
      <c r="V485" t="inlineStr">
        <is>
          <t>Pending Review</t>
        </is>
      </c>
      <c r="W485" t="inlineStr"/>
      <c r="X485" t="inlineStr"/>
      <c r="Y485" t="inlineStr">
        <is>
          <t>Action type: Steps to Enable. To enable Scheduling Diagnostics for real-time promising during order submission from Fusion Order Management (Auto Schedul</t>
        </is>
      </c>
      <c r="Z485" t="inlineStr">
        <is>
          <t>Y</t>
        </is>
      </c>
      <c r="AA485" t="inlineStr">
        <is>
          <t>N</t>
        </is>
      </c>
    </row>
    <row r="486">
      <c r="A486" t="inlineStr">
        <is>
          <t>ASMT_IMP_0461</t>
        </is>
      </c>
      <c r="B486" t="inlineStr">
        <is>
          <t>CLT_DFL001</t>
        </is>
      </c>
      <c r="C486" t="inlineStr">
        <is>
          <t>REL_26C</t>
        </is>
      </c>
      <c r="D486" t="inlineStr">
        <is>
          <t>CHG_IMP_0461</t>
        </is>
      </c>
      <c r="E486" t="inlineStr">
        <is>
          <t>Functional</t>
        </is>
      </c>
      <c r="F486" t="inlineStr">
        <is>
          <t>Configuration</t>
        </is>
      </c>
      <c r="G486" t="inlineStr"/>
      <c r="H486" t="inlineStr">
        <is>
          <t>DFL Order Management impacted by Oracle 26C change</t>
        </is>
      </c>
      <c r="I486" t="inlineStr">
        <is>
          <t>Y</t>
        </is>
      </c>
      <c r="J486" t="inlineStr">
        <is>
          <t>N</t>
        </is>
      </c>
      <c r="K486" t="inlineStr">
        <is>
          <t>N</t>
        </is>
      </c>
      <c r="L486" t="inlineStr">
        <is>
          <t>N</t>
        </is>
      </c>
      <c r="M486" t="n">
        <v>3</v>
      </c>
      <c r="N486" t="n">
        <v>2</v>
      </c>
      <c r="O486" t="n">
        <v>4</v>
      </c>
      <c r="P486" t="n">
        <v>1</v>
      </c>
      <c r="Q486" t="n">
        <v>3</v>
      </c>
      <c r="R486">
        <f>IFERROR(XLOOKUP(XLOOKUP(D486,tblReleaseChanges[Change_ID],tblReleaseChanges[Oracle_Severity],""),tblSeverityMap[Severity_Text],tblSeverityMap[Score],0),0)</f>
        <v/>
      </c>
      <c r="S486" t="n">
        <v>1</v>
      </c>
      <c r="T486">
        <f>ROUND((M486*0.25)+(N486*0.20)+(O486*0.15)+(P486*0.15)+(Q486*0.10)+(R486*0.10)+(S486*0.05),2)</f>
        <v/>
      </c>
      <c r="U486">
        <f>IF(T486&gt;=4.25,"Critical",IF(T486&gt;=3.5,"High",IF(T486&gt;=2,"Medium","Low")))</f>
        <v/>
      </c>
      <c r="V486" t="inlineStr">
        <is>
          <t>Pending Review</t>
        </is>
      </c>
      <c r="W486" t="inlineStr"/>
      <c r="X486" t="inlineStr"/>
      <c r="Y486" t="inlineStr">
        <is>
          <t>Auto-enabled — no action required</t>
        </is>
      </c>
      <c r="Z486" t="inlineStr">
        <is>
          <t>N</t>
        </is>
      </c>
      <c r="AA486" t="inlineStr">
        <is>
          <t>N</t>
        </is>
      </c>
    </row>
    <row r="487">
      <c r="A487" t="inlineStr">
        <is>
          <t>ASMT_IMP_0462</t>
        </is>
      </c>
      <c r="B487" t="inlineStr">
        <is>
          <t>CLT_DFL001</t>
        </is>
      </c>
      <c r="C487" t="inlineStr">
        <is>
          <t>REL_26C</t>
        </is>
      </c>
      <c r="D487" t="inlineStr">
        <is>
          <t>CHG_IMP_0462</t>
        </is>
      </c>
      <c r="E487" t="inlineStr">
        <is>
          <t>Functional</t>
        </is>
      </c>
      <c r="F487" t="inlineStr">
        <is>
          <t>Configuration</t>
        </is>
      </c>
      <c r="G487" t="inlineStr"/>
      <c r="H487" t="inlineStr">
        <is>
          <t>DFL Order Management impacted by Oracle 26C change</t>
        </is>
      </c>
      <c r="I487" t="inlineStr">
        <is>
          <t>Y</t>
        </is>
      </c>
      <c r="J487" t="inlineStr">
        <is>
          <t>N</t>
        </is>
      </c>
      <c r="K487" t="inlineStr">
        <is>
          <t>N</t>
        </is>
      </c>
      <c r="L487" t="inlineStr">
        <is>
          <t>N</t>
        </is>
      </c>
      <c r="M487" t="n">
        <v>3</v>
      </c>
      <c r="N487" t="n">
        <v>2</v>
      </c>
      <c r="O487" t="n">
        <v>4</v>
      </c>
      <c r="P487" t="n">
        <v>1</v>
      </c>
      <c r="Q487" t="n">
        <v>3</v>
      </c>
      <c r="R487">
        <f>IFERROR(XLOOKUP(XLOOKUP(D487,tblReleaseChanges[Change_ID],tblReleaseChanges[Oracle_Severity],""),tblSeverityMap[Severity_Text],tblSeverityMap[Score],0),0)</f>
        <v/>
      </c>
      <c r="S487" t="n">
        <v>2</v>
      </c>
      <c r="T487">
        <f>ROUND((M487*0.25)+(N487*0.20)+(O487*0.15)+(P487*0.15)+(Q487*0.10)+(R487*0.10)+(S487*0.05),2)</f>
        <v/>
      </c>
      <c r="U487">
        <f>IF(T487&gt;=4.25,"Critical",IF(T487&gt;=3.5,"High",IF(T487&gt;=2,"Medium","Low")))</f>
        <v/>
      </c>
      <c r="V487" t="inlineStr">
        <is>
          <t>Pending Review</t>
        </is>
      </c>
      <c r="W487" t="inlineStr"/>
      <c r="X487" t="inlineStr"/>
      <c r="Y487" t="inlineStr">
        <is>
          <t>Action type: Steps to Enable. **Setup Required** If you want to use the Redwood: Use Price Books to Price Coverages and Promotions feature, then you must opt in to another feature: Redw</t>
        </is>
      </c>
      <c r="Z487" t="inlineStr">
        <is>
          <t>Y</t>
        </is>
      </c>
      <c r="AA487" t="inlineStr">
        <is>
          <t>N</t>
        </is>
      </c>
    </row>
    <row r="488">
      <c r="A488" t="inlineStr">
        <is>
          <t>ASMT_IMP_0463</t>
        </is>
      </c>
      <c r="B488" t="inlineStr">
        <is>
          <t>CLT_DFL001</t>
        </is>
      </c>
      <c r="C488" t="inlineStr">
        <is>
          <t>REL_26C</t>
        </is>
      </c>
      <c r="D488" t="inlineStr">
        <is>
          <t>CHG_IMP_0463</t>
        </is>
      </c>
      <c r="E488" t="inlineStr">
        <is>
          <t>Functional</t>
        </is>
      </c>
      <c r="F488" t="inlineStr">
        <is>
          <t>Configuration</t>
        </is>
      </c>
      <c r="G488" t="inlineStr"/>
      <c r="H488" t="inlineStr">
        <is>
          <t>DFL Order Management impacted by Oracle 26C change</t>
        </is>
      </c>
      <c r="I488" t="inlineStr">
        <is>
          <t>Y</t>
        </is>
      </c>
      <c r="J488" t="inlineStr">
        <is>
          <t>N</t>
        </is>
      </c>
      <c r="K488" t="inlineStr">
        <is>
          <t>N</t>
        </is>
      </c>
      <c r="L488" t="inlineStr">
        <is>
          <t>N</t>
        </is>
      </c>
      <c r="M488" t="n">
        <v>3</v>
      </c>
      <c r="N488" t="n">
        <v>2</v>
      </c>
      <c r="O488" t="n">
        <v>4</v>
      </c>
      <c r="P488" t="n">
        <v>1</v>
      </c>
      <c r="Q488" t="n">
        <v>3</v>
      </c>
      <c r="R488">
        <f>IFERROR(XLOOKUP(XLOOKUP(D488,tblReleaseChanges[Change_ID],tblReleaseChanges[Oracle_Severity],""),tblSeverityMap[Severity_Text],tblSeverityMap[Score],0),0)</f>
        <v/>
      </c>
      <c r="S488" t="n">
        <v>2</v>
      </c>
      <c r="T488">
        <f>ROUND((M488*0.25)+(N488*0.20)+(O488*0.15)+(P488*0.15)+(Q488*0.10)+(R488*0.10)+(S488*0.05),2)</f>
        <v/>
      </c>
      <c r="U488">
        <f>IF(T488&gt;=4.25,"Critical",IF(T488&gt;=3.5,"High",IF(T488&gt;=2,"Medium","Low")))</f>
        <v/>
      </c>
      <c r="V488" t="inlineStr">
        <is>
          <t>Pending Review</t>
        </is>
      </c>
      <c r="W488" t="inlineStr"/>
      <c r="X488" t="inlineStr"/>
      <c r="Y488" t="inlineStr">
        <is>
          <t>Action type: Steps to Enable. You can access this functionality by enabling the feature **Simplify Configuration and Processing for B2B Messaging**orthe profile option **ORA_CMK_MESSAGING_CERTIFICATES</t>
        </is>
      </c>
      <c r="Z488" t="inlineStr">
        <is>
          <t>Y</t>
        </is>
      </c>
      <c r="AA488" t="inlineStr">
        <is>
          <t>N</t>
        </is>
      </c>
    </row>
    <row r="489">
      <c r="A489" t="inlineStr">
        <is>
          <t>ASMT_IMP_0464</t>
        </is>
      </c>
      <c r="B489" t="inlineStr">
        <is>
          <t>CLT_DFL001</t>
        </is>
      </c>
      <c r="C489" t="inlineStr">
        <is>
          <t>REL_26C</t>
        </is>
      </c>
      <c r="D489" t="inlineStr">
        <is>
          <t>CHG_IMP_0464</t>
        </is>
      </c>
      <c r="E489" t="inlineStr">
        <is>
          <t>Functional</t>
        </is>
      </c>
      <c r="F489" t="inlineStr">
        <is>
          <t>Configuration</t>
        </is>
      </c>
      <c r="G489" t="inlineStr"/>
      <c r="H489" t="inlineStr">
        <is>
          <t>DFL Order Management impacted by Oracle 26C change</t>
        </is>
      </c>
      <c r="I489" t="inlineStr">
        <is>
          <t>Y</t>
        </is>
      </c>
      <c r="J489" t="inlineStr">
        <is>
          <t>N</t>
        </is>
      </c>
      <c r="K489" t="inlineStr">
        <is>
          <t>N</t>
        </is>
      </c>
      <c r="L489" t="inlineStr">
        <is>
          <t>N</t>
        </is>
      </c>
      <c r="M489" t="n">
        <v>3</v>
      </c>
      <c r="N489" t="n">
        <v>2</v>
      </c>
      <c r="O489" t="n">
        <v>4</v>
      </c>
      <c r="P489" t="n">
        <v>1</v>
      </c>
      <c r="Q489" t="n">
        <v>3</v>
      </c>
      <c r="R489">
        <f>IFERROR(XLOOKUP(XLOOKUP(D489,tblReleaseChanges[Change_ID],tblReleaseChanges[Oracle_Severity],""),tblSeverityMap[Severity_Text],tblSeverityMap[Score],0),0)</f>
        <v/>
      </c>
      <c r="S489" t="n">
        <v>2</v>
      </c>
      <c r="T489">
        <f>ROUND((M489*0.25)+(N489*0.20)+(O489*0.15)+(P489*0.15)+(Q489*0.10)+(R489*0.10)+(S489*0.05),2)</f>
        <v/>
      </c>
      <c r="U489">
        <f>IF(T489&gt;=4.25,"Critical",IF(T489&gt;=3.5,"High",IF(T489&gt;=2,"Medium","Low")))</f>
        <v/>
      </c>
      <c r="V489" t="inlineStr">
        <is>
          <t>Pending Review</t>
        </is>
      </c>
      <c r="W489" t="inlineStr"/>
      <c r="X489" t="inlineStr"/>
      <c r="Y489" t="inlineStr">
        <is>
          <t xml:space="preserve">Action type: Steps to Enable. 1. Navigate to Setup and Maintenance and open the task - Manage Administrator Profile Values. 2. Search for the profile option code ORA_FOM_RW_MANAGE_BUSINESS_EVENTS. 3. </t>
        </is>
      </c>
      <c r="Z489" t="inlineStr">
        <is>
          <t>Y</t>
        </is>
      </c>
      <c r="AA489" t="inlineStr">
        <is>
          <t>N</t>
        </is>
      </c>
    </row>
    <row r="490">
      <c r="A490" t="inlineStr">
        <is>
          <t>ASMT_IMP_0465</t>
        </is>
      </c>
      <c r="B490" t="inlineStr">
        <is>
          <t>CLT_DFL001</t>
        </is>
      </c>
      <c r="C490" t="inlineStr">
        <is>
          <t>REL_26C</t>
        </is>
      </c>
      <c r="D490" t="inlineStr">
        <is>
          <t>CHG_IMP_0465</t>
        </is>
      </c>
      <c r="E490" t="inlineStr">
        <is>
          <t>Functional</t>
        </is>
      </c>
      <c r="F490" t="inlineStr">
        <is>
          <t>Configuration</t>
        </is>
      </c>
      <c r="G490" t="inlineStr"/>
      <c r="H490" t="inlineStr">
        <is>
          <t>DFL Order Management impacted by Oracle 26C change</t>
        </is>
      </c>
      <c r="I490" t="inlineStr">
        <is>
          <t>Y</t>
        </is>
      </c>
      <c r="J490" t="inlineStr">
        <is>
          <t>N</t>
        </is>
      </c>
      <c r="K490" t="inlineStr">
        <is>
          <t>N</t>
        </is>
      </c>
      <c r="L490" t="inlineStr">
        <is>
          <t>N</t>
        </is>
      </c>
      <c r="M490" t="n">
        <v>3</v>
      </c>
      <c r="N490" t="n">
        <v>2</v>
      </c>
      <c r="O490" t="n">
        <v>4</v>
      </c>
      <c r="P490" t="n">
        <v>1</v>
      </c>
      <c r="Q490" t="n">
        <v>3</v>
      </c>
      <c r="R490">
        <f>IFERROR(XLOOKUP(XLOOKUP(D490,tblReleaseChanges[Change_ID],tblReleaseChanges[Oracle_Severity],""),tblSeverityMap[Severity_Text],tblSeverityMap[Score],0),0)</f>
        <v/>
      </c>
      <c r="S490" t="n">
        <v>2</v>
      </c>
      <c r="T490">
        <f>ROUND((M490*0.25)+(N490*0.20)+(O490*0.15)+(P490*0.15)+(Q490*0.10)+(R490*0.10)+(S490*0.05),2)</f>
        <v/>
      </c>
      <c r="U490">
        <f>IF(T490&gt;=4.25,"Critical",IF(T490&gt;=3.5,"High",IF(T490&gt;=2,"Medium","Low")))</f>
        <v/>
      </c>
      <c r="V490" t="inlineStr">
        <is>
          <t>Pending Review</t>
        </is>
      </c>
      <c r="W490" t="inlineStr"/>
      <c r="X490" t="inlineStr"/>
      <c r="Y490" t="inlineStr">
        <is>
          <t>Action type: Steps to Enable. To use the Redwood: Manage Configurator Rules in Commercial Change Orders feature, opt in to the **Redwood: Author Configurator Rules in Product Management**</t>
        </is>
      </c>
      <c r="Z490" t="inlineStr">
        <is>
          <t>Y</t>
        </is>
      </c>
      <c r="AA490" t="inlineStr">
        <is>
          <t>N</t>
        </is>
      </c>
    </row>
    <row r="491">
      <c r="A491" t="inlineStr">
        <is>
          <t>ASMT_IMP_0466</t>
        </is>
      </c>
      <c r="B491" t="inlineStr">
        <is>
          <t>CLT_DFL001</t>
        </is>
      </c>
      <c r="C491" t="inlineStr">
        <is>
          <t>REL_26C</t>
        </is>
      </c>
      <c r="D491" t="inlineStr">
        <is>
          <t>CHG_IMP_0466</t>
        </is>
      </c>
      <c r="E491" t="inlineStr">
        <is>
          <t>Functional</t>
        </is>
      </c>
      <c r="F491" t="inlineStr">
        <is>
          <t>Configuration</t>
        </is>
      </c>
      <c r="G491" t="inlineStr"/>
      <c r="H491" t="inlineStr">
        <is>
          <t>DFL Order Management impacted by Oracle 26C change</t>
        </is>
      </c>
      <c r="I491" t="inlineStr">
        <is>
          <t>Y</t>
        </is>
      </c>
      <c r="J491" t="inlineStr">
        <is>
          <t>N</t>
        </is>
      </c>
      <c r="K491" t="inlineStr">
        <is>
          <t>N</t>
        </is>
      </c>
      <c r="L491" t="inlineStr">
        <is>
          <t>N</t>
        </is>
      </c>
      <c r="M491" t="n">
        <v>3</v>
      </c>
      <c r="N491" t="n">
        <v>2</v>
      </c>
      <c r="O491" t="n">
        <v>4</v>
      </c>
      <c r="P491" t="n">
        <v>1</v>
      </c>
      <c r="Q491" t="n">
        <v>3</v>
      </c>
      <c r="R491">
        <f>IFERROR(XLOOKUP(XLOOKUP(D491,tblReleaseChanges[Change_ID],tblReleaseChanges[Oracle_Severity],""),tblSeverityMap[Severity_Text],tblSeverityMap[Score],0),0)</f>
        <v/>
      </c>
      <c r="S491" t="n">
        <v>2</v>
      </c>
      <c r="T491">
        <f>ROUND((M491*0.25)+(N491*0.20)+(O491*0.15)+(P491*0.15)+(Q491*0.10)+(R491*0.10)+(S491*0.05),2)</f>
        <v/>
      </c>
      <c r="U491">
        <f>IF(T491&gt;=4.25,"Critical",IF(T491&gt;=3.5,"High",IF(T491&gt;=2,"Medium","Low")))</f>
        <v/>
      </c>
      <c r="V491" t="inlineStr">
        <is>
          <t>Pending Review</t>
        </is>
      </c>
      <c r="W491" t="inlineStr"/>
      <c r="X491" t="inlineStr"/>
      <c r="Y491" t="inlineStr">
        <is>
          <t>Action type: Steps to Enable. 1. Open Setup and Maintenance and navigate to Manage Administrator Profile Values. 2. Search for the profile option code ORA_FOM_REDESIGNED_MANAGE_EXT_INT_WS_DETAILS</t>
        </is>
      </c>
      <c r="Z491" t="inlineStr">
        <is>
          <t>Y</t>
        </is>
      </c>
      <c r="AA491" t="inlineStr">
        <is>
          <t>N</t>
        </is>
      </c>
    </row>
    <row r="492">
      <c r="A492" t="inlineStr">
        <is>
          <t>ASMT_IMP_0467</t>
        </is>
      </c>
      <c r="B492" t="inlineStr">
        <is>
          <t>CLT_DFL001</t>
        </is>
      </c>
      <c r="C492" t="inlineStr">
        <is>
          <t>REL_26C</t>
        </is>
      </c>
      <c r="D492" t="inlineStr">
        <is>
          <t>CHG_IMP_0467</t>
        </is>
      </c>
      <c r="E492" t="inlineStr">
        <is>
          <t>Functional</t>
        </is>
      </c>
      <c r="F492" t="inlineStr">
        <is>
          <t>Configuration</t>
        </is>
      </c>
      <c r="G492" t="inlineStr"/>
      <c r="H492" t="inlineStr">
        <is>
          <t>DFL Order Management impacted by Oracle 26C change</t>
        </is>
      </c>
      <c r="I492" t="inlineStr">
        <is>
          <t>Y</t>
        </is>
      </c>
      <c r="J492" t="inlineStr">
        <is>
          <t>N</t>
        </is>
      </c>
      <c r="K492" t="inlineStr">
        <is>
          <t>N</t>
        </is>
      </c>
      <c r="L492" t="inlineStr">
        <is>
          <t>N</t>
        </is>
      </c>
      <c r="M492" t="n">
        <v>3</v>
      </c>
      <c r="N492" t="n">
        <v>2</v>
      </c>
      <c r="O492" t="n">
        <v>4</v>
      </c>
      <c r="P492" t="n">
        <v>1</v>
      </c>
      <c r="Q492" t="n">
        <v>3</v>
      </c>
      <c r="R492">
        <f>IFERROR(XLOOKUP(XLOOKUP(D492,tblReleaseChanges[Change_ID],tblReleaseChanges[Oracle_Severity],""),tblSeverityMap[Severity_Text],tblSeverityMap[Score],0),0)</f>
        <v/>
      </c>
      <c r="S492" t="n">
        <v>2</v>
      </c>
      <c r="T492">
        <f>ROUND((M492*0.25)+(N492*0.20)+(O492*0.15)+(P492*0.15)+(Q492*0.10)+(R492*0.10)+(S492*0.05),2)</f>
        <v/>
      </c>
      <c r="U492">
        <f>IF(T492&gt;=4.25,"Critical",IF(T492&gt;=3.5,"High",IF(T492&gt;=2,"Medium","Low")))</f>
        <v/>
      </c>
      <c r="V492" t="inlineStr">
        <is>
          <t>Pending Review</t>
        </is>
      </c>
      <c r="W492" t="inlineStr"/>
      <c r="X492" t="inlineStr"/>
      <c r="Y492" t="inlineStr">
        <is>
          <t>Action type: Steps to Enable. **To access Redwood hold definitions UI** 1. Sign in to the application. 2. Open the functional setup manager. 3. Navigate to the Manage hold codes user interface. **Land</t>
        </is>
      </c>
      <c r="Z492" t="inlineStr">
        <is>
          <t>Y</t>
        </is>
      </c>
      <c r="AA492" t="inlineStr">
        <is>
          <t>N</t>
        </is>
      </c>
    </row>
    <row r="493">
      <c r="A493" t="inlineStr">
        <is>
          <t>ASMT_IMP_0468</t>
        </is>
      </c>
      <c r="B493" t="inlineStr">
        <is>
          <t>CLT_DFL001</t>
        </is>
      </c>
      <c r="C493" t="inlineStr">
        <is>
          <t>REL_26C</t>
        </is>
      </c>
      <c r="D493" t="inlineStr">
        <is>
          <t>CHG_IMP_0468</t>
        </is>
      </c>
      <c r="E493" t="inlineStr">
        <is>
          <t>Functional</t>
        </is>
      </c>
      <c r="F493" t="inlineStr">
        <is>
          <t>Configuration</t>
        </is>
      </c>
      <c r="G493" t="inlineStr"/>
      <c r="H493" t="inlineStr">
        <is>
          <t>DFL Order Management impacted by Oracle 26C change</t>
        </is>
      </c>
      <c r="I493" t="inlineStr">
        <is>
          <t>Y</t>
        </is>
      </c>
      <c r="J493" t="inlineStr">
        <is>
          <t>N</t>
        </is>
      </c>
      <c r="K493" t="inlineStr">
        <is>
          <t>N</t>
        </is>
      </c>
      <c r="L493" t="inlineStr">
        <is>
          <t>N</t>
        </is>
      </c>
      <c r="M493" t="n">
        <v>3</v>
      </c>
      <c r="N493" t="n">
        <v>2</v>
      </c>
      <c r="O493" t="n">
        <v>4</v>
      </c>
      <c r="P493" t="n">
        <v>1</v>
      </c>
      <c r="Q493" t="n">
        <v>3</v>
      </c>
      <c r="R493">
        <f>IFERROR(XLOOKUP(XLOOKUP(D493,tblReleaseChanges[Change_ID],tblReleaseChanges[Oracle_Severity],""),tblSeverityMap[Severity_Text],tblSeverityMap[Score],0),0)</f>
        <v/>
      </c>
      <c r="S493" t="n">
        <v>1</v>
      </c>
      <c r="T493">
        <f>ROUND((M493*0.25)+(N493*0.20)+(O493*0.15)+(P493*0.15)+(Q493*0.10)+(R493*0.10)+(S493*0.05),2)</f>
        <v/>
      </c>
      <c r="U493">
        <f>IF(T493&gt;=4.25,"Critical",IF(T493&gt;=3.5,"High",IF(T493&gt;=2,"Medium","Low")))</f>
        <v/>
      </c>
      <c r="V493" t="inlineStr">
        <is>
          <t>Pending Review</t>
        </is>
      </c>
      <c r="W493" t="inlineStr"/>
      <c r="X493" t="inlineStr"/>
      <c r="Y493" t="inlineStr">
        <is>
          <t>Auto-enabled — no action required</t>
        </is>
      </c>
      <c r="Z493" t="inlineStr">
        <is>
          <t>N</t>
        </is>
      </c>
      <c r="AA493" t="inlineStr">
        <is>
          <t>N</t>
        </is>
      </c>
    </row>
    <row r="494">
      <c r="A494" t="inlineStr">
        <is>
          <t>ASMT_IMP_0469</t>
        </is>
      </c>
      <c r="B494" t="inlineStr">
        <is>
          <t>CLT_DFL001</t>
        </is>
      </c>
      <c r="C494" t="inlineStr">
        <is>
          <t>REL_26C</t>
        </is>
      </c>
      <c r="D494" t="inlineStr">
        <is>
          <t>CHG_IMP_0469</t>
        </is>
      </c>
      <c r="E494" t="inlineStr">
        <is>
          <t>Functional</t>
        </is>
      </c>
      <c r="F494" t="inlineStr">
        <is>
          <t>Configuration</t>
        </is>
      </c>
      <c r="G494" t="inlineStr"/>
      <c r="H494" t="inlineStr">
        <is>
          <t>DFL Order Management impacted by Oracle 26C change</t>
        </is>
      </c>
      <c r="I494" t="inlineStr">
        <is>
          <t>Y</t>
        </is>
      </c>
      <c r="J494" t="inlineStr">
        <is>
          <t>N</t>
        </is>
      </c>
      <c r="K494" t="inlineStr">
        <is>
          <t>N</t>
        </is>
      </c>
      <c r="L494" t="inlineStr">
        <is>
          <t>N</t>
        </is>
      </c>
      <c r="M494" t="n">
        <v>3</v>
      </c>
      <c r="N494" t="n">
        <v>2</v>
      </c>
      <c r="O494" t="n">
        <v>4</v>
      </c>
      <c r="P494" t="n">
        <v>1</v>
      </c>
      <c r="Q494" t="n">
        <v>3</v>
      </c>
      <c r="R494">
        <f>IFERROR(XLOOKUP(XLOOKUP(D494,tblReleaseChanges[Change_ID],tblReleaseChanges[Oracle_Severity],""),tblSeverityMap[Severity_Text],tblSeverityMap[Score],0),0)</f>
        <v/>
      </c>
      <c r="S494" t="n">
        <v>2</v>
      </c>
      <c r="T494">
        <f>ROUND((M494*0.25)+(N494*0.20)+(O494*0.15)+(P494*0.15)+(Q494*0.10)+(R494*0.10)+(S494*0.05),2)</f>
        <v/>
      </c>
      <c r="U494">
        <f>IF(T494&gt;=4.25,"Critical",IF(T494&gt;=3.5,"High",IF(T494&gt;=2,"Medium","Low")))</f>
        <v/>
      </c>
      <c r="V494" t="inlineStr">
        <is>
          <t>Pending Review</t>
        </is>
      </c>
      <c r="W494" t="inlineStr"/>
      <c r="X494" t="inlineStr"/>
      <c r="Y494" t="inlineStr">
        <is>
          <t>Action type: Steps to Enable. 1. You need to set up these prerequisite features to use this feature. You don’t need to set them up again if they're already set up. • Redwood: Se</t>
        </is>
      </c>
      <c r="Z494" t="inlineStr">
        <is>
          <t>Y</t>
        </is>
      </c>
      <c r="AA494" t="inlineStr">
        <is>
          <t>N</t>
        </is>
      </c>
    </row>
    <row r="495">
      <c r="A495" t="inlineStr">
        <is>
          <t>ASMT_IMP_0470</t>
        </is>
      </c>
      <c r="B495" t="inlineStr">
        <is>
          <t>CLT_DFL001</t>
        </is>
      </c>
      <c r="C495" t="inlineStr">
        <is>
          <t>REL_26C</t>
        </is>
      </c>
      <c r="D495" t="inlineStr">
        <is>
          <t>CHG_IMP_0470</t>
        </is>
      </c>
      <c r="E495" t="inlineStr">
        <is>
          <t>Functional</t>
        </is>
      </c>
      <c r="F495" t="inlineStr">
        <is>
          <t>Configuration</t>
        </is>
      </c>
      <c r="G495" t="inlineStr"/>
      <c r="H495" t="inlineStr">
        <is>
          <t>DFL Order Management impacted by Oracle 26C change</t>
        </is>
      </c>
      <c r="I495" t="inlineStr">
        <is>
          <t>Y</t>
        </is>
      </c>
      <c r="J495" t="inlineStr">
        <is>
          <t>N</t>
        </is>
      </c>
      <c r="K495" t="inlineStr">
        <is>
          <t>N</t>
        </is>
      </c>
      <c r="L495" t="inlineStr">
        <is>
          <t>N</t>
        </is>
      </c>
      <c r="M495" t="n">
        <v>3</v>
      </c>
      <c r="N495" t="n">
        <v>2</v>
      </c>
      <c r="O495" t="n">
        <v>4</v>
      </c>
      <c r="P495" t="n">
        <v>1</v>
      </c>
      <c r="Q495" t="n">
        <v>3</v>
      </c>
      <c r="R495">
        <f>IFERROR(XLOOKUP(XLOOKUP(D495,tblReleaseChanges[Change_ID],tblReleaseChanges[Oracle_Severity],""),tblSeverityMap[Severity_Text],tblSeverityMap[Score],0),0)</f>
        <v/>
      </c>
      <c r="S495" t="n">
        <v>2</v>
      </c>
      <c r="T495">
        <f>ROUND((M495*0.25)+(N495*0.20)+(O495*0.15)+(P495*0.15)+(Q495*0.10)+(R495*0.10)+(S495*0.05),2)</f>
        <v/>
      </c>
      <c r="U495">
        <f>IF(T495&gt;=4.25,"Critical",IF(T495&gt;=3.5,"High",IF(T495&gt;=2,"Medium","Low")))</f>
        <v/>
      </c>
      <c r="V495" t="inlineStr">
        <is>
          <t>Pending Review</t>
        </is>
      </c>
      <c r="W495" t="inlineStr"/>
      <c r="X495" t="inlineStr"/>
      <c r="Y495" t="inlineStr">
        <is>
          <t>Action type: Steps to Enable. Go to **Home**&gt;**My Enterprise** &gt; **Setup and Maintenance** &gt; **Tasks**&gt; **Search**&gt; Manage Administrator Profile Values, and then enable the Redwood Page for Shipping C</t>
        </is>
      </c>
      <c r="Z495" t="inlineStr">
        <is>
          <t>Y</t>
        </is>
      </c>
      <c r="AA495" t="inlineStr">
        <is>
          <t>N</t>
        </is>
      </c>
    </row>
    <row r="496">
      <c r="A496" t="inlineStr">
        <is>
          <t>ASMT_IMP_0471</t>
        </is>
      </c>
      <c r="B496" t="inlineStr">
        <is>
          <t>CLT_DFL001</t>
        </is>
      </c>
      <c r="C496" t="inlineStr">
        <is>
          <t>REL_26C</t>
        </is>
      </c>
      <c r="D496" t="inlineStr">
        <is>
          <t>CHG_IMP_0471</t>
        </is>
      </c>
      <c r="E496" t="inlineStr">
        <is>
          <t>Functional</t>
        </is>
      </c>
      <c r="F496" t="inlineStr">
        <is>
          <t>Configuration</t>
        </is>
      </c>
      <c r="G496" t="inlineStr"/>
      <c r="H496" t="inlineStr">
        <is>
          <t>DFL Order Management impacted by Oracle 26C change</t>
        </is>
      </c>
      <c r="I496" t="inlineStr">
        <is>
          <t>Y</t>
        </is>
      </c>
      <c r="J496" t="inlineStr">
        <is>
          <t>N</t>
        </is>
      </c>
      <c r="K496" t="inlineStr">
        <is>
          <t>N</t>
        </is>
      </c>
      <c r="L496" t="inlineStr">
        <is>
          <t>N</t>
        </is>
      </c>
      <c r="M496" t="n">
        <v>3</v>
      </c>
      <c r="N496" t="n">
        <v>2</v>
      </c>
      <c r="O496" t="n">
        <v>4</v>
      </c>
      <c r="P496" t="n">
        <v>1</v>
      </c>
      <c r="Q496" t="n">
        <v>3</v>
      </c>
      <c r="R496">
        <f>IFERROR(XLOOKUP(XLOOKUP(D496,tblReleaseChanges[Change_ID],tblReleaseChanges[Oracle_Severity],""),tblSeverityMap[Severity_Text],tblSeverityMap[Score],0),0)</f>
        <v/>
      </c>
      <c r="S496" t="n">
        <v>2</v>
      </c>
      <c r="T496">
        <f>ROUND((M496*0.25)+(N496*0.20)+(O496*0.15)+(P496*0.15)+(Q496*0.10)+(R496*0.10)+(S496*0.05),2)</f>
        <v/>
      </c>
      <c r="U496">
        <f>IF(T496&gt;=4.25,"Critical",IF(T496&gt;=3.5,"High",IF(T496&gt;=2,"Medium","Low")))</f>
        <v/>
      </c>
      <c r="V496" t="inlineStr">
        <is>
          <t>Pending Review</t>
        </is>
      </c>
      <c r="W496" t="inlineStr"/>
      <c r="X496" t="inlineStr"/>
      <c r="Y496" t="inlineStr">
        <is>
          <t xml:space="preserve">Action type: Steps to Enable. Use the Opt In UI to enable this feature. For instructions, refer to the Optional Uptake of New Features section of this document. Offering: *Order Management* 1. If you </t>
        </is>
      </c>
      <c r="Z496" t="inlineStr">
        <is>
          <t>Y</t>
        </is>
      </c>
      <c r="AA496" t="inlineStr">
        <is>
          <t>N</t>
        </is>
      </c>
    </row>
    <row r="497">
      <c r="A497" t="inlineStr">
        <is>
          <t>ASMT_IMP_0472</t>
        </is>
      </c>
      <c r="B497" t="inlineStr">
        <is>
          <t>CLT_DFL001</t>
        </is>
      </c>
      <c r="C497" t="inlineStr">
        <is>
          <t>REL_26C</t>
        </is>
      </c>
      <c r="D497" t="inlineStr">
        <is>
          <t>CHG_IMP_0472</t>
        </is>
      </c>
      <c r="E497" t="inlineStr">
        <is>
          <t>Functional</t>
        </is>
      </c>
      <c r="F497" t="inlineStr">
        <is>
          <t>Configuration</t>
        </is>
      </c>
      <c r="G497" t="inlineStr"/>
      <c r="H497" t="inlineStr">
        <is>
          <t>DFL Order Management impacted by Oracle 26C change</t>
        </is>
      </c>
      <c r="I497" t="inlineStr">
        <is>
          <t>Y</t>
        </is>
      </c>
      <c r="J497" t="inlineStr">
        <is>
          <t>N</t>
        </is>
      </c>
      <c r="K497" t="inlineStr">
        <is>
          <t>N</t>
        </is>
      </c>
      <c r="L497" t="inlineStr">
        <is>
          <t>N</t>
        </is>
      </c>
      <c r="M497" t="n">
        <v>3</v>
      </c>
      <c r="N497" t="n">
        <v>2</v>
      </c>
      <c r="O497" t="n">
        <v>4</v>
      </c>
      <c r="P497" t="n">
        <v>1</v>
      </c>
      <c r="Q497" t="n">
        <v>3</v>
      </c>
      <c r="R497">
        <f>IFERROR(XLOOKUP(XLOOKUP(D497,tblReleaseChanges[Change_ID],tblReleaseChanges[Oracle_Severity],""),tblSeverityMap[Severity_Text],tblSeverityMap[Score],0),0)</f>
        <v/>
      </c>
      <c r="S497" t="n">
        <v>2</v>
      </c>
      <c r="T497">
        <f>ROUND((M497*0.25)+(N497*0.20)+(O497*0.15)+(P497*0.15)+(Q497*0.10)+(R497*0.10)+(S497*0.05),2)</f>
        <v/>
      </c>
      <c r="U497">
        <f>IF(T497&gt;=4.25,"Critical",IF(T497&gt;=3.5,"High",IF(T497&gt;=2,"Medium","Low")))</f>
        <v/>
      </c>
      <c r="V497" t="inlineStr">
        <is>
          <t>Pending Review</t>
        </is>
      </c>
      <c r="W497" t="inlineStr"/>
      <c r="X497" t="inlineStr"/>
      <c r="Y497" t="inlineStr">
        <is>
          <t>Action type: Steps to Enable. You can access this functionality by enabling the feature **Simplify Configuration and Processing for B2B Messaging**. 1. Perform the following standard steps to s</t>
        </is>
      </c>
      <c r="Z497" t="inlineStr">
        <is>
          <t>Y</t>
        </is>
      </c>
      <c r="AA497" t="inlineStr">
        <is>
          <t>N</t>
        </is>
      </c>
    </row>
    <row r="498">
      <c r="A498" t="inlineStr">
        <is>
          <t>ASMT_IMP_0473</t>
        </is>
      </c>
      <c r="B498" t="inlineStr">
        <is>
          <t>CLT_DFL001</t>
        </is>
      </c>
      <c r="C498" t="inlineStr">
        <is>
          <t>REL_26C</t>
        </is>
      </c>
      <c r="D498" t="inlineStr">
        <is>
          <t>CHG_IMP_0473</t>
        </is>
      </c>
      <c r="E498" t="inlineStr">
        <is>
          <t>Functional</t>
        </is>
      </c>
      <c r="F498" t="inlineStr">
        <is>
          <t>Configuration</t>
        </is>
      </c>
      <c r="G498" t="inlineStr"/>
      <c r="H498" t="inlineStr">
        <is>
          <t>DFL Order Management impacted by Oracle 26C change</t>
        </is>
      </c>
      <c r="I498" t="inlineStr">
        <is>
          <t>Y</t>
        </is>
      </c>
      <c r="J498" t="inlineStr">
        <is>
          <t>N</t>
        </is>
      </c>
      <c r="K498" t="inlineStr">
        <is>
          <t>N</t>
        </is>
      </c>
      <c r="L498" t="inlineStr">
        <is>
          <t>N</t>
        </is>
      </c>
      <c r="M498" t="n">
        <v>3</v>
      </c>
      <c r="N498" t="n">
        <v>2</v>
      </c>
      <c r="O498" t="n">
        <v>4</v>
      </c>
      <c r="P498" t="n">
        <v>1</v>
      </c>
      <c r="Q498" t="n">
        <v>3</v>
      </c>
      <c r="R498">
        <f>IFERROR(XLOOKUP(XLOOKUP(D498,tblReleaseChanges[Change_ID],tblReleaseChanges[Oracle_Severity],""),tblSeverityMap[Severity_Text],tblSeverityMap[Score],0),0)</f>
        <v/>
      </c>
      <c r="S498" t="n">
        <v>2</v>
      </c>
      <c r="T498">
        <f>ROUND((M498*0.25)+(N498*0.20)+(O498*0.15)+(P498*0.15)+(Q498*0.10)+(R498*0.10)+(S498*0.05),2)</f>
        <v/>
      </c>
      <c r="U498">
        <f>IF(T498&gt;=4.25,"Critical",IF(T498&gt;=3.5,"High",IF(T498&gt;=2,"Medium","Low")))</f>
        <v/>
      </c>
      <c r="V498" t="inlineStr">
        <is>
          <t>Pending Review</t>
        </is>
      </c>
      <c r="W498" t="inlineStr"/>
      <c r="X498" t="inlineStr"/>
      <c r="Y498" t="inlineStr">
        <is>
          <t>Action type: Steps to Enable. If you want to use the Redwood: Add Project Details to Sales feature, then you must opt in to its parent Project-Driven Supply Chain feature in the Manufacturing</t>
        </is>
      </c>
      <c r="Z498" t="inlineStr">
        <is>
          <t>Y</t>
        </is>
      </c>
      <c r="AA498" t="inlineStr">
        <is>
          <t>N</t>
        </is>
      </c>
    </row>
    <row r="499">
      <c r="A499" t="inlineStr">
        <is>
          <t>ASMT_IMP_0474</t>
        </is>
      </c>
      <c r="B499" t="inlineStr">
        <is>
          <t>CLT_DFL001</t>
        </is>
      </c>
      <c r="C499" t="inlineStr">
        <is>
          <t>REL_26C</t>
        </is>
      </c>
      <c r="D499" t="inlineStr">
        <is>
          <t>CHG_IMP_0474</t>
        </is>
      </c>
      <c r="E499" t="inlineStr">
        <is>
          <t>Functional</t>
        </is>
      </c>
      <c r="F499" t="inlineStr">
        <is>
          <t>Configuration</t>
        </is>
      </c>
      <c r="G499" t="inlineStr"/>
      <c r="H499" t="inlineStr">
        <is>
          <t>DFL Order Management impacted by Oracle 26C change</t>
        </is>
      </c>
      <c r="I499" t="inlineStr">
        <is>
          <t>Y</t>
        </is>
      </c>
      <c r="J499" t="inlineStr">
        <is>
          <t>N</t>
        </is>
      </c>
      <c r="K499" t="inlineStr">
        <is>
          <t>N</t>
        </is>
      </c>
      <c r="L499" t="inlineStr">
        <is>
          <t>N</t>
        </is>
      </c>
      <c r="M499" t="n">
        <v>3</v>
      </c>
      <c r="N499" t="n">
        <v>2</v>
      </c>
      <c r="O499" t="n">
        <v>4</v>
      </c>
      <c r="P499" t="n">
        <v>1</v>
      </c>
      <c r="Q499" t="n">
        <v>3</v>
      </c>
      <c r="R499">
        <f>IFERROR(XLOOKUP(XLOOKUP(D499,tblReleaseChanges[Change_ID],tblReleaseChanges[Oracle_Severity],""),tblSeverityMap[Severity_Text],tblSeverityMap[Score],0),0)</f>
        <v/>
      </c>
      <c r="S499" t="n">
        <v>2</v>
      </c>
      <c r="T499">
        <f>ROUND((M499*0.25)+(N499*0.20)+(O499*0.15)+(P499*0.15)+(Q499*0.10)+(R499*0.10)+(S499*0.05),2)</f>
        <v/>
      </c>
      <c r="U499">
        <f>IF(T499&gt;=4.25,"Critical",IF(T499&gt;=3.5,"High",IF(T499&gt;=2,"Medium","Low")))</f>
        <v/>
      </c>
      <c r="V499" t="inlineStr">
        <is>
          <t>Pending Review</t>
        </is>
      </c>
      <c r="W499" t="inlineStr"/>
      <c r="X499" t="inlineStr"/>
      <c r="Y499" t="inlineStr">
        <is>
          <t>Action type: Steps to Enable. Go to **Home**&gt; M**y Enterprise** &gt;**Setup and Maintenance** &gt; **Tasks**&gt; **Search**&gt; Manage Administrator Profile Values, and then enable the Redwood Page for Shipping C</t>
        </is>
      </c>
      <c r="Z499" t="inlineStr">
        <is>
          <t>Y</t>
        </is>
      </c>
      <c r="AA499" t="inlineStr">
        <is>
          <t>N</t>
        </is>
      </c>
    </row>
    <row r="500">
      <c r="A500" t="inlineStr">
        <is>
          <t>ASMT_IMP_0475</t>
        </is>
      </c>
      <c r="B500" t="inlineStr">
        <is>
          <t>CLT_DFL001</t>
        </is>
      </c>
      <c r="C500" t="inlineStr">
        <is>
          <t>REL_26C</t>
        </is>
      </c>
      <c r="D500" t="inlineStr">
        <is>
          <t>CHG_IMP_0475</t>
        </is>
      </c>
      <c r="E500" t="inlineStr">
        <is>
          <t>Functional</t>
        </is>
      </c>
      <c r="F500" t="inlineStr">
        <is>
          <t>Configuration</t>
        </is>
      </c>
      <c r="G500" t="inlineStr"/>
      <c r="H500" t="inlineStr">
        <is>
          <t>DFL Order Management impacted by Oracle 26C change</t>
        </is>
      </c>
      <c r="I500" t="inlineStr">
        <is>
          <t>Y</t>
        </is>
      </c>
      <c r="J500" t="inlineStr">
        <is>
          <t>N</t>
        </is>
      </c>
      <c r="K500" t="inlineStr">
        <is>
          <t>N</t>
        </is>
      </c>
      <c r="L500" t="inlineStr">
        <is>
          <t>N</t>
        </is>
      </c>
      <c r="M500" t="n">
        <v>3</v>
      </c>
      <c r="N500" t="n">
        <v>2</v>
      </c>
      <c r="O500" t="n">
        <v>4</v>
      </c>
      <c r="P500" t="n">
        <v>1</v>
      </c>
      <c r="Q500" t="n">
        <v>3</v>
      </c>
      <c r="R500">
        <f>IFERROR(XLOOKUP(XLOOKUP(D500,tblReleaseChanges[Change_ID],tblReleaseChanges[Oracle_Severity],""),tblSeverityMap[Severity_Text],tblSeverityMap[Score],0),0)</f>
        <v/>
      </c>
      <c r="S500" t="n">
        <v>2</v>
      </c>
      <c r="T500">
        <f>ROUND((M500*0.25)+(N500*0.20)+(O500*0.15)+(P500*0.15)+(Q500*0.10)+(R500*0.10)+(S500*0.05),2)</f>
        <v/>
      </c>
      <c r="U500">
        <f>IF(T500&gt;=4.25,"Critical",IF(T500&gt;=3.5,"High",IF(T500&gt;=2,"Medium","Low")))</f>
        <v/>
      </c>
      <c r="V500" t="inlineStr">
        <is>
          <t>Pending Review</t>
        </is>
      </c>
      <c r="W500" t="inlineStr"/>
      <c r="X500" t="inlineStr"/>
      <c r="Y500" t="inlineStr">
        <is>
          <t xml:space="preserve">Action type: Steps to Enable. If you want to use this feature, then you must opt in to these features: Redwood: Use Price Books to Price Sales Orders and Redwood: Create Price Books to Price </t>
        </is>
      </c>
      <c r="Z500" t="inlineStr">
        <is>
          <t>Y</t>
        </is>
      </c>
      <c r="AA500" t="inlineStr">
        <is>
          <t>N</t>
        </is>
      </c>
    </row>
    <row r="501">
      <c r="A501" t="inlineStr">
        <is>
          <t>ASMT_IMP_0476</t>
        </is>
      </c>
      <c r="B501" t="inlineStr">
        <is>
          <t>CLT_DFL001</t>
        </is>
      </c>
      <c r="C501" t="inlineStr">
        <is>
          <t>REL_26C</t>
        </is>
      </c>
      <c r="D501" t="inlineStr">
        <is>
          <t>CHG_IMP_0476</t>
        </is>
      </c>
      <c r="E501" t="inlineStr">
        <is>
          <t>Functional</t>
        </is>
      </c>
      <c r="F501" t="inlineStr">
        <is>
          <t>Configuration</t>
        </is>
      </c>
      <c r="G501" t="inlineStr"/>
      <c r="H501" t="inlineStr">
        <is>
          <t>DFL Order Management impacted by Oracle 26C change</t>
        </is>
      </c>
      <c r="I501" t="inlineStr">
        <is>
          <t>Y</t>
        </is>
      </c>
      <c r="J501" t="inlineStr">
        <is>
          <t>N</t>
        </is>
      </c>
      <c r="K501" t="inlineStr">
        <is>
          <t>N</t>
        </is>
      </c>
      <c r="L501" t="inlineStr">
        <is>
          <t>N</t>
        </is>
      </c>
      <c r="M501" t="n">
        <v>3</v>
      </c>
      <c r="N501" t="n">
        <v>2</v>
      </c>
      <c r="O501" t="n">
        <v>4</v>
      </c>
      <c r="P501" t="n">
        <v>1</v>
      </c>
      <c r="Q501" t="n">
        <v>3</v>
      </c>
      <c r="R501">
        <f>IFERROR(XLOOKUP(XLOOKUP(D501,tblReleaseChanges[Change_ID],tblReleaseChanges[Oracle_Severity],""),tblSeverityMap[Severity_Text],tblSeverityMap[Score],0),0)</f>
        <v/>
      </c>
      <c r="S501" t="n">
        <v>1</v>
      </c>
      <c r="T501">
        <f>ROUND((M501*0.25)+(N501*0.20)+(O501*0.15)+(P501*0.15)+(Q501*0.10)+(R501*0.10)+(S501*0.05),2)</f>
        <v/>
      </c>
      <c r="U501">
        <f>IF(T501&gt;=4.25,"Critical",IF(T501&gt;=3.5,"High",IF(T501&gt;=2,"Medium","Low")))</f>
        <v/>
      </c>
      <c r="V501" t="inlineStr">
        <is>
          <t>Pending Review</t>
        </is>
      </c>
      <c r="W501" t="inlineStr"/>
      <c r="X501" t="inlineStr"/>
      <c r="Y501" t="inlineStr">
        <is>
          <t>Auto-enabled — no action required</t>
        </is>
      </c>
      <c r="Z501" t="inlineStr">
        <is>
          <t>N</t>
        </is>
      </c>
      <c r="AA501" t="inlineStr">
        <is>
          <t>N</t>
        </is>
      </c>
    </row>
    <row r="502">
      <c r="A502" t="inlineStr">
        <is>
          <t>ASMT_IMP_0477</t>
        </is>
      </c>
      <c r="B502" t="inlineStr">
        <is>
          <t>CLT_DFL001</t>
        </is>
      </c>
      <c r="C502" t="inlineStr">
        <is>
          <t>REL_26C</t>
        </is>
      </c>
      <c r="D502" t="inlineStr">
        <is>
          <t>CHG_IMP_0477</t>
        </is>
      </c>
      <c r="E502" t="inlineStr">
        <is>
          <t>Functional</t>
        </is>
      </c>
      <c r="F502" t="inlineStr">
        <is>
          <t>Configuration</t>
        </is>
      </c>
      <c r="G502" t="inlineStr"/>
      <c r="H502" t="inlineStr">
        <is>
          <t>DFL Order Management impacted by Oracle 26C change</t>
        </is>
      </c>
      <c r="I502" t="inlineStr">
        <is>
          <t>Y</t>
        </is>
      </c>
      <c r="J502" t="inlineStr">
        <is>
          <t>N</t>
        </is>
      </c>
      <c r="K502" t="inlineStr">
        <is>
          <t>N</t>
        </is>
      </c>
      <c r="L502" t="inlineStr">
        <is>
          <t>N</t>
        </is>
      </c>
      <c r="M502" t="n">
        <v>3</v>
      </c>
      <c r="N502" t="n">
        <v>2</v>
      </c>
      <c r="O502" t="n">
        <v>4</v>
      </c>
      <c r="P502" t="n">
        <v>1</v>
      </c>
      <c r="Q502" t="n">
        <v>3</v>
      </c>
      <c r="R502">
        <f>IFERROR(XLOOKUP(XLOOKUP(D502,tblReleaseChanges[Change_ID],tblReleaseChanges[Oracle_Severity],""),tblSeverityMap[Severity_Text],tblSeverityMap[Score],0),0)</f>
        <v/>
      </c>
      <c r="S502" t="n">
        <v>2</v>
      </c>
      <c r="T502">
        <f>ROUND((M502*0.25)+(N502*0.20)+(O502*0.15)+(P502*0.15)+(Q502*0.10)+(R502*0.10)+(S502*0.05),2)</f>
        <v/>
      </c>
      <c r="U502">
        <f>IF(T502&gt;=4.25,"Critical",IF(T502&gt;=3.5,"High",IF(T502&gt;=2,"Medium","Low")))</f>
        <v/>
      </c>
      <c r="V502" t="inlineStr">
        <is>
          <t>Pending Review</t>
        </is>
      </c>
      <c r="W502" t="inlineStr"/>
      <c r="X502" t="inlineStr"/>
      <c r="Y502" t="inlineStr">
        <is>
          <t xml:space="preserve">Action type: Steps to Enable. Use the Opt In UI to enable this feature. For instructions, refer to the Optional Uptake of New Features section of this document. Offering: </t>
        </is>
      </c>
      <c r="Z502" t="inlineStr">
        <is>
          <t>Y</t>
        </is>
      </c>
      <c r="AA502" t="inlineStr">
        <is>
          <t>N</t>
        </is>
      </c>
    </row>
    <row r="503">
      <c r="A503" t="inlineStr">
        <is>
          <t>ASMT_IMP_0478</t>
        </is>
      </c>
      <c r="B503" t="inlineStr">
        <is>
          <t>CLT_DFL001</t>
        </is>
      </c>
      <c r="C503" t="inlineStr">
        <is>
          <t>REL_26C</t>
        </is>
      </c>
      <c r="D503" t="inlineStr">
        <is>
          <t>CHG_IMP_0478</t>
        </is>
      </c>
      <c r="E503" t="inlineStr">
        <is>
          <t>Functional</t>
        </is>
      </c>
      <c r="F503" t="inlineStr">
        <is>
          <t>Configuration</t>
        </is>
      </c>
      <c r="G503" t="inlineStr"/>
      <c r="H503" t="inlineStr">
        <is>
          <t>DFL Order Management impacted by Oracle 26C change</t>
        </is>
      </c>
      <c r="I503" t="inlineStr">
        <is>
          <t>Y</t>
        </is>
      </c>
      <c r="J503" t="inlineStr">
        <is>
          <t>N</t>
        </is>
      </c>
      <c r="K503" t="inlineStr">
        <is>
          <t>N</t>
        </is>
      </c>
      <c r="L503" t="inlineStr">
        <is>
          <t>N</t>
        </is>
      </c>
      <c r="M503" t="n">
        <v>3</v>
      </c>
      <c r="N503" t="n">
        <v>2</v>
      </c>
      <c r="O503" t="n">
        <v>4</v>
      </c>
      <c r="P503" t="n">
        <v>1</v>
      </c>
      <c r="Q503" t="n">
        <v>3</v>
      </c>
      <c r="R503">
        <f>IFERROR(XLOOKUP(XLOOKUP(D503,tblReleaseChanges[Change_ID],tblReleaseChanges[Oracle_Severity],""),tblSeverityMap[Severity_Text],tblSeverityMap[Score],0),0)</f>
        <v/>
      </c>
      <c r="S503" t="n">
        <v>2</v>
      </c>
      <c r="T503">
        <f>ROUND((M503*0.25)+(N503*0.20)+(O503*0.15)+(P503*0.15)+(Q503*0.10)+(R503*0.10)+(S503*0.05),2)</f>
        <v/>
      </c>
      <c r="U503">
        <f>IF(T503&gt;=4.25,"Critical",IF(T503&gt;=3.5,"High",IF(T503&gt;=2,"Medium","Low")))</f>
        <v/>
      </c>
      <c r="V503" t="inlineStr">
        <is>
          <t>Pending Review</t>
        </is>
      </c>
      <c r="W503" t="inlineStr"/>
      <c r="X503" t="inlineStr"/>
      <c r="Y503" t="inlineStr">
        <is>
          <t xml:space="preserve">Action type: Steps to Enable. Use the Opt In UI to enable this feature. For instructions, refer to the Optional Uptake of New Features section of this document. </t>
        </is>
      </c>
      <c r="Z503" t="inlineStr">
        <is>
          <t>Y</t>
        </is>
      </c>
      <c r="AA503" t="inlineStr">
        <is>
          <t>N</t>
        </is>
      </c>
    </row>
    <row r="504">
      <c r="A504" t="inlineStr">
        <is>
          <t>ASMT_IMP_0479</t>
        </is>
      </c>
      <c r="B504" t="inlineStr">
        <is>
          <t>CLT_DFL001</t>
        </is>
      </c>
      <c r="C504" t="inlineStr">
        <is>
          <t>REL_26C</t>
        </is>
      </c>
      <c r="D504" t="inlineStr">
        <is>
          <t>CHG_IMP_0479</t>
        </is>
      </c>
      <c r="E504" t="inlineStr">
        <is>
          <t>Functional</t>
        </is>
      </c>
      <c r="F504" t="inlineStr">
        <is>
          <t>Configuration</t>
        </is>
      </c>
      <c r="G504" t="inlineStr"/>
      <c r="H504" t="inlineStr">
        <is>
          <t>DFL Order Management impacted by Oracle 26C change</t>
        </is>
      </c>
      <c r="I504" t="inlineStr">
        <is>
          <t>Y</t>
        </is>
      </c>
      <c r="J504" t="inlineStr">
        <is>
          <t>N</t>
        </is>
      </c>
      <c r="K504" t="inlineStr">
        <is>
          <t>N</t>
        </is>
      </c>
      <c r="L504" t="inlineStr">
        <is>
          <t>N</t>
        </is>
      </c>
      <c r="M504" t="n">
        <v>3</v>
      </c>
      <c r="N504" t="n">
        <v>2</v>
      </c>
      <c r="O504" t="n">
        <v>4</v>
      </c>
      <c r="P504" t="n">
        <v>1</v>
      </c>
      <c r="Q504" t="n">
        <v>3</v>
      </c>
      <c r="R504">
        <f>IFERROR(XLOOKUP(XLOOKUP(D504,tblReleaseChanges[Change_ID],tblReleaseChanges[Oracle_Severity],""),tblSeverityMap[Severity_Text],tblSeverityMap[Score],0),0)</f>
        <v/>
      </c>
      <c r="S504" t="n">
        <v>2</v>
      </c>
      <c r="T504">
        <f>ROUND((M504*0.25)+(N504*0.20)+(O504*0.15)+(P504*0.15)+(Q504*0.10)+(R504*0.10)+(S504*0.05),2)</f>
        <v/>
      </c>
      <c r="U504">
        <f>IF(T504&gt;=4.25,"Critical",IF(T504&gt;=3.5,"High",IF(T504&gt;=2,"Medium","Low")))</f>
        <v/>
      </c>
      <c r="V504" t="inlineStr">
        <is>
          <t>Pending Review</t>
        </is>
      </c>
      <c r="W504" t="inlineStr"/>
      <c r="X504" t="inlineStr"/>
      <c r="Y504" t="inlineStr">
        <is>
          <t xml:space="preserve">Action type: Steps to Enable. 1. Perform the following high-level tasks to set up your documents: • Define your providers. • Create connections. • Assign properties to your inbound order documents. • </t>
        </is>
      </c>
      <c r="Z504" t="inlineStr">
        <is>
          <t>Y</t>
        </is>
      </c>
      <c r="AA504" t="inlineStr">
        <is>
          <t>N</t>
        </is>
      </c>
    </row>
    <row r="505">
      <c r="A505" t="inlineStr">
        <is>
          <t>ASMT_IMP_0480</t>
        </is>
      </c>
      <c r="B505" t="inlineStr">
        <is>
          <t>CLT_DFL001</t>
        </is>
      </c>
      <c r="C505" t="inlineStr">
        <is>
          <t>REL_26C</t>
        </is>
      </c>
      <c r="D505" t="inlineStr">
        <is>
          <t>CHG_IMP_0480</t>
        </is>
      </c>
      <c r="E505" t="inlineStr">
        <is>
          <t>Functional</t>
        </is>
      </c>
      <c r="F505" t="inlineStr">
        <is>
          <t>Configuration</t>
        </is>
      </c>
      <c r="G505" t="inlineStr"/>
      <c r="H505" t="inlineStr">
        <is>
          <t>DFL Order Management impacted by Oracle 26C change</t>
        </is>
      </c>
      <c r="I505" t="inlineStr">
        <is>
          <t>Y</t>
        </is>
      </c>
      <c r="J505" t="inlineStr">
        <is>
          <t>N</t>
        </is>
      </c>
      <c r="K505" t="inlineStr">
        <is>
          <t>N</t>
        </is>
      </c>
      <c r="L505" t="inlineStr">
        <is>
          <t>N</t>
        </is>
      </c>
      <c r="M505" t="n">
        <v>3</v>
      </c>
      <c r="N505" t="n">
        <v>2</v>
      </c>
      <c r="O505" t="n">
        <v>4</v>
      </c>
      <c r="P505" t="n">
        <v>1</v>
      </c>
      <c r="Q505" t="n">
        <v>3</v>
      </c>
      <c r="R505">
        <f>IFERROR(XLOOKUP(XLOOKUP(D505,tblReleaseChanges[Change_ID],tblReleaseChanges[Oracle_Severity],""),tblSeverityMap[Severity_Text],tblSeverityMap[Score],0),0)</f>
        <v/>
      </c>
      <c r="S505" t="n">
        <v>2</v>
      </c>
      <c r="T505">
        <f>ROUND((M505*0.25)+(N505*0.20)+(O505*0.15)+(P505*0.15)+(Q505*0.10)+(R505*0.10)+(S505*0.05),2)</f>
        <v/>
      </c>
      <c r="U505">
        <f>IF(T505&gt;=4.25,"Critical",IF(T505&gt;=3.5,"High",IF(T505&gt;=2,"Medium","Low")))</f>
        <v/>
      </c>
      <c r="V505" t="inlineStr">
        <is>
          <t>Pending Review</t>
        </is>
      </c>
      <c r="W505" t="inlineStr"/>
      <c r="X505" t="inlineStr"/>
      <c r="Y505" t="inlineStr">
        <is>
          <t>Action type: Steps to Enable. This feature is disabled by default. To enable, set the following Order Management profile option: **Profile Option**: ORA_FOM_SEND_KIT_STRUCTURE **Value:** Y</t>
        </is>
      </c>
      <c r="Z505" t="inlineStr">
        <is>
          <t>Y</t>
        </is>
      </c>
      <c r="AA505" t="inlineStr">
        <is>
          <t>N</t>
        </is>
      </c>
    </row>
    <row r="506">
      <c r="A506" t="inlineStr">
        <is>
          <t>ASMT_IMP_0481</t>
        </is>
      </c>
      <c r="B506" t="inlineStr">
        <is>
          <t>CLT_DFL001</t>
        </is>
      </c>
      <c r="C506" t="inlineStr">
        <is>
          <t>REL_26C</t>
        </is>
      </c>
      <c r="D506" t="inlineStr">
        <is>
          <t>CHG_IMP_0481</t>
        </is>
      </c>
      <c r="E506" t="inlineStr">
        <is>
          <t>Functional</t>
        </is>
      </c>
      <c r="F506" t="inlineStr">
        <is>
          <t>Configuration</t>
        </is>
      </c>
      <c r="G506" t="inlineStr"/>
      <c r="H506" t="inlineStr">
        <is>
          <t>DFL Order Management impacted by Oracle 26C change</t>
        </is>
      </c>
      <c r="I506" t="inlineStr">
        <is>
          <t>Y</t>
        </is>
      </c>
      <c r="J506" t="inlineStr">
        <is>
          <t>N</t>
        </is>
      </c>
      <c r="K506" t="inlineStr">
        <is>
          <t>N</t>
        </is>
      </c>
      <c r="L506" t="inlineStr">
        <is>
          <t>N</t>
        </is>
      </c>
      <c r="M506" t="n">
        <v>3</v>
      </c>
      <c r="N506" t="n">
        <v>2</v>
      </c>
      <c r="O506" t="n">
        <v>4</v>
      </c>
      <c r="P506" t="n">
        <v>1</v>
      </c>
      <c r="Q506" t="n">
        <v>3</v>
      </c>
      <c r="R506">
        <f>IFERROR(XLOOKUP(XLOOKUP(D506,tblReleaseChanges[Change_ID],tblReleaseChanges[Oracle_Severity],""),tblSeverityMap[Severity_Text],tblSeverityMap[Score],0),0)</f>
        <v/>
      </c>
      <c r="S506" t="n">
        <v>1</v>
      </c>
      <c r="T506">
        <f>ROUND((M506*0.25)+(N506*0.20)+(O506*0.15)+(P506*0.15)+(Q506*0.10)+(R506*0.10)+(S506*0.05),2)</f>
        <v/>
      </c>
      <c r="U506">
        <f>IF(T506&gt;=4.25,"Critical",IF(T506&gt;=3.5,"High",IF(T506&gt;=2,"Medium","Low")))</f>
        <v/>
      </c>
      <c r="V506" t="inlineStr">
        <is>
          <t>Pending Review</t>
        </is>
      </c>
      <c r="W506" t="inlineStr"/>
      <c r="X506" t="inlineStr"/>
      <c r="Y506" t="inlineStr">
        <is>
          <t>Auto-enabled — no action required</t>
        </is>
      </c>
      <c r="Z506" t="inlineStr">
        <is>
          <t>N</t>
        </is>
      </c>
      <c r="AA506" t="inlineStr">
        <is>
          <t>N</t>
        </is>
      </c>
    </row>
    <row r="507">
      <c r="A507" t="inlineStr">
        <is>
          <t>ASMT_IMP_0482</t>
        </is>
      </c>
      <c r="B507" t="inlineStr">
        <is>
          <t>CLT_DFL001</t>
        </is>
      </c>
      <c r="C507" t="inlineStr">
        <is>
          <t>REL_26C</t>
        </is>
      </c>
      <c r="D507" t="inlineStr">
        <is>
          <t>CHG_IMP_0482</t>
        </is>
      </c>
      <c r="E507" t="inlineStr">
        <is>
          <t>Functional</t>
        </is>
      </c>
      <c r="F507" t="inlineStr">
        <is>
          <t>Configuration</t>
        </is>
      </c>
      <c r="G507" t="inlineStr"/>
      <c r="H507" t="inlineStr">
        <is>
          <t>DFL Order Management impacted by Oracle 26C change</t>
        </is>
      </c>
      <c r="I507" t="inlineStr">
        <is>
          <t>Y</t>
        </is>
      </c>
      <c r="J507" t="inlineStr">
        <is>
          <t>N</t>
        </is>
      </c>
      <c r="K507" t="inlineStr">
        <is>
          <t>N</t>
        </is>
      </c>
      <c r="L507" t="inlineStr">
        <is>
          <t>N</t>
        </is>
      </c>
      <c r="M507" t="n">
        <v>3</v>
      </c>
      <c r="N507" t="n">
        <v>2</v>
      </c>
      <c r="O507" t="n">
        <v>4</v>
      </c>
      <c r="P507" t="n">
        <v>1</v>
      </c>
      <c r="Q507" t="n">
        <v>3</v>
      </c>
      <c r="R507">
        <f>IFERROR(XLOOKUP(XLOOKUP(D507,tblReleaseChanges[Change_ID],tblReleaseChanges[Oracle_Severity],""),tblSeverityMap[Severity_Text],tblSeverityMap[Score],0),0)</f>
        <v/>
      </c>
      <c r="S507" t="n">
        <v>2</v>
      </c>
      <c r="T507">
        <f>ROUND((M507*0.25)+(N507*0.20)+(O507*0.15)+(P507*0.15)+(Q507*0.10)+(R507*0.10)+(S507*0.05),2)</f>
        <v/>
      </c>
      <c r="U507">
        <f>IF(T507&gt;=4.25,"Critical",IF(T507&gt;=3.5,"High",IF(T507&gt;=2,"Medium","Low")))</f>
        <v/>
      </c>
      <c r="V507" t="inlineStr">
        <is>
          <t>Pending Review</t>
        </is>
      </c>
      <c r="W507" t="inlineStr"/>
      <c r="X507" t="inlineStr"/>
      <c r="Y507" t="inlineStr">
        <is>
          <t>Action type: Steps to Enable. After you enable the **Simplify Configuration and Processing for B2B Messaging** feature, perform the following high-level tasks: 1. Create an implementation project. 2.</t>
        </is>
      </c>
      <c r="Z507" t="inlineStr">
        <is>
          <t>Y</t>
        </is>
      </c>
      <c r="AA507" t="inlineStr">
        <is>
          <t>N</t>
        </is>
      </c>
    </row>
    <row r="508">
      <c r="A508" t="inlineStr">
        <is>
          <t>ASMT_IMP_0483</t>
        </is>
      </c>
      <c r="B508" t="inlineStr">
        <is>
          <t>CLT_DFL001</t>
        </is>
      </c>
      <c r="C508" t="inlineStr">
        <is>
          <t>REL_26C</t>
        </is>
      </c>
      <c r="D508" t="inlineStr">
        <is>
          <t>CHG_IMP_0483</t>
        </is>
      </c>
      <c r="E508" t="inlineStr">
        <is>
          <t>Functional</t>
        </is>
      </c>
      <c r="F508" t="inlineStr">
        <is>
          <t>Configuration</t>
        </is>
      </c>
      <c r="G508" t="inlineStr"/>
      <c r="H508" t="inlineStr">
        <is>
          <t>DFL Order Management impacted by Oracle 26C change</t>
        </is>
      </c>
      <c r="I508" t="inlineStr">
        <is>
          <t>Y</t>
        </is>
      </c>
      <c r="J508" t="inlineStr">
        <is>
          <t>N</t>
        </is>
      </c>
      <c r="K508" t="inlineStr">
        <is>
          <t>N</t>
        </is>
      </c>
      <c r="L508" t="inlineStr">
        <is>
          <t>N</t>
        </is>
      </c>
      <c r="M508" t="n">
        <v>3</v>
      </c>
      <c r="N508" t="n">
        <v>2</v>
      </c>
      <c r="O508" t="n">
        <v>4</v>
      </c>
      <c r="P508" t="n">
        <v>1</v>
      </c>
      <c r="Q508" t="n">
        <v>3</v>
      </c>
      <c r="R508">
        <f>IFERROR(XLOOKUP(XLOOKUP(D508,tblReleaseChanges[Change_ID],tblReleaseChanges[Oracle_Severity],""),tblSeverityMap[Severity_Text],tblSeverityMap[Score],0),0)</f>
        <v/>
      </c>
      <c r="S508" t="n">
        <v>1</v>
      </c>
      <c r="T508">
        <f>ROUND((M508*0.25)+(N508*0.20)+(O508*0.15)+(P508*0.15)+(Q508*0.10)+(R508*0.10)+(S508*0.05),2)</f>
        <v/>
      </c>
      <c r="U508">
        <f>IF(T508&gt;=4.25,"Critical",IF(T508&gt;=3.5,"High",IF(T508&gt;=2,"Medium","Low")))</f>
        <v/>
      </c>
      <c r="V508" t="inlineStr">
        <is>
          <t>Pending Review</t>
        </is>
      </c>
      <c r="W508" t="inlineStr"/>
      <c r="X508" t="inlineStr"/>
      <c r="Y508" t="inlineStr">
        <is>
          <t>Auto-enabled — no action required</t>
        </is>
      </c>
      <c r="Z508" t="inlineStr">
        <is>
          <t>N</t>
        </is>
      </c>
      <c r="AA508" t="inlineStr">
        <is>
          <t>N</t>
        </is>
      </c>
    </row>
    <row r="509">
      <c r="A509" t="inlineStr">
        <is>
          <t>ASMT_IMP_0484</t>
        </is>
      </c>
      <c r="B509" t="inlineStr">
        <is>
          <t>CLT_DFL001</t>
        </is>
      </c>
      <c r="C509" t="inlineStr">
        <is>
          <t>REL_26C</t>
        </is>
      </c>
      <c r="D509" t="inlineStr">
        <is>
          <t>CHG_IMP_0484</t>
        </is>
      </c>
      <c r="E509" t="inlineStr">
        <is>
          <t>Functional</t>
        </is>
      </c>
      <c r="F509" t="inlineStr">
        <is>
          <t>Configuration</t>
        </is>
      </c>
      <c r="G509" t="inlineStr"/>
      <c r="H509" t="inlineStr">
        <is>
          <t>DFL Order Management impacted by Oracle 26C change</t>
        </is>
      </c>
      <c r="I509" t="inlineStr">
        <is>
          <t>Y</t>
        </is>
      </c>
      <c r="J509" t="inlineStr">
        <is>
          <t>N</t>
        </is>
      </c>
      <c r="K509" t="inlineStr">
        <is>
          <t>N</t>
        </is>
      </c>
      <c r="L509" t="inlineStr">
        <is>
          <t>N</t>
        </is>
      </c>
      <c r="M509" t="n">
        <v>3</v>
      </c>
      <c r="N509" t="n">
        <v>2</v>
      </c>
      <c r="O509" t="n">
        <v>4</v>
      </c>
      <c r="P509" t="n">
        <v>1</v>
      </c>
      <c r="Q509" t="n">
        <v>3</v>
      </c>
      <c r="R509">
        <f>IFERROR(XLOOKUP(XLOOKUP(D509,tblReleaseChanges[Change_ID],tblReleaseChanges[Oracle_Severity],""),tblSeverityMap[Severity_Text],tblSeverityMap[Score],0),0)</f>
        <v/>
      </c>
      <c r="S509" t="n">
        <v>2</v>
      </c>
      <c r="T509">
        <f>ROUND((M509*0.25)+(N509*0.20)+(O509*0.15)+(P509*0.15)+(Q509*0.10)+(R509*0.10)+(S509*0.05),2)</f>
        <v/>
      </c>
      <c r="U509">
        <f>IF(T509&gt;=4.25,"Critical",IF(T509&gt;=3.5,"High",IF(T509&gt;=2,"Medium","Low")))</f>
        <v/>
      </c>
      <c r="V509" t="inlineStr">
        <is>
          <t>Pending Review</t>
        </is>
      </c>
      <c r="W509" t="inlineStr"/>
      <c r="X509" t="inlineStr"/>
      <c r="Y509" t="inlineStr">
        <is>
          <t>Action type: Steps to Enable. You can access this functionality by enabling the feature **Simplify Configuration and Processing for B2B Messaging**. Perform the following high-level tasks to set up yo</t>
        </is>
      </c>
      <c r="Z509" t="inlineStr">
        <is>
          <t>Y</t>
        </is>
      </c>
      <c r="AA509" t="inlineStr">
        <is>
          <t>N</t>
        </is>
      </c>
    </row>
    <row r="510">
      <c r="A510" t="inlineStr">
        <is>
          <t>ASMT_IMP_0485</t>
        </is>
      </c>
      <c r="B510" t="inlineStr">
        <is>
          <t>CLT_DFL001</t>
        </is>
      </c>
      <c r="C510" t="inlineStr">
        <is>
          <t>REL_26C</t>
        </is>
      </c>
      <c r="D510" t="inlineStr">
        <is>
          <t>CHG_IMP_0485</t>
        </is>
      </c>
      <c r="E510" t="inlineStr">
        <is>
          <t>AI Feature</t>
        </is>
      </c>
      <c r="F510" t="inlineStr">
        <is>
          <t>Configuration</t>
        </is>
      </c>
      <c r="G510" t="inlineStr"/>
      <c r="H510" t="inlineStr">
        <is>
          <t>DFL Procurement impacted by Oracle 26C change</t>
        </is>
      </c>
      <c r="I510" t="inlineStr">
        <is>
          <t>Y</t>
        </is>
      </c>
      <c r="J510" t="inlineStr">
        <is>
          <t>N</t>
        </is>
      </c>
      <c r="K510" t="inlineStr">
        <is>
          <t>N</t>
        </is>
      </c>
      <c r="L510" t="inlineStr">
        <is>
          <t>N</t>
        </is>
      </c>
      <c r="M510" t="n">
        <v>4</v>
      </c>
      <c r="N510" t="n">
        <v>2</v>
      </c>
      <c r="O510" t="n">
        <v>4</v>
      </c>
      <c r="P510" t="n">
        <v>3</v>
      </c>
      <c r="Q510" t="n">
        <v>3</v>
      </c>
      <c r="R510">
        <f>IFERROR(XLOOKUP(XLOOKUP(D510,tblReleaseChanges[Change_ID],tblReleaseChanges[Oracle_Severity],""),tblSeverityMap[Severity_Text],tblSeverityMap[Score],0),0)</f>
        <v/>
      </c>
      <c r="S510" t="n">
        <v>3</v>
      </c>
      <c r="T510">
        <f>ROUND((M510*0.25)+(N510*0.20)+(O510*0.15)+(P510*0.15)+(Q510*0.10)+(R510*0.10)+(S510*0.05),2)</f>
        <v/>
      </c>
      <c r="U510">
        <f>IF(T510&gt;=4.25,"Critical",IF(T510&gt;=3.5,"High",IF(T510&gt;=2,"Medium","Low")))</f>
        <v/>
      </c>
      <c r="V510" t="inlineStr">
        <is>
          <t>Pending Review</t>
        </is>
      </c>
      <c r="W510" t="inlineStr"/>
      <c r="X510" t="inlineStr"/>
      <c r="Y510" t="inlineStr">
        <is>
          <t>Action type: Steps to Enable. To use this feature, you must enable this profile option: • Redwood Pages for Sourcing Enabled (ORA_PON_SOURCING_REDWOOD_ENABLED), if not already enabled. For instruction</t>
        </is>
      </c>
      <c r="Z510" t="inlineStr">
        <is>
          <t>Y</t>
        </is>
      </c>
      <c r="AA510" t="inlineStr">
        <is>
          <t>Y</t>
        </is>
      </c>
    </row>
    <row r="511">
      <c r="A511" t="inlineStr">
        <is>
          <t>ASMT_IMP_0486</t>
        </is>
      </c>
      <c r="B511" t="inlineStr">
        <is>
          <t>CLT_DFL001</t>
        </is>
      </c>
      <c r="C511" t="inlineStr">
        <is>
          <t>REL_26C</t>
        </is>
      </c>
      <c r="D511" t="inlineStr">
        <is>
          <t>CHG_IMP_0486</t>
        </is>
      </c>
      <c r="E511" t="inlineStr">
        <is>
          <t>AI Feature</t>
        </is>
      </c>
      <c r="F511" t="inlineStr">
        <is>
          <t>Configuration</t>
        </is>
      </c>
      <c r="G511" t="inlineStr"/>
      <c r="H511" t="inlineStr">
        <is>
          <t>DFL Procurement impacted by Oracle 26C change</t>
        </is>
      </c>
      <c r="I511" t="inlineStr">
        <is>
          <t>Y</t>
        </is>
      </c>
      <c r="J511" t="inlineStr">
        <is>
          <t>N</t>
        </is>
      </c>
      <c r="K511" t="inlineStr">
        <is>
          <t>N</t>
        </is>
      </c>
      <c r="L511" t="inlineStr">
        <is>
          <t>N</t>
        </is>
      </c>
      <c r="M511" t="n">
        <v>4</v>
      </c>
      <c r="N511" t="n">
        <v>2</v>
      </c>
      <c r="O511" t="n">
        <v>4</v>
      </c>
      <c r="P511" t="n">
        <v>3</v>
      </c>
      <c r="Q511" t="n">
        <v>3</v>
      </c>
      <c r="R511">
        <f>IFERROR(XLOOKUP(XLOOKUP(D511,tblReleaseChanges[Change_ID],tblReleaseChanges[Oracle_Severity],""),tblSeverityMap[Severity_Text],tblSeverityMap[Score],0),0)</f>
        <v/>
      </c>
      <c r="S511" t="n">
        <v>3</v>
      </c>
      <c r="T511">
        <f>ROUND((M511*0.25)+(N511*0.20)+(O511*0.15)+(P511*0.15)+(Q511*0.10)+(R511*0.10)+(S511*0.05),2)</f>
        <v/>
      </c>
      <c r="U511">
        <f>IF(T511&gt;=4.25,"Critical",IF(T511&gt;=3.5,"High",IF(T511&gt;=2,"Medium","Low")))</f>
        <v/>
      </c>
      <c r="V511" t="inlineStr">
        <is>
          <t>Pending Review</t>
        </is>
      </c>
      <c r="W511" t="inlineStr"/>
      <c r="X511" t="inlineStr"/>
      <c r="Y511" t="inlineStr">
        <is>
          <t>Action type: Steps to Enable. Use the Opt In UI to enable this feature. For instructions, refer to the Optional Uptake of New Features section of this document. Offering: *Procurement* Fo</t>
        </is>
      </c>
      <c r="Z511" t="inlineStr">
        <is>
          <t>Y</t>
        </is>
      </c>
      <c r="AA511" t="inlineStr">
        <is>
          <t>Y</t>
        </is>
      </c>
    </row>
    <row r="512">
      <c r="A512" t="inlineStr">
        <is>
          <t>ASMT_IMP_0487</t>
        </is>
      </c>
      <c r="B512" t="inlineStr">
        <is>
          <t>CLT_DFL001</t>
        </is>
      </c>
      <c r="C512" t="inlineStr">
        <is>
          <t>REL_26C</t>
        </is>
      </c>
      <c r="D512" t="inlineStr">
        <is>
          <t>CHG_IMP_0487</t>
        </is>
      </c>
      <c r="E512" t="inlineStr">
        <is>
          <t>AI Feature</t>
        </is>
      </c>
      <c r="F512" t="inlineStr">
        <is>
          <t>Configuration</t>
        </is>
      </c>
      <c r="G512" t="inlineStr"/>
      <c r="H512" t="inlineStr">
        <is>
          <t>DFL Procurement impacted by Oracle 26C change</t>
        </is>
      </c>
      <c r="I512" t="inlineStr">
        <is>
          <t>Y</t>
        </is>
      </c>
      <c r="J512" t="inlineStr">
        <is>
          <t>N</t>
        </is>
      </c>
      <c r="K512" t="inlineStr">
        <is>
          <t>N</t>
        </is>
      </c>
      <c r="L512" t="inlineStr">
        <is>
          <t>N</t>
        </is>
      </c>
      <c r="M512" t="n">
        <v>4</v>
      </c>
      <c r="N512" t="n">
        <v>2</v>
      </c>
      <c r="O512" t="n">
        <v>4</v>
      </c>
      <c r="P512" t="n">
        <v>3</v>
      </c>
      <c r="Q512" t="n">
        <v>3</v>
      </c>
      <c r="R512">
        <f>IFERROR(XLOOKUP(XLOOKUP(D512,tblReleaseChanges[Change_ID],tblReleaseChanges[Oracle_Severity],""),tblSeverityMap[Severity_Text],tblSeverityMap[Score],0),0)</f>
        <v/>
      </c>
      <c r="S512" t="n">
        <v>3</v>
      </c>
      <c r="T512">
        <f>ROUND((M512*0.25)+(N512*0.20)+(O512*0.15)+(P512*0.15)+(Q512*0.10)+(R512*0.10)+(S512*0.05),2)</f>
        <v/>
      </c>
      <c r="U512">
        <f>IF(T512&gt;=4.25,"Critical",IF(T512&gt;=3.5,"High",IF(T512&gt;=2,"Medium","Low")))</f>
        <v/>
      </c>
      <c r="V512" t="inlineStr">
        <is>
          <t>Pending Review</t>
        </is>
      </c>
      <c r="W512" t="inlineStr"/>
      <c r="X512" t="inlineStr"/>
      <c r="Y512" t="inlineStr">
        <is>
          <t>Action type: Steps to Enable. To use this feature, you must 1. Enable the following profile option: Supplier Qualification Workspace Application (ORA_POQ_SUPPLIER_QUALIFICATION_AGENTIC_APP_ENABLED) Fo</t>
        </is>
      </c>
      <c r="Z512" t="inlineStr">
        <is>
          <t>Y</t>
        </is>
      </c>
      <c r="AA512" t="inlineStr">
        <is>
          <t>Y</t>
        </is>
      </c>
    </row>
    <row r="513">
      <c r="A513" t="inlineStr">
        <is>
          <t>ASMT_IMP_0488</t>
        </is>
      </c>
      <c r="B513" t="inlineStr">
        <is>
          <t>CLT_DFL001</t>
        </is>
      </c>
      <c r="C513" t="inlineStr">
        <is>
          <t>REL_26C</t>
        </is>
      </c>
      <c r="D513" t="inlineStr">
        <is>
          <t>CHG_IMP_0488</t>
        </is>
      </c>
      <c r="E513" t="inlineStr">
        <is>
          <t>AI Feature</t>
        </is>
      </c>
      <c r="F513" t="inlineStr">
        <is>
          <t>Configuration</t>
        </is>
      </c>
      <c r="G513" t="inlineStr"/>
      <c r="H513" t="inlineStr">
        <is>
          <t>DFL Procurement impacted by Oracle 26C change</t>
        </is>
      </c>
      <c r="I513" t="inlineStr">
        <is>
          <t>Y</t>
        </is>
      </c>
      <c r="J513" t="inlineStr">
        <is>
          <t>N</t>
        </is>
      </c>
      <c r="K513" t="inlineStr">
        <is>
          <t>N</t>
        </is>
      </c>
      <c r="L513" t="inlineStr">
        <is>
          <t>N</t>
        </is>
      </c>
      <c r="M513" t="n">
        <v>4</v>
      </c>
      <c r="N513" t="n">
        <v>2</v>
      </c>
      <c r="O513" t="n">
        <v>4</v>
      </c>
      <c r="P513" t="n">
        <v>3</v>
      </c>
      <c r="Q513" t="n">
        <v>3</v>
      </c>
      <c r="R513">
        <f>IFERROR(XLOOKUP(XLOOKUP(D513,tblReleaseChanges[Change_ID],tblReleaseChanges[Oracle_Severity],""),tblSeverityMap[Severity_Text],tblSeverityMap[Score],0),0)</f>
        <v/>
      </c>
      <c r="S513" t="n">
        <v>3</v>
      </c>
      <c r="T513">
        <f>ROUND((M513*0.25)+(N513*0.20)+(O513*0.15)+(P513*0.15)+(Q513*0.10)+(R513*0.10)+(S513*0.05),2)</f>
        <v/>
      </c>
      <c r="U513">
        <f>IF(T513&gt;=4.25,"Critical",IF(T513&gt;=3.5,"High",IF(T513&gt;=2,"Medium","Low")))</f>
        <v/>
      </c>
      <c r="V513" t="inlineStr">
        <is>
          <t>Pending Review</t>
        </is>
      </c>
      <c r="W513" t="inlineStr"/>
      <c r="X513" t="inlineStr"/>
      <c r="Y513" t="inlineStr">
        <is>
          <t>Action type: Steps to Enable. Refer 'Author Contract Terms with AI Powered Word Add-in' section of Enterprise Contracts user guide under Oracle Fusion Cloud Sales Automation for setup details.</t>
        </is>
      </c>
      <c r="Z513" t="inlineStr">
        <is>
          <t>Y</t>
        </is>
      </c>
      <c r="AA513" t="inlineStr">
        <is>
          <t>Y</t>
        </is>
      </c>
    </row>
    <row r="514">
      <c r="A514" t="inlineStr">
        <is>
          <t>ASMT_IMP_0489</t>
        </is>
      </c>
      <c r="B514" t="inlineStr">
        <is>
          <t>CLT_DFL001</t>
        </is>
      </c>
      <c r="C514" t="inlineStr">
        <is>
          <t>REL_26C</t>
        </is>
      </c>
      <c r="D514" t="inlineStr">
        <is>
          <t>CHG_IMP_0489</t>
        </is>
      </c>
      <c r="E514" t="inlineStr">
        <is>
          <t>Functional</t>
        </is>
      </c>
      <c r="F514" t="inlineStr">
        <is>
          <t>Configuration</t>
        </is>
      </c>
      <c r="G514" t="inlineStr"/>
      <c r="H514" t="inlineStr">
        <is>
          <t>DFL Procurement impacted by Oracle 26C change</t>
        </is>
      </c>
      <c r="I514" t="inlineStr">
        <is>
          <t>Y</t>
        </is>
      </c>
      <c r="J514" t="inlineStr">
        <is>
          <t>N</t>
        </is>
      </c>
      <c r="K514" t="inlineStr">
        <is>
          <t>N</t>
        </is>
      </c>
      <c r="L514" t="inlineStr">
        <is>
          <t>N</t>
        </is>
      </c>
      <c r="M514" t="n">
        <v>4</v>
      </c>
      <c r="N514" t="n">
        <v>2</v>
      </c>
      <c r="O514" t="n">
        <v>4</v>
      </c>
      <c r="P514" t="n">
        <v>1</v>
      </c>
      <c r="Q514" t="n">
        <v>3</v>
      </c>
      <c r="R514">
        <f>IFERROR(XLOOKUP(XLOOKUP(D514,tblReleaseChanges[Change_ID],tblReleaseChanges[Oracle_Severity],""),tblSeverityMap[Severity_Text],tblSeverityMap[Score],0),0)</f>
        <v/>
      </c>
      <c r="S514" t="n">
        <v>1</v>
      </c>
      <c r="T514">
        <f>ROUND((M514*0.25)+(N514*0.20)+(O514*0.15)+(P514*0.15)+(Q514*0.10)+(R514*0.10)+(S514*0.05),2)</f>
        <v/>
      </c>
      <c r="U514">
        <f>IF(T514&gt;=4.25,"Critical",IF(T514&gt;=3.5,"High",IF(T514&gt;=2,"Medium","Low")))</f>
        <v/>
      </c>
      <c r="V514" t="inlineStr">
        <is>
          <t>Pending Review</t>
        </is>
      </c>
      <c r="W514" t="inlineStr"/>
      <c r="X514" t="inlineStr"/>
      <c r="Y514" t="inlineStr">
        <is>
          <t>Auto-enabled — no action required</t>
        </is>
      </c>
      <c r="Z514" t="inlineStr">
        <is>
          <t>N</t>
        </is>
      </c>
      <c r="AA514" t="inlineStr">
        <is>
          <t>N</t>
        </is>
      </c>
    </row>
    <row r="515">
      <c r="A515" t="inlineStr">
        <is>
          <t>ASMT_IMP_0490</t>
        </is>
      </c>
      <c r="B515" t="inlineStr">
        <is>
          <t>CLT_DFL001</t>
        </is>
      </c>
      <c r="C515" t="inlineStr">
        <is>
          <t>REL_26C</t>
        </is>
      </c>
      <c r="D515" t="inlineStr">
        <is>
          <t>CHG_IMP_0490</t>
        </is>
      </c>
      <c r="E515" t="inlineStr">
        <is>
          <t>Functional</t>
        </is>
      </c>
      <c r="F515" t="inlineStr">
        <is>
          <t>Configuration</t>
        </is>
      </c>
      <c r="G515" t="inlineStr"/>
      <c r="H515" t="inlineStr">
        <is>
          <t>DFL Procurement impacted by Oracle 26C change</t>
        </is>
      </c>
      <c r="I515" t="inlineStr">
        <is>
          <t>Y</t>
        </is>
      </c>
      <c r="J515" t="inlineStr">
        <is>
          <t>N</t>
        </is>
      </c>
      <c r="K515" t="inlineStr">
        <is>
          <t>N</t>
        </is>
      </c>
      <c r="L515" t="inlineStr">
        <is>
          <t>N</t>
        </is>
      </c>
      <c r="M515" t="n">
        <v>4</v>
      </c>
      <c r="N515" t="n">
        <v>2</v>
      </c>
      <c r="O515" t="n">
        <v>4</v>
      </c>
      <c r="P515" t="n">
        <v>1</v>
      </c>
      <c r="Q515" t="n">
        <v>3</v>
      </c>
      <c r="R515">
        <f>IFERROR(XLOOKUP(XLOOKUP(D515,tblReleaseChanges[Change_ID],tblReleaseChanges[Oracle_Severity],""),tblSeverityMap[Severity_Text],tblSeverityMap[Score],0),0)</f>
        <v/>
      </c>
      <c r="S515" t="n">
        <v>3</v>
      </c>
      <c r="T515">
        <f>ROUND((M515*0.25)+(N515*0.20)+(O515*0.15)+(P515*0.15)+(Q515*0.10)+(R515*0.10)+(S515*0.05),2)</f>
        <v/>
      </c>
      <c r="U515">
        <f>IF(T515&gt;=4.25,"Critical",IF(T515&gt;=3.5,"High",IF(T515&gt;=2,"Medium","Low")))</f>
        <v/>
      </c>
      <c r="V515" t="inlineStr">
        <is>
          <t>Pending Review</t>
        </is>
      </c>
      <c r="W515" t="inlineStr"/>
      <c r="X515" t="inlineStr"/>
      <c r="Y515" t="inlineStr">
        <is>
          <t>Action type: Steps to Enable. **Step 1:** **Configure the Microsoft Azure Application** **Register the Application** As an Azure administrator, sign in to the Microsoft Entra admin center: https://ent</t>
        </is>
      </c>
      <c r="Z515" t="inlineStr">
        <is>
          <t>Y</t>
        </is>
      </c>
      <c r="AA515" t="inlineStr">
        <is>
          <t>Y</t>
        </is>
      </c>
    </row>
    <row r="516">
      <c r="A516" t="inlineStr">
        <is>
          <t>ASMT_IMP_0491</t>
        </is>
      </c>
      <c r="B516" t="inlineStr">
        <is>
          <t>CLT_DFL001</t>
        </is>
      </c>
      <c r="C516" t="inlineStr">
        <is>
          <t>REL_26C</t>
        </is>
      </c>
      <c r="D516" t="inlineStr">
        <is>
          <t>CHG_IMP_0491</t>
        </is>
      </c>
      <c r="E516" t="inlineStr">
        <is>
          <t>Functional</t>
        </is>
      </c>
      <c r="F516" t="inlineStr">
        <is>
          <t>Configuration</t>
        </is>
      </c>
      <c r="G516" t="inlineStr"/>
      <c r="H516" t="inlineStr">
        <is>
          <t>DFL Procurement impacted by Oracle 26C change</t>
        </is>
      </c>
      <c r="I516" t="inlineStr">
        <is>
          <t>Y</t>
        </is>
      </c>
      <c r="J516" t="inlineStr">
        <is>
          <t>N</t>
        </is>
      </c>
      <c r="K516" t="inlineStr">
        <is>
          <t>N</t>
        </is>
      </c>
      <c r="L516" t="inlineStr">
        <is>
          <t>N</t>
        </is>
      </c>
      <c r="M516" t="n">
        <v>4</v>
      </c>
      <c r="N516" t="n">
        <v>2</v>
      </c>
      <c r="O516" t="n">
        <v>4</v>
      </c>
      <c r="P516" t="n">
        <v>1</v>
      </c>
      <c r="Q516" t="n">
        <v>3</v>
      </c>
      <c r="R516">
        <f>IFERROR(XLOOKUP(XLOOKUP(D516,tblReleaseChanges[Change_ID],tblReleaseChanges[Oracle_Severity],""),tblSeverityMap[Severity_Text],tblSeverityMap[Score],0),0)</f>
        <v/>
      </c>
      <c r="S516" t="n">
        <v>3</v>
      </c>
      <c r="T516">
        <f>ROUND((M516*0.25)+(N516*0.20)+(O516*0.15)+(P516*0.15)+(Q516*0.10)+(R516*0.10)+(S516*0.05),2)</f>
        <v/>
      </c>
      <c r="U516">
        <f>IF(T516&gt;=4.25,"Critical",IF(T516&gt;=3.5,"High",IF(T516&gt;=2,"Medium","Low")))</f>
        <v/>
      </c>
      <c r="V516" t="inlineStr">
        <is>
          <t>Pending Review</t>
        </is>
      </c>
      <c r="W516" t="inlineStr"/>
      <c r="X516" t="inlineStr"/>
      <c r="Y516" t="inlineStr">
        <is>
          <t xml:space="preserve">Action type: Steps to Enable. **Manage Contract Type** Enable the contract type for Contract Compliance Workspace agentic app from the Manage Contract Type UI. Contract Type **Contract Playbook** For </t>
        </is>
      </c>
      <c r="Z516" t="inlineStr">
        <is>
          <t>Y</t>
        </is>
      </c>
      <c r="AA516" t="inlineStr">
        <is>
          <t>Y</t>
        </is>
      </c>
    </row>
    <row r="517">
      <c r="A517" t="inlineStr">
        <is>
          <t>ASMT_IMP_0492</t>
        </is>
      </c>
      <c r="B517" t="inlineStr">
        <is>
          <t>CLT_DFL001</t>
        </is>
      </c>
      <c r="C517" t="inlineStr">
        <is>
          <t>REL_26C</t>
        </is>
      </c>
      <c r="D517" t="inlineStr">
        <is>
          <t>CHG_IMP_0492</t>
        </is>
      </c>
      <c r="E517" t="inlineStr">
        <is>
          <t>Functional</t>
        </is>
      </c>
      <c r="F517" t="inlineStr">
        <is>
          <t>Configuration</t>
        </is>
      </c>
      <c r="G517" t="inlineStr"/>
      <c r="H517" t="inlineStr">
        <is>
          <t>DFL Procurement impacted by Oracle 26C change</t>
        </is>
      </c>
      <c r="I517" t="inlineStr">
        <is>
          <t>Y</t>
        </is>
      </c>
      <c r="J517" t="inlineStr">
        <is>
          <t>N</t>
        </is>
      </c>
      <c r="K517" t="inlineStr">
        <is>
          <t>N</t>
        </is>
      </c>
      <c r="L517" t="inlineStr">
        <is>
          <t>N</t>
        </is>
      </c>
      <c r="M517" t="n">
        <v>4</v>
      </c>
      <c r="N517" t="n">
        <v>2</v>
      </c>
      <c r="O517" t="n">
        <v>4</v>
      </c>
      <c r="P517" t="n">
        <v>1</v>
      </c>
      <c r="Q517" t="n">
        <v>3</v>
      </c>
      <c r="R517">
        <f>IFERROR(XLOOKUP(XLOOKUP(D517,tblReleaseChanges[Change_ID],tblReleaseChanges[Oracle_Severity],""),tblSeverityMap[Severity_Text],tblSeverityMap[Score],0),0)</f>
        <v/>
      </c>
      <c r="S517" t="n">
        <v>1</v>
      </c>
      <c r="T517">
        <f>ROUND((M517*0.25)+(N517*0.20)+(O517*0.15)+(P517*0.15)+(Q517*0.10)+(R517*0.10)+(S517*0.05),2)</f>
        <v/>
      </c>
      <c r="U517">
        <f>IF(T517&gt;=4.25,"Critical",IF(T517&gt;=3.5,"High",IF(T517&gt;=2,"Medium","Low")))</f>
        <v/>
      </c>
      <c r="V517" t="inlineStr">
        <is>
          <t>Pending Review</t>
        </is>
      </c>
      <c r="W517" t="inlineStr"/>
      <c r="X517" t="inlineStr"/>
      <c r="Y517" t="inlineStr">
        <is>
          <t>Auto-enabled — no action required</t>
        </is>
      </c>
      <c r="Z517" t="inlineStr">
        <is>
          <t>N</t>
        </is>
      </c>
      <c r="AA517" t="inlineStr">
        <is>
          <t>N</t>
        </is>
      </c>
    </row>
    <row r="518">
      <c r="A518" t="inlineStr">
        <is>
          <t>ASMT_IMP_0493</t>
        </is>
      </c>
      <c r="B518" t="inlineStr">
        <is>
          <t>CLT_DFL001</t>
        </is>
      </c>
      <c r="C518" t="inlineStr">
        <is>
          <t>REL_26C</t>
        </is>
      </c>
      <c r="D518" t="inlineStr">
        <is>
          <t>CHG_IMP_0493</t>
        </is>
      </c>
      <c r="E518" t="inlineStr">
        <is>
          <t>Functional</t>
        </is>
      </c>
      <c r="F518" t="inlineStr">
        <is>
          <t>Configuration</t>
        </is>
      </c>
      <c r="G518" t="inlineStr"/>
      <c r="H518" t="inlineStr">
        <is>
          <t>DFL Procurement impacted by Oracle 26C change</t>
        </is>
      </c>
      <c r="I518" t="inlineStr">
        <is>
          <t>Y</t>
        </is>
      </c>
      <c r="J518" t="inlineStr">
        <is>
          <t>N</t>
        </is>
      </c>
      <c r="K518" t="inlineStr">
        <is>
          <t>N</t>
        </is>
      </c>
      <c r="L518" t="inlineStr">
        <is>
          <t>N</t>
        </is>
      </c>
      <c r="M518" t="n">
        <v>4</v>
      </c>
      <c r="N518" t="n">
        <v>2</v>
      </c>
      <c r="O518" t="n">
        <v>4</v>
      </c>
      <c r="P518" t="n">
        <v>1</v>
      </c>
      <c r="Q518" t="n">
        <v>3</v>
      </c>
      <c r="R518">
        <f>IFERROR(XLOOKUP(XLOOKUP(D518,tblReleaseChanges[Change_ID],tblReleaseChanges[Oracle_Severity],""),tblSeverityMap[Severity_Text],tblSeverityMap[Score],0),0)</f>
        <v/>
      </c>
      <c r="S518" t="n">
        <v>1</v>
      </c>
      <c r="T518">
        <f>ROUND((M518*0.25)+(N518*0.20)+(O518*0.15)+(P518*0.15)+(Q518*0.10)+(R518*0.10)+(S518*0.05),2)</f>
        <v/>
      </c>
      <c r="U518">
        <f>IF(T518&gt;=4.25,"Critical",IF(T518&gt;=3.5,"High",IF(T518&gt;=2,"Medium","Low")))</f>
        <v/>
      </c>
      <c r="V518" t="inlineStr">
        <is>
          <t>Pending Review</t>
        </is>
      </c>
      <c r="W518" t="inlineStr"/>
      <c r="X518" t="inlineStr"/>
      <c r="Y518" t="inlineStr">
        <is>
          <t>Auto-enabled — no action required</t>
        </is>
      </c>
      <c r="Z518" t="inlineStr">
        <is>
          <t>N</t>
        </is>
      </c>
      <c r="AA518" t="inlineStr">
        <is>
          <t>N</t>
        </is>
      </c>
    </row>
    <row r="519">
      <c r="A519" t="inlineStr">
        <is>
          <t>ASMT_IMP_0494</t>
        </is>
      </c>
      <c r="B519" t="inlineStr">
        <is>
          <t>CLT_DFL001</t>
        </is>
      </c>
      <c r="C519" t="inlineStr">
        <is>
          <t>REL_26C</t>
        </is>
      </c>
      <c r="D519" t="inlineStr">
        <is>
          <t>CHG_IMP_0494</t>
        </is>
      </c>
      <c r="E519" t="inlineStr">
        <is>
          <t>AI Feature</t>
        </is>
      </c>
      <c r="F519" t="inlineStr">
        <is>
          <t>Configuration</t>
        </is>
      </c>
      <c r="G519" t="inlineStr"/>
      <c r="H519" t="inlineStr">
        <is>
          <t>DFL Procurement impacted by Oracle 26C change</t>
        </is>
      </c>
      <c r="I519" t="inlineStr">
        <is>
          <t>Y</t>
        </is>
      </c>
      <c r="J519" t="inlineStr">
        <is>
          <t>N</t>
        </is>
      </c>
      <c r="K519" t="inlineStr">
        <is>
          <t>N</t>
        </is>
      </c>
      <c r="L519" t="inlineStr">
        <is>
          <t>N</t>
        </is>
      </c>
      <c r="M519" t="n">
        <v>4</v>
      </c>
      <c r="N519" t="n">
        <v>2</v>
      </c>
      <c r="O519" t="n">
        <v>4</v>
      </c>
      <c r="P519" t="n">
        <v>3</v>
      </c>
      <c r="Q519" t="n">
        <v>3</v>
      </c>
      <c r="R519">
        <f>IFERROR(XLOOKUP(XLOOKUP(D519,tblReleaseChanges[Change_ID],tblReleaseChanges[Oracle_Severity],""),tblSeverityMap[Severity_Text],tblSeverityMap[Score],0),0)</f>
        <v/>
      </c>
      <c r="S519" t="n">
        <v>3</v>
      </c>
      <c r="T519">
        <f>ROUND((M519*0.25)+(N519*0.20)+(O519*0.15)+(P519*0.15)+(Q519*0.10)+(R519*0.10)+(S519*0.05),2)</f>
        <v/>
      </c>
      <c r="U519">
        <f>IF(T519&gt;=4.25,"Critical",IF(T519&gt;=3.5,"High",IF(T519&gt;=2,"Medium","Low")))</f>
        <v/>
      </c>
      <c r="V519" t="inlineStr">
        <is>
          <t>Pending Review</t>
        </is>
      </c>
      <c r="W519" t="inlineStr"/>
      <c r="X519" t="inlineStr"/>
      <c r="Y519" t="inlineStr">
        <is>
          <t>Action type: Steps to Enable. Use the Opt In UI to enable this feature. For instructions, refer to the Optional Uptake of New Features section of this document. Offering: *Procurement* **Set profile o</t>
        </is>
      </c>
      <c r="Z519" t="inlineStr">
        <is>
          <t>Y</t>
        </is>
      </c>
      <c r="AA519" t="inlineStr">
        <is>
          <t>Y</t>
        </is>
      </c>
    </row>
    <row r="520">
      <c r="A520" t="inlineStr">
        <is>
          <t>ASMT_IMP_0495</t>
        </is>
      </c>
      <c r="B520" t="inlineStr">
        <is>
          <t>CLT_DFL001</t>
        </is>
      </c>
      <c r="C520" t="inlineStr">
        <is>
          <t>REL_26C</t>
        </is>
      </c>
      <c r="D520" t="inlineStr">
        <is>
          <t>CHG_IMP_0495</t>
        </is>
      </c>
      <c r="E520" t="inlineStr">
        <is>
          <t>Functional</t>
        </is>
      </c>
      <c r="F520" t="inlineStr">
        <is>
          <t>Configuration</t>
        </is>
      </c>
      <c r="G520" t="inlineStr"/>
      <c r="H520" t="inlineStr">
        <is>
          <t>DFL Procurement impacted by Oracle 26C change</t>
        </is>
      </c>
      <c r="I520" t="inlineStr">
        <is>
          <t>Y</t>
        </is>
      </c>
      <c r="J520" t="inlineStr">
        <is>
          <t>N</t>
        </is>
      </c>
      <c r="K520" t="inlineStr">
        <is>
          <t>N</t>
        </is>
      </c>
      <c r="L520" t="inlineStr">
        <is>
          <t>N</t>
        </is>
      </c>
      <c r="M520" t="n">
        <v>4</v>
      </c>
      <c r="N520" t="n">
        <v>2</v>
      </c>
      <c r="O520" t="n">
        <v>4</v>
      </c>
      <c r="P520" t="n">
        <v>1</v>
      </c>
      <c r="Q520" t="n">
        <v>3</v>
      </c>
      <c r="R520">
        <f>IFERROR(XLOOKUP(XLOOKUP(D520,tblReleaseChanges[Change_ID],tblReleaseChanges[Oracle_Severity],""),tblSeverityMap[Severity_Text],tblSeverityMap[Score],0),0)</f>
        <v/>
      </c>
      <c r="S520" t="n">
        <v>3</v>
      </c>
      <c r="T520">
        <f>ROUND((M520*0.25)+(N520*0.20)+(O520*0.15)+(P520*0.15)+(Q520*0.10)+(R520*0.10)+(S520*0.05),2)</f>
        <v/>
      </c>
      <c r="U520">
        <f>IF(T520&gt;=4.25,"Critical",IF(T520&gt;=3.5,"High",IF(T520&gt;=2,"Medium","Low")))</f>
        <v/>
      </c>
      <c r="V520" t="inlineStr">
        <is>
          <t>Pending Review</t>
        </is>
      </c>
      <c r="W520" t="inlineStr"/>
      <c r="X520" t="inlineStr"/>
      <c r="Y520" t="inlineStr">
        <is>
          <t>Action type: Steps to Enable. Review the REST service definition in the REST API guides to leverage (available from the Oracle Help Center &gt; *your apps service area of interest* &gt; APIs &amp; Schema). If y</t>
        </is>
      </c>
      <c r="Z520" t="inlineStr">
        <is>
          <t>Y</t>
        </is>
      </c>
      <c r="AA520" t="inlineStr">
        <is>
          <t>Y</t>
        </is>
      </c>
    </row>
    <row r="521">
      <c r="A521" t="inlineStr">
        <is>
          <t>ASMT_IMP_0496</t>
        </is>
      </c>
      <c r="B521" t="inlineStr">
        <is>
          <t>CLT_DFL001</t>
        </is>
      </c>
      <c r="C521" t="inlineStr">
        <is>
          <t>REL_26C</t>
        </is>
      </c>
      <c r="D521" t="inlineStr">
        <is>
          <t>CHG_IMP_0496</t>
        </is>
      </c>
      <c r="E521" t="inlineStr">
        <is>
          <t>Functional</t>
        </is>
      </c>
      <c r="F521" t="inlineStr">
        <is>
          <t>Configuration</t>
        </is>
      </c>
      <c r="G521" t="inlineStr"/>
      <c r="H521" t="inlineStr">
        <is>
          <t>DFL Procurement impacted by Oracle 26C change</t>
        </is>
      </c>
      <c r="I521" t="inlineStr">
        <is>
          <t>Y</t>
        </is>
      </c>
      <c r="J521" t="inlineStr">
        <is>
          <t>N</t>
        </is>
      </c>
      <c r="K521" t="inlineStr">
        <is>
          <t>N</t>
        </is>
      </c>
      <c r="L521" t="inlineStr">
        <is>
          <t>N</t>
        </is>
      </c>
      <c r="M521" t="n">
        <v>4</v>
      </c>
      <c r="N521" t="n">
        <v>2</v>
      </c>
      <c r="O521" t="n">
        <v>4</v>
      </c>
      <c r="P521" t="n">
        <v>1</v>
      </c>
      <c r="Q521" t="n">
        <v>3</v>
      </c>
      <c r="R521">
        <f>IFERROR(XLOOKUP(XLOOKUP(D521,tblReleaseChanges[Change_ID],tblReleaseChanges[Oracle_Severity],""),tblSeverityMap[Severity_Text],tblSeverityMap[Score],0),0)</f>
        <v/>
      </c>
      <c r="S521" t="n">
        <v>3</v>
      </c>
      <c r="T521">
        <f>ROUND((M521*0.25)+(N521*0.20)+(O521*0.15)+(P521*0.15)+(Q521*0.10)+(R521*0.10)+(S521*0.05),2)</f>
        <v/>
      </c>
      <c r="U521">
        <f>IF(T521&gt;=4.25,"Critical",IF(T521&gt;=3.5,"High",IF(T521&gt;=2,"Medium","Low")))</f>
        <v/>
      </c>
      <c r="V521" t="inlineStr">
        <is>
          <t>Pending Review</t>
        </is>
      </c>
      <c r="W521" t="inlineStr"/>
      <c r="X521" t="inlineStr"/>
      <c r="Y521" t="inlineStr">
        <is>
          <t>Action type: Steps to Enable. Here's how you can clean up accumulated files: 1. From the **Scheduled Processes** area, schedule the **Run Data Lifecycle Process for Collabo</t>
        </is>
      </c>
      <c r="Z521" t="inlineStr">
        <is>
          <t>Y</t>
        </is>
      </c>
      <c r="AA521" t="inlineStr">
        <is>
          <t>Y</t>
        </is>
      </c>
    </row>
    <row r="522">
      <c r="A522" t="inlineStr">
        <is>
          <t>ASMT_IMP_0497</t>
        </is>
      </c>
      <c r="B522" t="inlineStr">
        <is>
          <t>CLT_DFL001</t>
        </is>
      </c>
      <c r="C522" t="inlineStr">
        <is>
          <t>REL_26C</t>
        </is>
      </c>
      <c r="D522" t="inlineStr">
        <is>
          <t>CHG_IMP_0497</t>
        </is>
      </c>
      <c r="E522" t="inlineStr">
        <is>
          <t>Functional</t>
        </is>
      </c>
      <c r="F522" t="inlineStr">
        <is>
          <t>Configuration</t>
        </is>
      </c>
      <c r="G522" t="inlineStr"/>
      <c r="H522" t="inlineStr">
        <is>
          <t>DFL Procurement impacted by Oracle 26C change</t>
        </is>
      </c>
      <c r="I522" t="inlineStr">
        <is>
          <t>Y</t>
        </is>
      </c>
      <c r="J522" t="inlineStr">
        <is>
          <t>N</t>
        </is>
      </c>
      <c r="K522" t="inlineStr">
        <is>
          <t>N</t>
        </is>
      </c>
      <c r="L522" t="inlineStr">
        <is>
          <t>N</t>
        </is>
      </c>
      <c r="M522" t="n">
        <v>4</v>
      </c>
      <c r="N522" t="n">
        <v>2</v>
      </c>
      <c r="O522" t="n">
        <v>4</v>
      </c>
      <c r="P522" t="n">
        <v>1</v>
      </c>
      <c r="Q522" t="n">
        <v>3</v>
      </c>
      <c r="R522">
        <f>IFERROR(XLOOKUP(XLOOKUP(D522,tblReleaseChanges[Change_ID],tblReleaseChanges[Oracle_Severity],""),tblSeverityMap[Severity_Text],tblSeverityMap[Score],0),0)</f>
        <v/>
      </c>
      <c r="S522" t="n">
        <v>3</v>
      </c>
      <c r="T522">
        <f>ROUND((M522*0.25)+(N522*0.20)+(O522*0.15)+(P522*0.15)+(Q522*0.10)+(R522*0.10)+(S522*0.05),2)</f>
        <v/>
      </c>
      <c r="U522">
        <f>IF(T522&gt;=4.25,"Critical",IF(T522&gt;=3.5,"High",IF(T522&gt;=2,"Medium","Low")))</f>
        <v/>
      </c>
      <c r="V522" t="inlineStr">
        <is>
          <t>Pending Review</t>
        </is>
      </c>
      <c r="W522" t="inlineStr"/>
      <c r="X522" t="inlineStr"/>
      <c r="Y522" t="inlineStr">
        <is>
          <t>Action type: Steps to Enable. To use this feature, you must enable the following profile options. • Redwood Supplier Qualification Page Enabled (ORA_POQ_SUPPLIER_QUALIFICATION_REDWOOD_ENABLED). Enable</t>
        </is>
      </c>
      <c r="Z522" t="inlineStr">
        <is>
          <t>Y</t>
        </is>
      </c>
      <c r="AA522" t="inlineStr">
        <is>
          <t>Y</t>
        </is>
      </c>
    </row>
    <row r="523">
      <c r="A523" t="inlineStr">
        <is>
          <t>ASMT_IMP_0498</t>
        </is>
      </c>
      <c r="B523" t="inlineStr">
        <is>
          <t>CLT_DFL001</t>
        </is>
      </c>
      <c r="C523" t="inlineStr">
        <is>
          <t>REL_26C</t>
        </is>
      </c>
      <c r="D523" t="inlineStr">
        <is>
          <t>CHG_IMP_0498</t>
        </is>
      </c>
      <c r="E523" t="inlineStr">
        <is>
          <t>Functional</t>
        </is>
      </c>
      <c r="F523" t="inlineStr">
        <is>
          <t>Configuration</t>
        </is>
      </c>
      <c r="G523" t="inlineStr"/>
      <c r="H523" t="inlineStr">
        <is>
          <t>DFL Procurement impacted by Oracle 26C change</t>
        </is>
      </c>
      <c r="I523" t="inlineStr">
        <is>
          <t>Y</t>
        </is>
      </c>
      <c r="J523" t="inlineStr">
        <is>
          <t>N</t>
        </is>
      </c>
      <c r="K523" t="inlineStr">
        <is>
          <t>N</t>
        </is>
      </c>
      <c r="L523" t="inlineStr">
        <is>
          <t>N</t>
        </is>
      </c>
      <c r="M523" t="n">
        <v>4</v>
      </c>
      <c r="N523" t="n">
        <v>2</v>
      </c>
      <c r="O523" t="n">
        <v>4</v>
      </c>
      <c r="P523" t="n">
        <v>1</v>
      </c>
      <c r="Q523" t="n">
        <v>3</v>
      </c>
      <c r="R523">
        <f>IFERROR(XLOOKUP(XLOOKUP(D523,tblReleaseChanges[Change_ID],tblReleaseChanges[Oracle_Severity],""),tblSeverityMap[Severity_Text],tblSeverityMap[Score],0),0)</f>
        <v/>
      </c>
      <c r="S523" t="n">
        <v>3</v>
      </c>
      <c r="T523">
        <f>ROUND((M523*0.25)+(N523*0.20)+(O523*0.15)+(P523*0.15)+(Q523*0.10)+(R523*0.10)+(S523*0.05),2)</f>
        <v/>
      </c>
      <c r="U523">
        <f>IF(T523&gt;=4.25,"Critical",IF(T523&gt;=3.5,"High",IF(T523&gt;=2,"Medium","Low")))</f>
        <v/>
      </c>
      <c r="V523" t="inlineStr">
        <is>
          <t>Pending Review</t>
        </is>
      </c>
      <c r="W523" t="inlineStr"/>
      <c r="X523" t="inlineStr"/>
      <c r="Y523" t="inlineStr">
        <is>
          <t xml:space="preserve">Action type: Steps to Enable. To use this feature, you must enable these profile options if you haven't already. • Redwood Pages for Sourcing Enabled (ORA_PON_SOURCING_REDWOOD_ENABLED) • Redwood Page </t>
        </is>
      </c>
      <c r="Z523" t="inlineStr">
        <is>
          <t>Y</t>
        </is>
      </c>
      <c r="AA523" t="inlineStr">
        <is>
          <t>Y</t>
        </is>
      </c>
    </row>
    <row r="524">
      <c r="A524" t="inlineStr">
        <is>
          <t>ASMT_IMP_0499</t>
        </is>
      </c>
      <c r="B524" t="inlineStr">
        <is>
          <t>CLT_DFL001</t>
        </is>
      </c>
      <c r="C524" t="inlineStr">
        <is>
          <t>REL_26C</t>
        </is>
      </c>
      <c r="D524" t="inlineStr">
        <is>
          <t>CHG_IMP_0499</t>
        </is>
      </c>
      <c r="E524" t="inlineStr">
        <is>
          <t>Functional</t>
        </is>
      </c>
      <c r="F524" t="inlineStr">
        <is>
          <t>Configuration</t>
        </is>
      </c>
      <c r="G524" t="inlineStr"/>
      <c r="H524" t="inlineStr">
        <is>
          <t>DFL Procurement impacted by Oracle 26C change</t>
        </is>
      </c>
      <c r="I524" t="inlineStr">
        <is>
          <t>Y</t>
        </is>
      </c>
      <c r="J524" t="inlineStr">
        <is>
          <t>N</t>
        </is>
      </c>
      <c r="K524" t="inlineStr">
        <is>
          <t>N</t>
        </is>
      </c>
      <c r="L524" t="inlineStr">
        <is>
          <t>N</t>
        </is>
      </c>
      <c r="M524" t="n">
        <v>4</v>
      </c>
      <c r="N524" t="n">
        <v>2</v>
      </c>
      <c r="O524" t="n">
        <v>4</v>
      </c>
      <c r="P524" t="n">
        <v>1</v>
      </c>
      <c r="Q524" t="n">
        <v>3</v>
      </c>
      <c r="R524">
        <f>IFERROR(XLOOKUP(XLOOKUP(D524,tblReleaseChanges[Change_ID],tblReleaseChanges[Oracle_Severity],""),tblSeverityMap[Severity_Text],tblSeverityMap[Score],0),0)</f>
        <v/>
      </c>
      <c r="S524" t="n">
        <v>3</v>
      </c>
      <c r="T524">
        <f>ROUND((M524*0.25)+(N524*0.20)+(O524*0.15)+(P524*0.15)+(Q524*0.10)+(R524*0.10)+(S524*0.05),2)</f>
        <v/>
      </c>
      <c r="U524">
        <f>IF(T524&gt;=4.25,"Critical",IF(T524&gt;=3.5,"High",IF(T524&gt;=2,"Medium","Low")))</f>
        <v/>
      </c>
      <c r="V524" t="inlineStr">
        <is>
          <t>Pending Review</t>
        </is>
      </c>
      <c r="W524" t="inlineStr"/>
      <c r="X524" t="inlineStr"/>
      <c r="Y524" t="inlineStr">
        <is>
          <t>Action type: Steps to Enable. If you haven't enabled Redwood for Purchasing, see the Getting Started with Redwood in Purchasing topic on the SCM Resource Center in Customer Connect.</t>
        </is>
      </c>
      <c r="Z524" t="inlineStr">
        <is>
          <t>Y</t>
        </is>
      </c>
      <c r="AA524" t="inlineStr">
        <is>
          <t>Y</t>
        </is>
      </c>
    </row>
    <row r="525">
      <c r="A525" t="inlineStr">
        <is>
          <t>ASMT_IMP_0500</t>
        </is>
      </c>
      <c r="B525" t="inlineStr">
        <is>
          <t>CLT_DFL001</t>
        </is>
      </c>
      <c r="C525" t="inlineStr">
        <is>
          <t>REL_26C</t>
        </is>
      </c>
      <c r="D525" t="inlineStr">
        <is>
          <t>CHG_IMP_0500</t>
        </is>
      </c>
      <c r="E525" t="inlineStr">
        <is>
          <t>Functional</t>
        </is>
      </c>
      <c r="F525" t="inlineStr">
        <is>
          <t>Configuration</t>
        </is>
      </c>
      <c r="G525" t="inlineStr"/>
      <c r="H525" t="inlineStr">
        <is>
          <t>DFL Procurement impacted by Oracle 26C change</t>
        </is>
      </c>
      <c r="I525" t="inlineStr">
        <is>
          <t>Y</t>
        </is>
      </c>
      <c r="J525" t="inlineStr">
        <is>
          <t>N</t>
        </is>
      </c>
      <c r="K525" t="inlineStr">
        <is>
          <t>N</t>
        </is>
      </c>
      <c r="L525" t="inlineStr">
        <is>
          <t>N</t>
        </is>
      </c>
      <c r="M525" t="n">
        <v>4</v>
      </c>
      <c r="N525" t="n">
        <v>2</v>
      </c>
      <c r="O525" t="n">
        <v>4</v>
      </c>
      <c r="P525" t="n">
        <v>1</v>
      </c>
      <c r="Q525" t="n">
        <v>3</v>
      </c>
      <c r="R525">
        <f>IFERROR(XLOOKUP(XLOOKUP(D525,tblReleaseChanges[Change_ID],tblReleaseChanges[Oracle_Severity],""),tblSeverityMap[Severity_Text],tblSeverityMap[Score],0),0)</f>
        <v/>
      </c>
      <c r="S525" t="n">
        <v>3</v>
      </c>
      <c r="T525">
        <f>ROUND((M525*0.25)+(N525*0.20)+(O525*0.15)+(P525*0.15)+(Q525*0.10)+(R525*0.10)+(S525*0.05),2)</f>
        <v/>
      </c>
      <c r="U525">
        <f>IF(T525&gt;=4.25,"Critical",IF(T525&gt;=3.5,"High",IF(T525&gt;=2,"Medium","Low")))</f>
        <v/>
      </c>
      <c r="V525" t="inlineStr">
        <is>
          <t>Pending Review</t>
        </is>
      </c>
      <c r="W525" t="inlineStr"/>
      <c r="X525" t="inlineStr"/>
      <c r="Y525" t="inlineStr">
        <is>
          <t>Action type: Steps to Enable. If you haven't enabled Redwood for Purchasing, see the Getting Started with Redwood in Purchasing topic on the SCM Resource Center in Customer Connect.</t>
        </is>
      </c>
      <c r="Z525" t="inlineStr">
        <is>
          <t>Y</t>
        </is>
      </c>
      <c r="AA525" t="inlineStr">
        <is>
          <t>Y</t>
        </is>
      </c>
    </row>
    <row r="526">
      <c r="A526" t="inlineStr">
        <is>
          <t>ASMT_IMP_0501</t>
        </is>
      </c>
      <c r="B526" t="inlineStr">
        <is>
          <t>CLT_DFL001</t>
        </is>
      </c>
      <c r="C526" t="inlineStr">
        <is>
          <t>REL_26C</t>
        </is>
      </c>
      <c r="D526" t="inlineStr">
        <is>
          <t>CHG_IMP_0501</t>
        </is>
      </c>
      <c r="E526" t="inlineStr">
        <is>
          <t>Functional</t>
        </is>
      </c>
      <c r="F526" t="inlineStr">
        <is>
          <t>Configuration</t>
        </is>
      </c>
      <c r="G526" t="inlineStr"/>
      <c r="H526" t="inlineStr">
        <is>
          <t>DFL Procurement impacted by Oracle 26C change</t>
        </is>
      </c>
      <c r="I526" t="inlineStr">
        <is>
          <t>Y</t>
        </is>
      </c>
      <c r="J526" t="inlineStr">
        <is>
          <t>N</t>
        </is>
      </c>
      <c r="K526" t="inlineStr">
        <is>
          <t>N</t>
        </is>
      </c>
      <c r="L526" t="inlineStr">
        <is>
          <t>N</t>
        </is>
      </c>
      <c r="M526" t="n">
        <v>4</v>
      </c>
      <c r="N526" t="n">
        <v>2</v>
      </c>
      <c r="O526" t="n">
        <v>4</v>
      </c>
      <c r="P526" t="n">
        <v>1</v>
      </c>
      <c r="Q526" t="n">
        <v>3</v>
      </c>
      <c r="R526">
        <f>IFERROR(XLOOKUP(XLOOKUP(D526,tblReleaseChanges[Change_ID],tblReleaseChanges[Oracle_Severity],""),tblSeverityMap[Severity_Text],tblSeverityMap[Score],0),0)</f>
        <v/>
      </c>
      <c r="S526" t="n">
        <v>3</v>
      </c>
      <c r="T526">
        <f>ROUND((M526*0.25)+(N526*0.20)+(O526*0.15)+(P526*0.15)+(Q526*0.10)+(R526*0.10)+(S526*0.05),2)</f>
        <v/>
      </c>
      <c r="U526">
        <f>IF(T526&gt;=4.25,"Critical",IF(T526&gt;=3.5,"High",IF(T526&gt;=2,"Medium","Low")))</f>
        <v/>
      </c>
      <c r="V526" t="inlineStr">
        <is>
          <t>Pending Review</t>
        </is>
      </c>
      <c r="W526" t="inlineStr"/>
      <c r="X526" t="inlineStr"/>
      <c r="Y526" t="inlineStr">
        <is>
          <t>Action type: Steps to Enable. Follow these steps to enable this feature: 1. In Oracle Visual Builder Business Rules, go to the layout for the supplier profile page flow you want to enable the feature:</t>
        </is>
      </c>
      <c r="Z526" t="inlineStr">
        <is>
          <t>Y</t>
        </is>
      </c>
      <c r="AA526" t="inlineStr">
        <is>
          <t>Y</t>
        </is>
      </c>
    </row>
    <row r="527">
      <c r="A527" t="inlineStr">
        <is>
          <t>ASMT_IMP_0502</t>
        </is>
      </c>
      <c r="B527" t="inlineStr">
        <is>
          <t>CLT_DFL001</t>
        </is>
      </c>
      <c r="C527" t="inlineStr">
        <is>
          <t>REL_26C</t>
        </is>
      </c>
      <c r="D527" t="inlineStr">
        <is>
          <t>CHG_IMP_0502</t>
        </is>
      </c>
      <c r="E527" t="inlineStr">
        <is>
          <t>Functional</t>
        </is>
      </c>
      <c r="F527" t="inlineStr">
        <is>
          <t>Configuration</t>
        </is>
      </c>
      <c r="G527" t="inlineStr"/>
      <c r="H527" t="inlineStr">
        <is>
          <t>DFL Procurement impacted by Oracle 26C change</t>
        </is>
      </c>
      <c r="I527" t="inlineStr">
        <is>
          <t>Y</t>
        </is>
      </c>
      <c r="J527" t="inlineStr">
        <is>
          <t>N</t>
        </is>
      </c>
      <c r="K527" t="inlineStr">
        <is>
          <t>N</t>
        </is>
      </c>
      <c r="L527" t="inlineStr">
        <is>
          <t>N</t>
        </is>
      </c>
      <c r="M527" t="n">
        <v>4</v>
      </c>
      <c r="N527" t="n">
        <v>2</v>
      </c>
      <c r="O527" t="n">
        <v>4</v>
      </c>
      <c r="P527" t="n">
        <v>1</v>
      </c>
      <c r="Q527" t="n">
        <v>3</v>
      </c>
      <c r="R527">
        <f>IFERROR(XLOOKUP(XLOOKUP(D527,tblReleaseChanges[Change_ID],tblReleaseChanges[Oracle_Severity],""),tblSeverityMap[Severity_Text],tblSeverityMap[Score],0),0)</f>
        <v/>
      </c>
      <c r="S527" t="n">
        <v>3</v>
      </c>
      <c r="T527">
        <f>ROUND((M527*0.25)+(N527*0.20)+(O527*0.15)+(P527*0.15)+(Q527*0.10)+(R527*0.10)+(S527*0.05),2)</f>
        <v/>
      </c>
      <c r="U527">
        <f>IF(T527&gt;=4.25,"Critical",IF(T527&gt;=3.5,"High",IF(T527&gt;=2,"Medium","Low")))</f>
        <v/>
      </c>
      <c r="V527" t="inlineStr">
        <is>
          <t>Pending Review</t>
        </is>
      </c>
      <c r="W527" t="inlineStr"/>
      <c r="X527" t="inlineStr"/>
      <c r="Y527" t="inlineStr">
        <is>
          <t>Action type: Steps to Enable. To use this feature, you must enable the following profile options. • Redwood Supplier Qualification Page Enabled (ORA_POQ_SUPPLIER_QUALIFICATION_REDWOOD_ENABLED). Enable</t>
        </is>
      </c>
      <c r="Z527" t="inlineStr">
        <is>
          <t>Y</t>
        </is>
      </c>
      <c r="AA527" t="inlineStr">
        <is>
          <t>Y</t>
        </is>
      </c>
    </row>
    <row r="528">
      <c r="A528" t="inlineStr">
        <is>
          <t>ASMT_IMP_0503</t>
        </is>
      </c>
      <c r="B528" t="inlineStr">
        <is>
          <t>CLT_DFL001</t>
        </is>
      </c>
      <c r="C528" t="inlineStr">
        <is>
          <t>REL_26C</t>
        </is>
      </c>
      <c r="D528" t="inlineStr">
        <is>
          <t>CHG_IMP_0503</t>
        </is>
      </c>
      <c r="E528" t="inlineStr">
        <is>
          <t>Functional</t>
        </is>
      </c>
      <c r="F528" t="inlineStr">
        <is>
          <t>Configuration</t>
        </is>
      </c>
      <c r="G528" t="inlineStr"/>
      <c r="H528" t="inlineStr">
        <is>
          <t>DFL Procurement impacted by Oracle 26C change</t>
        </is>
      </c>
      <c r="I528" t="inlineStr">
        <is>
          <t>Y</t>
        </is>
      </c>
      <c r="J528" t="inlineStr">
        <is>
          <t>N</t>
        </is>
      </c>
      <c r="K528" t="inlineStr">
        <is>
          <t>N</t>
        </is>
      </c>
      <c r="L528" t="inlineStr">
        <is>
          <t>N</t>
        </is>
      </c>
      <c r="M528" t="n">
        <v>4</v>
      </c>
      <c r="N528" t="n">
        <v>2</v>
      </c>
      <c r="O528" t="n">
        <v>4</v>
      </c>
      <c r="P528" t="n">
        <v>1</v>
      </c>
      <c r="Q528" t="n">
        <v>3</v>
      </c>
      <c r="R528">
        <f>IFERROR(XLOOKUP(XLOOKUP(D528,tblReleaseChanges[Change_ID],tblReleaseChanges[Oracle_Severity],""),tblSeverityMap[Severity_Text],tblSeverityMap[Score],0),0)</f>
        <v/>
      </c>
      <c r="S528" t="n">
        <v>3</v>
      </c>
      <c r="T528">
        <f>ROUND((M528*0.25)+(N528*0.20)+(O528*0.15)+(P528*0.15)+(Q528*0.10)+(R528*0.10)+(S528*0.05),2)</f>
        <v/>
      </c>
      <c r="U528">
        <f>IF(T528&gt;=4.25,"Critical",IF(T528&gt;=3.5,"High",IF(T528&gt;=2,"Medium","Low")))</f>
        <v/>
      </c>
      <c r="V528" t="inlineStr">
        <is>
          <t>Pending Review</t>
        </is>
      </c>
      <c r="W528" t="inlineStr"/>
      <c r="X528" t="inlineStr"/>
      <c r="Y528" t="inlineStr">
        <is>
          <t>Action type: Steps to Enable. If you haven't enabled Redwood for Purchasing, see the Getting Started with Redwood in Purchasing topic on the SCM Resource Center in Customer Connect</t>
        </is>
      </c>
      <c r="Z528" t="inlineStr">
        <is>
          <t>Y</t>
        </is>
      </c>
      <c r="AA528" t="inlineStr">
        <is>
          <t>Y</t>
        </is>
      </c>
    </row>
    <row r="529">
      <c r="A529" t="inlineStr">
        <is>
          <t>ASMT_IMP_0504</t>
        </is>
      </c>
      <c r="B529" t="inlineStr">
        <is>
          <t>CLT_DFL001</t>
        </is>
      </c>
      <c r="C529" t="inlineStr">
        <is>
          <t>REL_26C</t>
        </is>
      </c>
      <c r="D529" t="inlineStr">
        <is>
          <t>CHG_IMP_0504</t>
        </is>
      </c>
      <c r="E529" t="inlineStr">
        <is>
          <t>Functional</t>
        </is>
      </c>
      <c r="F529" t="inlineStr">
        <is>
          <t>Configuration</t>
        </is>
      </c>
      <c r="G529" t="inlineStr"/>
      <c r="H529" t="inlineStr">
        <is>
          <t>DFL Procurement impacted by Oracle 26C change</t>
        </is>
      </c>
      <c r="I529" t="inlineStr">
        <is>
          <t>Y</t>
        </is>
      </c>
      <c r="J529" t="inlineStr">
        <is>
          <t>N</t>
        </is>
      </c>
      <c r="K529" t="inlineStr">
        <is>
          <t>N</t>
        </is>
      </c>
      <c r="L529" t="inlineStr">
        <is>
          <t>N</t>
        </is>
      </c>
      <c r="M529" t="n">
        <v>4</v>
      </c>
      <c r="N529" t="n">
        <v>2</v>
      </c>
      <c r="O529" t="n">
        <v>4</v>
      </c>
      <c r="P529" t="n">
        <v>1</v>
      </c>
      <c r="Q529" t="n">
        <v>3</v>
      </c>
      <c r="R529">
        <f>IFERROR(XLOOKUP(XLOOKUP(D529,tblReleaseChanges[Change_ID],tblReleaseChanges[Oracle_Severity],""),tblSeverityMap[Severity_Text],tblSeverityMap[Score],0),0)</f>
        <v/>
      </c>
      <c r="S529" t="n">
        <v>3</v>
      </c>
      <c r="T529">
        <f>ROUND((M529*0.25)+(N529*0.20)+(O529*0.15)+(P529*0.15)+(Q529*0.10)+(R529*0.10)+(S529*0.05),2)</f>
        <v/>
      </c>
      <c r="U529">
        <f>IF(T529&gt;=4.25,"Critical",IF(T529&gt;=3.5,"High",IF(T529&gt;=2,"Medium","Low")))</f>
        <v/>
      </c>
      <c r="V529" t="inlineStr">
        <is>
          <t>Pending Review</t>
        </is>
      </c>
      <c r="W529" t="inlineStr"/>
      <c r="X529" t="inlineStr"/>
      <c r="Y529" t="inlineStr">
        <is>
          <t>Action type: Steps to Enable. To use this feature, you must enable the following profile options. • Redwood Supplier Qualification Page Enabled (ORA_POQ_SUPPLIER_QUALIFICATION_REDWOOD_ENABLED). Enable</t>
        </is>
      </c>
      <c r="Z529" t="inlineStr">
        <is>
          <t>Y</t>
        </is>
      </c>
      <c r="AA529" t="inlineStr">
        <is>
          <t>Y</t>
        </is>
      </c>
    </row>
    <row r="530">
      <c r="A530" t="inlineStr">
        <is>
          <t>ASMT_IMP_0505</t>
        </is>
      </c>
      <c r="B530" t="inlineStr">
        <is>
          <t>CLT_DFL001</t>
        </is>
      </c>
      <c r="C530" t="inlineStr">
        <is>
          <t>REL_26C</t>
        </is>
      </c>
      <c r="D530" t="inlineStr">
        <is>
          <t>CHG_IMP_0505</t>
        </is>
      </c>
      <c r="E530" t="inlineStr">
        <is>
          <t>Functional</t>
        </is>
      </c>
      <c r="F530" t="inlineStr">
        <is>
          <t>Configuration</t>
        </is>
      </c>
      <c r="G530" t="inlineStr"/>
      <c r="H530" t="inlineStr">
        <is>
          <t>DFL Procurement impacted by Oracle 26C change</t>
        </is>
      </c>
      <c r="I530" t="inlineStr">
        <is>
          <t>Y</t>
        </is>
      </c>
      <c r="J530" t="inlineStr">
        <is>
          <t>N</t>
        </is>
      </c>
      <c r="K530" t="inlineStr">
        <is>
          <t>N</t>
        </is>
      </c>
      <c r="L530" t="inlineStr">
        <is>
          <t>N</t>
        </is>
      </c>
      <c r="M530" t="n">
        <v>4</v>
      </c>
      <c r="N530" t="n">
        <v>2</v>
      </c>
      <c r="O530" t="n">
        <v>4</v>
      </c>
      <c r="P530" t="n">
        <v>1</v>
      </c>
      <c r="Q530" t="n">
        <v>3</v>
      </c>
      <c r="R530">
        <f>IFERROR(XLOOKUP(XLOOKUP(D530,tblReleaseChanges[Change_ID],tblReleaseChanges[Oracle_Severity],""),tblSeverityMap[Severity_Text],tblSeverityMap[Score],0),0)</f>
        <v/>
      </c>
      <c r="S530" t="n">
        <v>3</v>
      </c>
      <c r="T530">
        <f>ROUND((M530*0.25)+(N530*0.20)+(O530*0.15)+(P530*0.15)+(Q530*0.10)+(R530*0.10)+(S530*0.05),2)</f>
        <v/>
      </c>
      <c r="U530">
        <f>IF(T530&gt;=4.25,"Critical",IF(T530&gt;=3.5,"High",IF(T530&gt;=2,"Medium","Low")))</f>
        <v/>
      </c>
      <c r="V530" t="inlineStr">
        <is>
          <t>Pending Review</t>
        </is>
      </c>
      <c r="W530" t="inlineStr"/>
      <c r="X530" t="inlineStr"/>
      <c r="Y530" t="inlineStr">
        <is>
          <t xml:space="preserve">Action type: Steps to Enable. • If you haven't enabled Redwood for Purchasing, see the Getting Started with Redwood in Purchasing topic on the SCM Resource Center in Customer Connect. </t>
        </is>
      </c>
      <c r="Z530" t="inlineStr">
        <is>
          <t>Y</t>
        </is>
      </c>
      <c r="AA530" t="inlineStr">
        <is>
          <t>Y</t>
        </is>
      </c>
    </row>
    <row r="531">
      <c r="A531" t="inlineStr">
        <is>
          <t>ASMT_IMP_0506</t>
        </is>
      </c>
      <c r="B531" t="inlineStr">
        <is>
          <t>CLT_DFL001</t>
        </is>
      </c>
      <c r="C531" t="inlineStr">
        <is>
          <t>REL_26C</t>
        </is>
      </c>
      <c r="D531" t="inlineStr">
        <is>
          <t>CHG_IMP_0506</t>
        </is>
      </c>
      <c r="E531" t="inlineStr">
        <is>
          <t>Functional</t>
        </is>
      </c>
      <c r="F531" t="inlineStr">
        <is>
          <t>Configuration</t>
        </is>
      </c>
      <c r="G531" t="inlineStr"/>
      <c r="H531" t="inlineStr">
        <is>
          <t>DFL Procurement impacted by Oracle 26C change</t>
        </is>
      </c>
      <c r="I531" t="inlineStr">
        <is>
          <t>Y</t>
        </is>
      </c>
      <c r="J531" t="inlineStr">
        <is>
          <t>N</t>
        </is>
      </c>
      <c r="K531" t="inlineStr">
        <is>
          <t>N</t>
        </is>
      </c>
      <c r="L531" t="inlineStr">
        <is>
          <t>N</t>
        </is>
      </c>
      <c r="M531" t="n">
        <v>4</v>
      </c>
      <c r="N531" t="n">
        <v>2</v>
      </c>
      <c r="O531" t="n">
        <v>4</v>
      </c>
      <c r="P531" t="n">
        <v>1</v>
      </c>
      <c r="Q531" t="n">
        <v>3</v>
      </c>
      <c r="R531">
        <f>IFERROR(XLOOKUP(XLOOKUP(D531,tblReleaseChanges[Change_ID],tblReleaseChanges[Oracle_Severity],""),tblSeverityMap[Severity_Text],tblSeverityMap[Score],0),0)</f>
        <v/>
      </c>
      <c r="S531" t="n">
        <v>3</v>
      </c>
      <c r="T531">
        <f>ROUND((M531*0.25)+(N531*0.20)+(O531*0.15)+(P531*0.15)+(Q531*0.10)+(R531*0.10)+(S531*0.05),2)</f>
        <v/>
      </c>
      <c r="U531">
        <f>IF(T531&gt;=4.25,"Critical",IF(T531&gt;=3.5,"High",IF(T531&gt;=2,"Medium","Low")))</f>
        <v/>
      </c>
      <c r="V531" t="inlineStr">
        <is>
          <t>Pending Review</t>
        </is>
      </c>
      <c r="W531" t="inlineStr"/>
      <c r="X531" t="inlineStr"/>
      <c r="Y531" t="inlineStr">
        <is>
          <t>Action type: Steps to Enable. You can access this functionality by enabling the feature **Simplify Configuration and Processing for B2B Messaging**orthe profile option **ORA_CMK_MESSAGING_CERTIFICATES</t>
        </is>
      </c>
      <c r="Z531" t="inlineStr">
        <is>
          <t>Y</t>
        </is>
      </c>
      <c r="AA531" t="inlineStr">
        <is>
          <t>Y</t>
        </is>
      </c>
    </row>
    <row r="532">
      <c r="A532" t="inlineStr">
        <is>
          <t>ASMT_IMP_0507</t>
        </is>
      </c>
      <c r="B532" t="inlineStr">
        <is>
          <t>CLT_DFL001</t>
        </is>
      </c>
      <c r="C532" t="inlineStr">
        <is>
          <t>REL_26C</t>
        </is>
      </c>
      <c r="D532" t="inlineStr">
        <is>
          <t>CHG_IMP_0507</t>
        </is>
      </c>
      <c r="E532" t="inlineStr">
        <is>
          <t>Functional</t>
        </is>
      </c>
      <c r="F532" t="inlineStr">
        <is>
          <t>Configuration</t>
        </is>
      </c>
      <c r="G532" t="inlineStr"/>
      <c r="H532" t="inlineStr">
        <is>
          <t>DFL Procurement impacted by Oracle 26C change</t>
        </is>
      </c>
      <c r="I532" t="inlineStr">
        <is>
          <t>Y</t>
        </is>
      </c>
      <c r="J532" t="inlineStr">
        <is>
          <t>N</t>
        </is>
      </c>
      <c r="K532" t="inlineStr">
        <is>
          <t>N</t>
        </is>
      </c>
      <c r="L532" t="inlineStr">
        <is>
          <t>N</t>
        </is>
      </c>
      <c r="M532" t="n">
        <v>4</v>
      </c>
      <c r="N532" t="n">
        <v>2</v>
      </c>
      <c r="O532" t="n">
        <v>4</v>
      </c>
      <c r="P532" t="n">
        <v>1</v>
      </c>
      <c r="Q532" t="n">
        <v>3</v>
      </c>
      <c r="R532">
        <f>IFERROR(XLOOKUP(XLOOKUP(D532,tblReleaseChanges[Change_ID],tblReleaseChanges[Oracle_Severity],""),tblSeverityMap[Severity_Text],tblSeverityMap[Score],0),0)</f>
        <v/>
      </c>
      <c r="S532" t="n">
        <v>3</v>
      </c>
      <c r="T532">
        <f>ROUND((M532*0.25)+(N532*0.20)+(O532*0.15)+(P532*0.15)+(Q532*0.10)+(R532*0.10)+(S532*0.05),2)</f>
        <v/>
      </c>
      <c r="U532">
        <f>IF(T532&gt;=4.25,"Critical",IF(T532&gt;=3.5,"High",IF(T532&gt;=2,"Medium","Low")))</f>
        <v/>
      </c>
      <c r="V532" t="inlineStr">
        <is>
          <t>Pending Review</t>
        </is>
      </c>
      <c r="W532" t="inlineStr"/>
      <c r="X532" t="inlineStr"/>
      <c r="Y532" t="inlineStr">
        <is>
          <t>Action type: Steps to Enable. Enable the Redwood page for contract fulfillments profile option. • To access the new Contract Fulfillmentspage, you must enable the *Redwood Page for Contract Fulfillmen</t>
        </is>
      </c>
      <c r="Z532" t="inlineStr">
        <is>
          <t>Y</t>
        </is>
      </c>
      <c r="AA532" t="inlineStr">
        <is>
          <t>Y</t>
        </is>
      </c>
    </row>
    <row r="533">
      <c r="A533" t="inlineStr">
        <is>
          <t>ASMT_IMP_0508</t>
        </is>
      </c>
      <c r="B533" t="inlineStr">
        <is>
          <t>CLT_DFL001</t>
        </is>
      </c>
      <c r="C533" t="inlineStr">
        <is>
          <t>REL_26C</t>
        </is>
      </c>
      <c r="D533" t="inlineStr">
        <is>
          <t>CHG_IMP_0508</t>
        </is>
      </c>
      <c r="E533" t="inlineStr">
        <is>
          <t>Functional</t>
        </is>
      </c>
      <c r="F533" t="inlineStr">
        <is>
          <t>Configuration</t>
        </is>
      </c>
      <c r="G533" t="inlineStr"/>
      <c r="H533" t="inlineStr">
        <is>
          <t>DFL Procurement impacted by Oracle 26C change</t>
        </is>
      </c>
      <c r="I533" t="inlineStr">
        <is>
          <t>Y</t>
        </is>
      </c>
      <c r="J533" t="inlineStr">
        <is>
          <t>N</t>
        </is>
      </c>
      <c r="K533" t="inlineStr">
        <is>
          <t>N</t>
        </is>
      </c>
      <c r="L533" t="inlineStr">
        <is>
          <t>N</t>
        </is>
      </c>
      <c r="M533" t="n">
        <v>4</v>
      </c>
      <c r="N533" t="n">
        <v>2</v>
      </c>
      <c r="O533" t="n">
        <v>4</v>
      </c>
      <c r="P533" t="n">
        <v>1</v>
      </c>
      <c r="Q533" t="n">
        <v>3</v>
      </c>
      <c r="R533">
        <f>IFERROR(XLOOKUP(XLOOKUP(D533,tblReleaseChanges[Change_ID],tblReleaseChanges[Oracle_Severity],""),tblSeverityMap[Severity_Text],tblSeverityMap[Score],0),0)</f>
        <v/>
      </c>
      <c r="S533" t="n">
        <v>3</v>
      </c>
      <c r="T533">
        <f>ROUND((M533*0.25)+(N533*0.20)+(O533*0.15)+(P533*0.15)+(Q533*0.10)+(R533*0.10)+(S533*0.05),2)</f>
        <v/>
      </c>
      <c r="U533">
        <f>IF(T533&gt;=4.25,"Critical",IF(T533&gt;=3.5,"High",IF(T533&gt;=2,"Medium","Low")))</f>
        <v/>
      </c>
      <c r="V533" t="inlineStr">
        <is>
          <t>Pending Review</t>
        </is>
      </c>
      <c r="W533" t="inlineStr"/>
      <c r="X533" t="inlineStr"/>
      <c r="Y533" t="inlineStr">
        <is>
          <t>Action type: Steps to Enable. To use this feature, you must set the following: 1. Opt in to the Sourcing feature **Manage Seller Negotiations.**If this was already opted-in in a prior release, you don</t>
        </is>
      </c>
      <c r="Z533" t="inlineStr">
        <is>
          <t>Y</t>
        </is>
      </c>
      <c r="AA533" t="inlineStr">
        <is>
          <t>Y</t>
        </is>
      </c>
    </row>
    <row r="534">
      <c r="A534" t="inlineStr">
        <is>
          <t>ASMT_IMP_0509</t>
        </is>
      </c>
      <c r="B534" t="inlineStr">
        <is>
          <t>CLT_DFL001</t>
        </is>
      </c>
      <c r="C534" t="inlineStr">
        <is>
          <t>REL_26C</t>
        </is>
      </c>
      <c r="D534" t="inlineStr">
        <is>
          <t>CHG_IMP_0509</t>
        </is>
      </c>
      <c r="E534" t="inlineStr">
        <is>
          <t>Functional</t>
        </is>
      </c>
      <c r="F534" t="inlineStr">
        <is>
          <t>Configuration</t>
        </is>
      </c>
      <c r="G534" t="inlineStr"/>
      <c r="H534" t="inlineStr">
        <is>
          <t>DFL Procurement impacted by Oracle 26C change</t>
        </is>
      </c>
      <c r="I534" t="inlineStr">
        <is>
          <t>Y</t>
        </is>
      </c>
      <c r="J534" t="inlineStr">
        <is>
          <t>N</t>
        </is>
      </c>
      <c r="K534" t="inlineStr">
        <is>
          <t>N</t>
        </is>
      </c>
      <c r="L534" t="inlineStr">
        <is>
          <t>N</t>
        </is>
      </c>
      <c r="M534" t="n">
        <v>4</v>
      </c>
      <c r="N534" t="n">
        <v>2</v>
      </c>
      <c r="O534" t="n">
        <v>4</v>
      </c>
      <c r="P534" t="n">
        <v>1</v>
      </c>
      <c r="Q534" t="n">
        <v>3</v>
      </c>
      <c r="R534">
        <f>IFERROR(XLOOKUP(XLOOKUP(D534,tblReleaseChanges[Change_ID],tblReleaseChanges[Oracle_Severity],""),tblSeverityMap[Severity_Text],tblSeverityMap[Score],0),0)</f>
        <v/>
      </c>
      <c r="S534" t="n">
        <v>3</v>
      </c>
      <c r="T534">
        <f>ROUND((M534*0.25)+(N534*0.20)+(O534*0.15)+(P534*0.15)+(Q534*0.10)+(R534*0.10)+(S534*0.05),2)</f>
        <v/>
      </c>
      <c r="U534">
        <f>IF(T534&gt;=4.25,"Critical",IF(T534&gt;=3.5,"High",IF(T534&gt;=2,"Medium","Low")))</f>
        <v/>
      </c>
      <c r="V534" t="inlineStr">
        <is>
          <t>Pending Review</t>
        </is>
      </c>
      <c r="W534" t="inlineStr"/>
      <c r="X534" t="inlineStr"/>
      <c r="Y534" t="inlineStr">
        <is>
          <t>Action type: Steps to Enable. As a prerequisite, deploy the Redwood external and/or internal registration flows. To use this feature, enable the following profile options. For instructions on enabling</t>
        </is>
      </c>
      <c r="Z534" t="inlineStr">
        <is>
          <t>Y</t>
        </is>
      </c>
      <c r="AA534" t="inlineStr">
        <is>
          <t>Y</t>
        </is>
      </c>
    </row>
    <row r="535">
      <c r="A535" t="inlineStr">
        <is>
          <t>ASMT_IMP_0510</t>
        </is>
      </c>
      <c r="B535" t="inlineStr">
        <is>
          <t>CLT_DFL001</t>
        </is>
      </c>
      <c r="C535" t="inlineStr">
        <is>
          <t>REL_26C</t>
        </is>
      </c>
      <c r="D535" t="inlineStr">
        <is>
          <t>CHG_IMP_0510</t>
        </is>
      </c>
      <c r="E535" t="inlineStr">
        <is>
          <t>Functional</t>
        </is>
      </c>
      <c r="F535" t="inlineStr">
        <is>
          <t>Configuration</t>
        </is>
      </c>
      <c r="G535" t="inlineStr"/>
      <c r="H535" t="inlineStr">
        <is>
          <t>DFL Procurement impacted by Oracle 26C change</t>
        </is>
      </c>
      <c r="I535" t="inlineStr">
        <is>
          <t>Y</t>
        </is>
      </c>
      <c r="J535" t="inlineStr">
        <is>
          <t>N</t>
        </is>
      </c>
      <c r="K535" t="inlineStr">
        <is>
          <t>N</t>
        </is>
      </c>
      <c r="L535" t="inlineStr">
        <is>
          <t>N</t>
        </is>
      </c>
      <c r="M535" t="n">
        <v>4</v>
      </c>
      <c r="N535" t="n">
        <v>2</v>
      </c>
      <c r="O535" t="n">
        <v>4</v>
      </c>
      <c r="P535" t="n">
        <v>1</v>
      </c>
      <c r="Q535" t="n">
        <v>3</v>
      </c>
      <c r="R535">
        <f>IFERROR(XLOOKUP(XLOOKUP(D535,tblReleaseChanges[Change_ID],tblReleaseChanges[Oracle_Severity],""),tblSeverityMap[Severity_Text],tblSeverityMap[Score],0),0)</f>
        <v/>
      </c>
      <c r="S535" t="n">
        <v>3</v>
      </c>
      <c r="T535">
        <f>ROUND((M535*0.25)+(N535*0.20)+(O535*0.15)+(P535*0.15)+(Q535*0.10)+(R535*0.10)+(S535*0.05),2)</f>
        <v/>
      </c>
      <c r="U535">
        <f>IF(T535&gt;=4.25,"Critical",IF(T535&gt;=3.5,"High",IF(T535&gt;=2,"Medium","Low")))</f>
        <v/>
      </c>
      <c r="V535" t="inlineStr">
        <is>
          <t>Pending Review</t>
        </is>
      </c>
      <c r="W535" t="inlineStr"/>
      <c r="X535" t="inlineStr"/>
      <c r="Y535" t="inlineStr">
        <is>
          <t>Action type: Steps to Enable. To use this feature, you must enable these profile options if you haven't already. • Redwood Pages for Sourcing Enabled (ORA_PON_SOURCING_REDWOOD_ENABLED). • Redwood Page</t>
        </is>
      </c>
      <c r="Z535" t="inlineStr">
        <is>
          <t>Y</t>
        </is>
      </c>
      <c r="AA535" t="inlineStr">
        <is>
          <t>Y</t>
        </is>
      </c>
    </row>
    <row r="536">
      <c r="A536" t="inlineStr">
        <is>
          <t>ASMT_IMP_0511</t>
        </is>
      </c>
      <c r="B536" t="inlineStr">
        <is>
          <t>CLT_DFL001</t>
        </is>
      </c>
      <c r="C536" t="inlineStr">
        <is>
          <t>REL_26C</t>
        </is>
      </c>
      <c r="D536" t="inlineStr">
        <is>
          <t>CHG_IMP_0511</t>
        </is>
      </c>
      <c r="E536" t="inlineStr">
        <is>
          <t>Functional</t>
        </is>
      </c>
      <c r="F536" t="inlineStr">
        <is>
          <t>Configuration</t>
        </is>
      </c>
      <c r="G536" t="inlineStr"/>
      <c r="H536" t="inlineStr">
        <is>
          <t>DFL Procurement impacted by Oracle 26C change</t>
        </is>
      </c>
      <c r="I536" t="inlineStr">
        <is>
          <t>Y</t>
        </is>
      </c>
      <c r="J536" t="inlineStr">
        <is>
          <t>N</t>
        </is>
      </c>
      <c r="K536" t="inlineStr">
        <is>
          <t>N</t>
        </is>
      </c>
      <c r="L536" t="inlineStr">
        <is>
          <t>N</t>
        </is>
      </c>
      <c r="M536" t="n">
        <v>4</v>
      </c>
      <c r="N536" t="n">
        <v>2</v>
      </c>
      <c r="O536" t="n">
        <v>4</v>
      </c>
      <c r="P536" t="n">
        <v>1</v>
      </c>
      <c r="Q536" t="n">
        <v>3</v>
      </c>
      <c r="R536">
        <f>IFERROR(XLOOKUP(XLOOKUP(D536,tblReleaseChanges[Change_ID],tblReleaseChanges[Oracle_Severity],""),tblSeverityMap[Severity_Text],tblSeverityMap[Score],0),0)</f>
        <v/>
      </c>
      <c r="S536" t="n">
        <v>3</v>
      </c>
      <c r="T536">
        <f>ROUND((M536*0.25)+(N536*0.20)+(O536*0.15)+(P536*0.15)+(Q536*0.10)+(R536*0.10)+(S536*0.05),2)</f>
        <v/>
      </c>
      <c r="U536">
        <f>IF(T536&gt;=4.25,"Critical",IF(T536&gt;=3.5,"High",IF(T536&gt;=2,"Medium","Low")))</f>
        <v/>
      </c>
      <c r="V536" t="inlineStr">
        <is>
          <t>Pending Review</t>
        </is>
      </c>
      <c r="W536" t="inlineStr"/>
      <c r="X536" t="inlineStr"/>
      <c r="Y536" t="inlineStr">
        <is>
          <t>Action type: Steps to Enable. You can access this functionality by enabling the feature **Simplify Configuration and Processing for B2B Messaging**. 1. Perform the following standard steps to s</t>
        </is>
      </c>
      <c r="Z536" t="inlineStr">
        <is>
          <t>Y</t>
        </is>
      </c>
      <c r="AA536" t="inlineStr">
        <is>
          <t>Y</t>
        </is>
      </c>
    </row>
    <row r="537">
      <c r="A537" t="inlineStr">
        <is>
          <t>ASMT_IMP_0512</t>
        </is>
      </c>
      <c r="B537" t="inlineStr">
        <is>
          <t>CLT_DFL001</t>
        </is>
      </c>
      <c r="C537" t="inlineStr">
        <is>
          <t>REL_26C</t>
        </is>
      </c>
      <c r="D537" t="inlineStr">
        <is>
          <t>CHG_IMP_0512</t>
        </is>
      </c>
      <c r="E537" t="inlineStr">
        <is>
          <t>Functional</t>
        </is>
      </c>
      <c r="F537" t="inlineStr">
        <is>
          <t>Configuration</t>
        </is>
      </c>
      <c r="G537" t="inlineStr"/>
      <c r="H537" t="inlineStr">
        <is>
          <t>DFL Procurement impacted by Oracle 26C change</t>
        </is>
      </c>
      <c r="I537" t="inlineStr">
        <is>
          <t>Y</t>
        </is>
      </c>
      <c r="J537" t="inlineStr">
        <is>
          <t>N</t>
        </is>
      </c>
      <c r="K537" t="inlineStr">
        <is>
          <t>N</t>
        </is>
      </c>
      <c r="L537" t="inlineStr">
        <is>
          <t>N</t>
        </is>
      </c>
      <c r="M537" t="n">
        <v>4</v>
      </c>
      <c r="N537" t="n">
        <v>2</v>
      </c>
      <c r="O537" t="n">
        <v>4</v>
      </c>
      <c r="P537" t="n">
        <v>1</v>
      </c>
      <c r="Q537" t="n">
        <v>3</v>
      </c>
      <c r="R537">
        <f>IFERROR(XLOOKUP(XLOOKUP(D537,tblReleaseChanges[Change_ID],tblReleaseChanges[Oracle_Severity],""),tblSeverityMap[Severity_Text],tblSeverityMap[Score],0),0)</f>
        <v/>
      </c>
      <c r="S537" t="n">
        <v>3</v>
      </c>
      <c r="T537">
        <f>ROUND((M537*0.25)+(N537*0.20)+(O537*0.15)+(P537*0.15)+(Q537*0.10)+(R537*0.10)+(S537*0.05),2)</f>
        <v/>
      </c>
      <c r="U537">
        <f>IF(T537&gt;=4.25,"Critical",IF(T537&gt;=3.5,"High",IF(T537&gt;=2,"Medium","Low")))</f>
        <v/>
      </c>
      <c r="V537" t="inlineStr">
        <is>
          <t>Pending Review</t>
        </is>
      </c>
      <c r="W537" t="inlineStr"/>
      <c r="X537" t="inlineStr"/>
      <c r="Y537" t="inlineStr">
        <is>
          <t>Action type: Steps to Enable. Use the Opt In UI to enable this feature. For instructions, refer to the Optional Uptake of New Features section of this document. Offering: *Procurement</t>
        </is>
      </c>
      <c r="Z537" t="inlineStr">
        <is>
          <t>Y</t>
        </is>
      </c>
      <c r="AA537" t="inlineStr">
        <is>
          <t>Y</t>
        </is>
      </c>
    </row>
    <row r="538">
      <c r="A538" t="inlineStr">
        <is>
          <t>ASMT_IMP_0513</t>
        </is>
      </c>
      <c r="B538" t="inlineStr">
        <is>
          <t>CLT_DFL001</t>
        </is>
      </c>
      <c r="C538" t="inlineStr">
        <is>
          <t>REL_26C</t>
        </is>
      </c>
      <c r="D538" t="inlineStr">
        <is>
          <t>CHG_IMP_0513</t>
        </is>
      </c>
      <c r="E538" t="inlineStr">
        <is>
          <t>Functional</t>
        </is>
      </c>
      <c r="F538" t="inlineStr">
        <is>
          <t>Configuration</t>
        </is>
      </c>
      <c r="G538" t="inlineStr"/>
      <c r="H538" t="inlineStr">
        <is>
          <t>DFL Procurement impacted by Oracle 26C change</t>
        </is>
      </c>
      <c r="I538" t="inlineStr">
        <is>
          <t>Y</t>
        </is>
      </c>
      <c r="J538" t="inlineStr">
        <is>
          <t>N</t>
        </is>
      </c>
      <c r="K538" t="inlineStr">
        <is>
          <t>N</t>
        </is>
      </c>
      <c r="L538" t="inlineStr">
        <is>
          <t>N</t>
        </is>
      </c>
      <c r="M538" t="n">
        <v>4</v>
      </c>
      <c r="N538" t="n">
        <v>2</v>
      </c>
      <c r="O538" t="n">
        <v>4</v>
      </c>
      <c r="P538" t="n">
        <v>1</v>
      </c>
      <c r="Q538" t="n">
        <v>3</v>
      </c>
      <c r="R538">
        <f>IFERROR(XLOOKUP(XLOOKUP(D538,tblReleaseChanges[Change_ID],tblReleaseChanges[Oracle_Severity],""),tblSeverityMap[Severity_Text],tblSeverityMap[Score],0),0)</f>
        <v/>
      </c>
      <c r="S538" t="n">
        <v>3</v>
      </c>
      <c r="T538">
        <f>ROUND((M538*0.25)+(N538*0.20)+(O538*0.15)+(P538*0.15)+(Q538*0.10)+(R538*0.10)+(S538*0.05),2)</f>
        <v/>
      </c>
      <c r="U538">
        <f>IF(T538&gt;=4.25,"Critical",IF(T538&gt;=3.5,"High",IF(T538&gt;=2,"Medium","Low")))</f>
        <v/>
      </c>
      <c r="V538" t="inlineStr">
        <is>
          <t>Pending Review</t>
        </is>
      </c>
      <c r="W538" t="inlineStr"/>
      <c r="X538" t="inlineStr"/>
      <c r="Y538" t="inlineStr">
        <is>
          <t>Action type: Steps to Enable. To use this feature, you must enable and configure the **Update** **26B feature,****AI Agent: Research Suppliers with AI,**if you haven't already**.** For detailed ins</t>
        </is>
      </c>
      <c r="Z538" t="inlineStr">
        <is>
          <t>Y</t>
        </is>
      </c>
      <c r="AA538" t="inlineStr">
        <is>
          <t>Y</t>
        </is>
      </c>
    </row>
    <row r="539">
      <c r="A539" t="inlineStr">
        <is>
          <t>ASMT_IMP_0514</t>
        </is>
      </c>
      <c r="B539" t="inlineStr">
        <is>
          <t>CLT_DFL001</t>
        </is>
      </c>
      <c r="C539" t="inlineStr">
        <is>
          <t>REL_26C</t>
        </is>
      </c>
      <c r="D539" t="inlineStr">
        <is>
          <t>CHG_IMP_0514</t>
        </is>
      </c>
      <c r="E539" t="inlineStr">
        <is>
          <t>Functional</t>
        </is>
      </c>
      <c r="F539" t="inlineStr">
        <is>
          <t>Configuration</t>
        </is>
      </c>
      <c r="G539" t="inlineStr"/>
      <c r="H539" t="inlineStr">
        <is>
          <t>DFL Procurement impacted by Oracle 26C change</t>
        </is>
      </c>
      <c r="I539" t="inlineStr">
        <is>
          <t>Y</t>
        </is>
      </c>
      <c r="J539" t="inlineStr">
        <is>
          <t>N</t>
        </is>
      </c>
      <c r="K539" t="inlineStr">
        <is>
          <t>N</t>
        </is>
      </c>
      <c r="L539" t="inlineStr">
        <is>
          <t>N</t>
        </is>
      </c>
      <c r="M539" t="n">
        <v>4</v>
      </c>
      <c r="N539" t="n">
        <v>2</v>
      </c>
      <c r="O539" t="n">
        <v>4</v>
      </c>
      <c r="P539" t="n">
        <v>1</v>
      </c>
      <c r="Q539" t="n">
        <v>3</v>
      </c>
      <c r="R539">
        <f>IFERROR(XLOOKUP(XLOOKUP(D539,tblReleaseChanges[Change_ID],tblReleaseChanges[Oracle_Severity],""),tblSeverityMap[Severity_Text],tblSeverityMap[Score],0),0)</f>
        <v/>
      </c>
      <c r="S539" t="n">
        <v>3</v>
      </c>
      <c r="T539">
        <f>ROUND((M539*0.25)+(N539*0.20)+(O539*0.15)+(P539*0.15)+(Q539*0.10)+(R539*0.10)+(S539*0.05),2)</f>
        <v/>
      </c>
      <c r="U539">
        <f>IF(T539&gt;=4.25,"Critical",IF(T539&gt;=3.5,"High",IF(T539&gt;=2,"Medium","Low")))</f>
        <v/>
      </c>
      <c r="V539" t="inlineStr">
        <is>
          <t>Pending Review</t>
        </is>
      </c>
      <c r="W539" t="inlineStr"/>
      <c r="X539" t="inlineStr"/>
      <c r="Y539" t="inlineStr">
        <is>
          <t>Action type: Steps to Enable. To use this feature, you must set the following: 1. Opt in to the Sourcing feature **Manage Seller Negotiations**(if not already opted-in). 2. Opt in to the Procurement f</t>
        </is>
      </c>
      <c r="Z539" t="inlineStr">
        <is>
          <t>Y</t>
        </is>
      </c>
      <c r="AA539" t="inlineStr">
        <is>
          <t>Y</t>
        </is>
      </c>
    </row>
    <row r="540">
      <c r="A540" t="inlineStr">
        <is>
          <t>ASMT_IMP_0515</t>
        </is>
      </c>
      <c r="B540" t="inlineStr">
        <is>
          <t>CLT_DFL001</t>
        </is>
      </c>
      <c r="C540" t="inlineStr">
        <is>
          <t>REL_26C</t>
        </is>
      </c>
      <c r="D540" t="inlineStr">
        <is>
          <t>CHG_IMP_0515</t>
        </is>
      </c>
      <c r="E540" t="inlineStr">
        <is>
          <t>Functional</t>
        </is>
      </c>
      <c r="F540" t="inlineStr">
        <is>
          <t>Configuration</t>
        </is>
      </c>
      <c r="G540" t="inlineStr"/>
      <c r="H540" t="inlineStr">
        <is>
          <t>DFL Procurement impacted by Oracle 26C change</t>
        </is>
      </c>
      <c r="I540" t="inlineStr">
        <is>
          <t>Y</t>
        </is>
      </c>
      <c r="J540" t="inlineStr">
        <is>
          <t>N</t>
        </is>
      </c>
      <c r="K540" t="inlineStr">
        <is>
          <t>N</t>
        </is>
      </c>
      <c r="L540" t="inlineStr">
        <is>
          <t>N</t>
        </is>
      </c>
      <c r="M540" t="n">
        <v>4</v>
      </c>
      <c r="N540" t="n">
        <v>2</v>
      </c>
      <c r="O540" t="n">
        <v>4</v>
      </c>
      <c r="P540" t="n">
        <v>1</v>
      </c>
      <c r="Q540" t="n">
        <v>3</v>
      </c>
      <c r="R540">
        <f>IFERROR(XLOOKUP(XLOOKUP(D540,tblReleaseChanges[Change_ID],tblReleaseChanges[Oracle_Severity],""),tblSeverityMap[Severity_Text],tblSeverityMap[Score],0),0)</f>
        <v/>
      </c>
      <c r="S540" t="n">
        <v>3</v>
      </c>
      <c r="T540">
        <f>ROUND((M540*0.25)+(N540*0.20)+(O540*0.15)+(P540*0.15)+(Q540*0.10)+(R540*0.10)+(S540*0.05),2)</f>
        <v/>
      </c>
      <c r="U540">
        <f>IF(T540&gt;=4.25,"Critical",IF(T540&gt;=3.5,"High",IF(T540&gt;=2,"Medium","Low")))</f>
        <v/>
      </c>
      <c r="V540" t="inlineStr">
        <is>
          <t>Pending Review</t>
        </is>
      </c>
      <c r="W540" t="inlineStr"/>
      <c r="X540" t="inlineStr"/>
      <c r="Y540" t="inlineStr">
        <is>
          <t>Action type: Steps to Enable. To use this feature, you must enable these profile options if you haven't already. • Redwood Pages for Sourcing Enabled (ORA_PON_SOURCING_REDWOOD_ENABLED). • Redwood Page</t>
        </is>
      </c>
      <c r="Z540" t="inlineStr">
        <is>
          <t>Y</t>
        </is>
      </c>
      <c r="AA540" t="inlineStr">
        <is>
          <t>Y</t>
        </is>
      </c>
    </row>
    <row r="541">
      <c r="A541" t="inlineStr">
        <is>
          <t>ASMT_IMP_0516</t>
        </is>
      </c>
      <c r="B541" t="inlineStr">
        <is>
          <t>CLT_DFL001</t>
        </is>
      </c>
      <c r="C541" t="inlineStr">
        <is>
          <t>REL_26C</t>
        </is>
      </c>
      <c r="D541" t="inlineStr">
        <is>
          <t>CHG_IMP_0516</t>
        </is>
      </c>
      <c r="E541" t="inlineStr">
        <is>
          <t>Functional</t>
        </is>
      </c>
      <c r="F541" t="inlineStr">
        <is>
          <t>Configuration</t>
        </is>
      </c>
      <c r="G541" t="inlineStr"/>
      <c r="H541" t="inlineStr">
        <is>
          <t>DFL Procurement impacted by Oracle 26C change</t>
        </is>
      </c>
      <c r="I541" t="inlineStr">
        <is>
          <t>Y</t>
        </is>
      </c>
      <c r="J541" t="inlineStr">
        <is>
          <t>N</t>
        </is>
      </c>
      <c r="K541" t="inlineStr">
        <is>
          <t>N</t>
        </is>
      </c>
      <c r="L541" t="inlineStr">
        <is>
          <t>N</t>
        </is>
      </c>
      <c r="M541" t="n">
        <v>4</v>
      </c>
      <c r="N541" t="n">
        <v>2</v>
      </c>
      <c r="O541" t="n">
        <v>4</v>
      </c>
      <c r="P541" t="n">
        <v>1</v>
      </c>
      <c r="Q541" t="n">
        <v>3</v>
      </c>
      <c r="R541">
        <f>IFERROR(XLOOKUP(XLOOKUP(D541,tblReleaseChanges[Change_ID],tblReleaseChanges[Oracle_Severity],""),tblSeverityMap[Severity_Text],tblSeverityMap[Score],0),0)</f>
        <v/>
      </c>
      <c r="S541" t="n">
        <v>3</v>
      </c>
      <c r="T541">
        <f>ROUND((M541*0.25)+(N541*0.20)+(O541*0.15)+(P541*0.15)+(Q541*0.10)+(R541*0.10)+(S541*0.05),2)</f>
        <v/>
      </c>
      <c r="U541">
        <f>IF(T541&gt;=4.25,"Critical",IF(T541&gt;=3.5,"High",IF(T541&gt;=2,"Medium","Low")))</f>
        <v/>
      </c>
      <c r="V541" t="inlineStr">
        <is>
          <t>Pending Review</t>
        </is>
      </c>
      <c r="W541" t="inlineStr"/>
      <c r="X541" t="inlineStr"/>
      <c r="Y541" t="inlineStr">
        <is>
          <t>Action type: Steps to Enable. If you haven't enabled Redwood for Purchasing, see the Getting Started with Redwood in Purchasing topic on the SCM Resource Center in Customer Connect.</t>
        </is>
      </c>
      <c r="Z541" t="inlineStr">
        <is>
          <t>Y</t>
        </is>
      </c>
      <c r="AA541" t="inlineStr">
        <is>
          <t>Y</t>
        </is>
      </c>
    </row>
    <row r="542">
      <c r="A542" t="inlineStr">
        <is>
          <t>ASMT_IMP_0517</t>
        </is>
      </c>
      <c r="B542" t="inlineStr">
        <is>
          <t>CLT_DFL001</t>
        </is>
      </c>
      <c r="C542" t="inlineStr">
        <is>
          <t>REL_26C</t>
        </is>
      </c>
      <c r="D542" t="inlineStr">
        <is>
          <t>CHG_IMP_0517</t>
        </is>
      </c>
      <c r="E542" t="inlineStr">
        <is>
          <t>Functional</t>
        </is>
      </c>
      <c r="F542" t="inlineStr">
        <is>
          <t>Configuration</t>
        </is>
      </c>
      <c r="G542" t="inlineStr"/>
      <c r="H542" t="inlineStr">
        <is>
          <t>DFL Procurement impacted by Oracle 26C change</t>
        </is>
      </c>
      <c r="I542" t="inlineStr">
        <is>
          <t>Y</t>
        </is>
      </c>
      <c r="J542" t="inlineStr">
        <is>
          <t>N</t>
        </is>
      </c>
      <c r="K542" t="inlineStr">
        <is>
          <t>N</t>
        </is>
      </c>
      <c r="L542" t="inlineStr">
        <is>
          <t>N</t>
        </is>
      </c>
      <c r="M542" t="n">
        <v>4</v>
      </c>
      <c r="N542" t="n">
        <v>2</v>
      </c>
      <c r="O542" t="n">
        <v>4</v>
      </c>
      <c r="P542" t="n">
        <v>1</v>
      </c>
      <c r="Q542" t="n">
        <v>3</v>
      </c>
      <c r="R542">
        <f>IFERROR(XLOOKUP(XLOOKUP(D542,tblReleaseChanges[Change_ID],tblReleaseChanges[Oracle_Severity],""),tblSeverityMap[Severity_Text],tblSeverityMap[Score],0),0)</f>
        <v/>
      </c>
      <c r="S542" t="n">
        <v>3</v>
      </c>
      <c r="T542">
        <f>ROUND((M542*0.25)+(N542*0.20)+(O542*0.15)+(P542*0.15)+(Q542*0.10)+(R542*0.10)+(S542*0.05),2)</f>
        <v/>
      </c>
      <c r="U542">
        <f>IF(T542&gt;=4.25,"Critical",IF(T542&gt;=3.5,"High",IF(T542&gt;=2,"Medium","Low")))</f>
        <v/>
      </c>
      <c r="V542" t="inlineStr">
        <is>
          <t>Pending Review</t>
        </is>
      </c>
      <c r="W542" t="inlineStr"/>
      <c r="X542" t="inlineStr"/>
      <c r="Y542" t="inlineStr">
        <is>
          <t>Action type: Steps to Enable. Use the Opt In UI to enable this feature. For instructions, refer to the Optional Uptake of New Features section of this document. Offering: *Procurem</t>
        </is>
      </c>
      <c r="Z542" t="inlineStr">
        <is>
          <t>Y</t>
        </is>
      </c>
      <c r="AA542" t="inlineStr">
        <is>
          <t>Y</t>
        </is>
      </c>
    </row>
    <row r="543">
      <c r="A543" t="inlineStr">
        <is>
          <t>ASMT_IMP_0518</t>
        </is>
      </c>
      <c r="B543" t="inlineStr">
        <is>
          <t>CLT_DFL001</t>
        </is>
      </c>
      <c r="C543" t="inlineStr">
        <is>
          <t>REL_26C</t>
        </is>
      </c>
      <c r="D543" t="inlineStr">
        <is>
          <t>CHG_IMP_0518</t>
        </is>
      </c>
      <c r="E543" t="inlineStr">
        <is>
          <t>Functional</t>
        </is>
      </c>
      <c r="F543" t="inlineStr">
        <is>
          <t>Configuration</t>
        </is>
      </c>
      <c r="G543" t="inlineStr"/>
      <c r="H543" t="inlineStr">
        <is>
          <t>DFL Procurement impacted by Oracle 26C change</t>
        </is>
      </c>
      <c r="I543" t="inlineStr">
        <is>
          <t>Y</t>
        </is>
      </c>
      <c r="J543" t="inlineStr">
        <is>
          <t>N</t>
        </is>
      </c>
      <c r="K543" t="inlineStr">
        <is>
          <t>N</t>
        </is>
      </c>
      <c r="L543" t="inlineStr">
        <is>
          <t>N</t>
        </is>
      </c>
      <c r="M543" t="n">
        <v>4</v>
      </c>
      <c r="N543" t="n">
        <v>2</v>
      </c>
      <c r="O543" t="n">
        <v>4</v>
      </c>
      <c r="P543" t="n">
        <v>1</v>
      </c>
      <c r="Q543" t="n">
        <v>3</v>
      </c>
      <c r="R543">
        <f>IFERROR(XLOOKUP(XLOOKUP(D543,tblReleaseChanges[Change_ID],tblReleaseChanges[Oracle_Severity],""),tblSeverityMap[Severity_Text],tblSeverityMap[Score],0),0)</f>
        <v/>
      </c>
      <c r="S543" t="n">
        <v>3</v>
      </c>
      <c r="T543">
        <f>ROUND((M543*0.25)+(N543*0.20)+(O543*0.15)+(P543*0.15)+(Q543*0.10)+(R543*0.10)+(S543*0.05),2)</f>
        <v/>
      </c>
      <c r="U543">
        <f>IF(T543&gt;=4.25,"Critical",IF(T543&gt;=3.5,"High",IF(T543&gt;=2,"Medium","Low")))</f>
        <v/>
      </c>
      <c r="V543" t="inlineStr">
        <is>
          <t>Pending Review</t>
        </is>
      </c>
      <c r="W543" t="inlineStr"/>
      <c r="X543" t="inlineStr"/>
      <c r="Y543" t="inlineStr">
        <is>
          <t>Action type: Steps to Enable. • These new attributes are always hidden on blanket purchase agreement lines. You must make these attributes visible on the blanket purch</t>
        </is>
      </c>
      <c r="Z543" t="inlineStr">
        <is>
          <t>Y</t>
        </is>
      </c>
      <c r="AA543" t="inlineStr">
        <is>
          <t>Y</t>
        </is>
      </c>
    </row>
    <row r="544">
      <c r="A544" t="inlineStr">
        <is>
          <t>ASMT_IMP_0519</t>
        </is>
      </c>
      <c r="B544" t="inlineStr">
        <is>
          <t>CLT_DFL001</t>
        </is>
      </c>
      <c r="C544" t="inlineStr">
        <is>
          <t>REL_26C</t>
        </is>
      </c>
      <c r="D544" t="inlineStr">
        <is>
          <t>CHG_IMP_0519</t>
        </is>
      </c>
      <c r="E544" t="inlineStr">
        <is>
          <t>Functional</t>
        </is>
      </c>
      <c r="F544" t="inlineStr">
        <is>
          <t>Configuration</t>
        </is>
      </c>
      <c r="G544" t="inlineStr"/>
      <c r="H544" t="inlineStr">
        <is>
          <t>DFL Procurement impacted by Oracle 26C change</t>
        </is>
      </c>
      <c r="I544" t="inlineStr">
        <is>
          <t>Y</t>
        </is>
      </c>
      <c r="J544" t="inlineStr">
        <is>
          <t>N</t>
        </is>
      </c>
      <c r="K544" t="inlineStr">
        <is>
          <t>N</t>
        </is>
      </c>
      <c r="L544" t="inlineStr">
        <is>
          <t>N</t>
        </is>
      </c>
      <c r="M544" t="n">
        <v>4</v>
      </c>
      <c r="N544" t="n">
        <v>2</v>
      </c>
      <c r="O544" t="n">
        <v>4</v>
      </c>
      <c r="P544" t="n">
        <v>1</v>
      </c>
      <c r="Q544" t="n">
        <v>3</v>
      </c>
      <c r="R544">
        <f>IFERROR(XLOOKUP(XLOOKUP(D544,tblReleaseChanges[Change_ID],tblReleaseChanges[Oracle_Severity],""),tblSeverityMap[Severity_Text],tblSeverityMap[Score],0),0)</f>
        <v/>
      </c>
      <c r="S544" t="n">
        <v>3</v>
      </c>
      <c r="T544">
        <f>ROUND((M544*0.25)+(N544*0.20)+(O544*0.15)+(P544*0.15)+(Q544*0.10)+(R544*0.10)+(S544*0.05),2)</f>
        <v/>
      </c>
      <c r="U544">
        <f>IF(T544&gt;=4.25,"Critical",IF(T544&gt;=3.5,"High",IF(T544&gt;=2,"Medium","Low")))</f>
        <v/>
      </c>
      <c r="V544" t="inlineStr">
        <is>
          <t>Pending Review</t>
        </is>
      </c>
      <c r="W544" t="inlineStr"/>
      <c r="X544" t="inlineStr"/>
      <c r="Y544" t="inlineStr">
        <is>
          <t>Action type: Steps to Enable. Use the Opt In UI to enable this feature. For instructions, refer to the Optional Uptake of New Features section of this document. Offering: *Procurement* • If</t>
        </is>
      </c>
      <c r="Z544" t="inlineStr">
        <is>
          <t>Y</t>
        </is>
      </c>
      <c r="AA544" t="inlineStr">
        <is>
          <t>Y</t>
        </is>
      </c>
    </row>
    <row r="545">
      <c r="A545" t="inlineStr">
        <is>
          <t>ASMT_IMP_0520</t>
        </is>
      </c>
      <c r="B545" t="inlineStr">
        <is>
          <t>CLT_DFL001</t>
        </is>
      </c>
      <c r="C545" t="inlineStr">
        <is>
          <t>REL_26C</t>
        </is>
      </c>
      <c r="D545" t="inlineStr">
        <is>
          <t>CHG_IMP_0520</t>
        </is>
      </c>
      <c r="E545" t="inlineStr">
        <is>
          <t>Functional</t>
        </is>
      </c>
      <c r="F545" t="inlineStr">
        <is>
          <t>Configuration</t>
        </is>
      </c>
      <c r="G545" t="inlineStr"/>
      <c r="H545" t="inlineStr">
        <is>
          <t>DFL Procurement impacted by Oracle 26C change</t>
        </is>
      </c>
      <c r="I545" t="inlineStr">
        <is>
          <t>Y</t>
        </is>
      </c>
      <c r="J545" t="inlineStr">
        <is>
          <t>N</t>
        </is>
      </c>
      <c r="K545" t="inlineStr">
        <is>
          <t>N</t>
        </is>
      </c>
      <c r="L545" t="inlineStr">
        <is>
          <t>N</t>
        </is>
      </c>
      <c r="M545" t="n">
        <v>4</v>
      </c>
      <c r="N545" t="n">
        <v>2</v>
      </c>
      <c r="O545" t="n">
        <v>4</v>
      </c>
      <c r="P545" t="n">
        <v>1</v>
      </c>
      <c r="Q545" t="n">
        <v>3</v>
      </c>
      <c r="R545">
        <f>IFERROR(XLOOKUP(XLOOKUP(D545,tblReleaseChanges[Change_ID],tblReleaseChanges[Oracle_Severity],""),tblSeverityMap[Severity_Text],tblSeverityMap[Score],0),0)</f>
        <v/>
      </c>
      <c r="S545" t="n">
        <v>3</v>
      </c>
      <c r="T545">
        <f>ROUND((M545*0.25)+(N545*0.20)+(O545*0.15)+(P545*0.15)+(Q545*0.10)+(R545*0.10)+(S545*0.05),2)</f>
        <v/>
      </c>
      <c r="U545">
        <f>IF(T545&gt;=4.25,"Critical",IF(T545&gt;=3.5,"High",IF(T545&gt;=2,"Medium","Low")))</f>
        <v/>
      </c>
      <c r="V545" t="inlineStr">
        <is>
          <t>Pending Review</t>
        </is>
      </c>
      <c r="W545" t="inlineStr"/>
      <c r="X545" t="inlineStr"/>
      <c r="Y545" t="inlineStr">
        <is>
          <t>Action type: Steps to Enable. • If you haven't enabled Redwood for Purchasing, see the Getting Started with Redwood in Purchasing topic on the SCM Resour</t>
        </is>
      </c>
      <c r="Z545" t="inlineStr">
        <is>
          <t>Y</t>
        </is>
      </c>
      <c r="AA545" t="inlineStr">
        <is>
          <t>Y</t>
        </is>
      </c>
    </row>
    <row r="546">
      <c r="A546" t="inlineStr">
        <is>
          <t>ASMT_IMP_0521</t>
        </is>
      </c>
      <c r="B546" t="inlineStr">
        <is>
          <t>CLT_DFL001</t>
        </is>
      </c>
      <c r="C546" t="inlineStr">
        <is>
          <t>REL_26C</t>
        </is>
      </c>
      <c r="D546" t="inlineStr">
        <is>
          <t>CHG_IMP_0521</t>
        </is>
      </c>
      <c r="E546" t="inlineStr">
        <is>
          <t>Functional</t>
        </is>
      </c>
      <c r="F546" t="inlineStr">
        <is>
          <t>Configuration</t>
        </is>
      </c>
      <c r="G546" t="inlineStr"/>
      <c r="H546" t="inlineStr">
        <is>
          <t>DFL Procurement impacted by Oracle 26C change</t>
        </is>
      </c>
      <c r="I546" t="inlineStr">
        <is>
          <t>Y</t>
        </is>
      </c>
      <c r="J546" t="inlineStr">
        <is>
          <t>N</t>
        </is>
      </c>
      <c r="K546" t="inlineStr">
        <is>
          <t>N</t>
        </is>
      </c>
      <c r="L546" t="inlineStr">
        <is>
          <t>N</t>
        </is>
      </c>
      <c r="M546" t="n">
        <v>4</v>
      </c>
      <c r="N546" t="n">
        <v>2</v>
      </c>
      <c r="O546" t="n">
        <v>4</v>
      </c>
      <c r="P546" t="n">
        <v>1</v>
      </c>
      <c r="Q546" t="n">
        <v>3</v>
      </c>
      <c r="R546">
        <f>IFERROR(XLOOKUP(XLOOKUP(D546,tblReleaseChanges[Change_ID],tblReleaseChanges[Oracle_Severity],""),tblSeverityMap[Severity_Text],tblSeverityMap[Score],0),0)</f>
        <v/>
      </c>
      <c r="S546" t="n">
        <v>3</v>
      </c>
      <c r="T546">
        <f>ROUND((M546*0.25)+(N546*0.20)+(O546*0.15)+(P546*0.15)+(Q546*0.10)+(R546*0.10)+(S546*0.05),2)</f>
        <v/>
      </c>
      <c r="U546">
        <f>IF(T546&gt;=4.25,"Critical",IF(T546&gt;=3.5,"High",IF(T546&gt;=2,"Medium","Low")))</f>
        <v/>
      </c>
      <c r="V546" t="inlineStr">
        <is>
          <t>Pending Review</t>
        </is>
      </c>
      <c r="W546" t="inlineStr"/>
      <c r="X546" t="inlineStr"/>
      <c r="Y546" t="inlineStr">
        <is>
          <t>Action type: Steps to Enable. To access this feature, you must enable the following profile options if you haven't already. • Redwood Pages for Sourcing Enabled (ORA_PON_SOURCING_REDWOOD_ENABLED). For</t>
        </is>
      </c>
      <c r="Z546" t="inlineStr">
        <is>
          <t>Y</t>
        </is>
      </c>
      <c r="AA546" t="inlineStr">
        <is>
          <t>Y</t>
        </is>
      </c>
    </row>
    <row r="547">
      <c r="A547" t="inlineStr">
        <is>
          <t>ASMT_IMP_0522</t>
        </is>
      </c>
      <c r="B547" t="inlineStr">
        <is>
          <t>CLT_DFL001</t>
        </is>
      </c>
      <c r="C547" t="inlineStr">
        <is>
          <t>REL_26C</t>
        </is>
      </c>
      <c r="D547" t="inlineStr">
        <is>
          <t>CHG_IMP_0522</t>
        </is>
      </c>
      <c r="E547" t="inlineStr">
        <is>
          <t>Functional</t>
        </is>
      </c>
      <c r="F547" t="inlineStr">
        <is>
          <t>Configuration</t>
        </is>
      </c>
      <c r="G547" t="inlineStr"/>
      <c r="H547" t="inlineStr">
        <is>
          <t>DFL Procurement impacted by Oracle 26C change</t>
        </is>
      </c>
      <c r="I547" t="inlineStr">
        <is>
          <t>Y</t>
        </is>
      </c>
      <c r="J547" t="inlineStr">
        <is>
          <t>N</t>
        </is>
      </c>
      <c r="K547" t="inlineStr">
        <is>
          <t>N</t>
        </is>
      </c>
      <c r="L547" t="inlineStr">
        <is>
          <t>N</t>
        </is>
      </c>
      <c r="M547" t="n">
        <v>4</v>
      </c>
      <c r="N547" t="n">
        <v>2</v>
      </c>
      <c r="O547" t="n">
        <v>4</v>
      </c>
      <c r="P547" t="n">
        <v>1</v>
      </c>
      <c r="Q547" t="n">
        <v>3</v>
      </c>
      <c r="R547">
        <f>IFERROR(XLOOKUP(XLOOKUP(D547,tblReleaseChanges[Change_ID],tblReleaseChanges[Oracle_Severity],""),tblSeverityMap[Severity_Text],tblSeverityMap[Score],0),0)</f>
        <v/>
      </c>
      <c r="S547" t="n">
        <v>3</v>
      </c>
      <c r="T547">
        <f>ROUND((M547*0.25)+(N547*0.20)+(O547*0.15)+(P547*0.15)+(Q547*0.10)+(R547*0.10)+(S547*0.05),2)</f>
        <v/>
      </c>
      <c r="U547">
        <f>IF(T547&gt;=4.25,"Critical",IF(T547&gt;=3.5,"High",IF(T547&gt;=2,"Medium","Low")))</f>
        <v/>
      </c>
      <c r="V547" t="inlineStr">
        <is>
          <t>Pending Review</t>
        </is>
      </c>
      <c r="W547" t="inlineStr"/>
      <c r="X547" t="inlineStr"/>
      <c r="Y547" t="inlineStr">
        <is>
          <t>Action type: Steps to Enable. Use the Opt In UI to enable this feature. For instructions, refer to the Optional Uptake of New Features section of this document. Offering: *Procureme</t>
        </is>
      </c>
      <c r="Z547" t="inlineStr">
        <is>
          <t>Y</t>
        </is>
      </c>
      <c r="AA547" t="inlineStr">
        <is>
          <t>Y</t>
        </is>
      </c>
    </row>
    <row r="548">
      <c r="A548" t="inlineStr">
        <is>
          <t>ASMT_IMP_0523</t>
        </is>
      </c>
      <c r="B548" t="inlineStr">
        <is>
          <t>CLT_DFL001</t>
        </is>
      </c>
      <c r="C548" t="inlineStr">
        <is>
          <t>REL_26C</t>
        </is>
      </c>
      <c r="D548" t="inlineStr">
        <is>
          <t>CHG_IMP_0523</t>
        </is>
      </c>
      <c r="E548" t="inlineStr">
        <is>
          <t>Functional</t>
        </is>
      </c>
      <c r="F548" t="inlineStr">
        <is>
          <t>Configuration</t>
        </is>
      </c>
      <c r="G548" t="inlineStr"/>
      <c r="H548" t="inlineStr">
        <is>
          <t>DFL Procurement impacted by Oracle 26C change</t>
        </is>
      </c>
      <c r="I548" t="inlineStr">
        <is>
          <t>Y</t>
        </is>
      </c>
      <c r="J548" t="inlineStr">
        <is>
          <t>N</t>
        </is>
      </c>
      <c r="K548" t="inlineStr">
        <is>
          <t>N</t>
        </is>
      </c>
      <c r="L548" t="inlineStr">
        <is>
          <t>N</t>
        </is>
      </c>
      <c r="M548" t="n">
        <v>4</v>
      </c>
      <c r="N548" t="n">
        <v>2</v>
      </c>
      <c r="O548" t="n">
        <v>4</v>
      </c>
      <c r="P548" t="n">
        <v>1</v>
      </c>
      <c r="Q548" t="n">
        <v>3</v>
      </c>
      <c r="R548">
        <f>IFERROR(XLOOKUP(XLOOKUP(D548,tblReleaseChanges[Change_ID],tblReleaseChanges[Oracle_Severity],""),tblSeverityMap[Severity_Text],tblSeverityMap[Score],0),0)</f>
        <v/>
      </c>
      <c r="S548" t="n">
        <v>3</v>
      </c>
      <c r="T548">
        <f>ROUND((M548*0.25)+(N548*0.20)+(O548*0.15)+(P548*0.15)+(Q548*0.10)+(R548*0.10)+(S548*0.05),2)</f>
        <v/>
      </c>
      <c r="U548">
        <f>IF(T548&gt;=4.25,"Critical",IF(T548&gt;=3.5,"High",IF(T548&gt;=2,"Medium","Low")))</f>
        <v/>
      </c>
      <c r="V548" t="inlineStr">
        <is>
          <t>Pending Review</t>
        </is>
      </c>
      <c r="W548" t="inlineStr"/>
      <c r="X548" t="inlineStr"/>
      <c r="Y548" t="inlineStr">
        <is>
          <t>Action type: Steps to Enable. This feature is available through a paid subscription with Sovos for the TINCheck API. **Subscription to Sovos TINCheck API** • If you already have</t>
        </is>
      </c>
      <c r="Z548" t="inlineStr">
        <is>
          <t>Y</t>
        </is>
      </c>
      <c r="AA548" t="inlineStr">
        <is>
          <t>Y</t>
        </is>
      </c>
    </row>
    <row r="549">
      <c r="A549" t="inlineStr">
        <is>
          <t>ASMT_IMP_0524</t>
        </is>
      </c>
      <c r="B549" t="inlineStr">
        <is>
          <t>CLT_DFL001</t>
        </is>
      </c>
      <c r="C549" t="inlineStr">
        <is>
          <t>REL_26C</t>
        </is>
      </c>
      <c r="D549" t="inlineStr">
        <is>
          <t>CHG_IMP_0524</t>
        </is>
      </c>
      <c r="E549" t="inlineStr">
        <is>
          <t>Functional</t>
        </is>
      </c>
      <c r="F549" t="inlineStr">
        <is>
          <t>Configuration</t>
        </is>
      </c>
      <c r="G549" t="inlineStr"/>
      <c r="H549" t="inlineStr">
        <is>
          <t>DFL Procurement impacted by Oracle 26C change</t>
        </is>
      </c>
      <c r="I549" t="inlineStr">
        <is>
          <t>Y</t>
        </is>
      </c>
      <c r="J549" t="inlineStr">
        <is>
          <t>N</t>
        </is>
      </c>
      <c r="K549" t="inlineStr">
        <is>
          <t>N</t>
        </is>
      </c>
      <c r="L549" t="inlineStr">
        <is>
          <t>N</t>
        </is>
      </c>
      <c r="M549" t="n">
        <v>4</v>
      </c>
      <c r="N549" t="n">
        <v>2</v>
      </c>
      <c r="O549" t="n">
        <v>4</v>
      </c>
      <c r="P549" t="n">
        <v>1</v>
      </c>
      <c r="Q549" t="n">
        <v>3</v>
      </c>
      <c r="R549">
        <f>IFERROR(XLOOKUP(XLOOKUP(D549,tblReleaseChanges[Change_ID],tblReleaseChanges[Oracle_Severity],""),tblSeverityMap[Severity_Text],tblSeverityMap[Score],0),0)</f>
        <v/>
      </c>
      <c r="S549" t="n">
        <v>3</v>
      </c>
      <c r="T549">
        <f>ROUND((M549*0.25)+(N549*0.20)+(O549*0.15)+(P549*0.15)+(Q549*0.10)+(R549*0.10)+(S549*0.05),2)</f>
        <v/>
      </c>
      <c r="U549">
        <f>IF(T549&gt;=4.25,"Critical",IF(T549&gt;=3.5,"High",IF(T549&gt;=2,"Medium","Low")))</f>
        <v/>
      </c>
      <c r="V549" t="inlineStr">
        <is>
          <t>Pending Review</t>
        </is>
      </c>
      <c r="W549" t="inlineStr"/>
      <c r="X549" t="inlineStr"/>
      <c r="Y549" t="inlineStr">
        <is>
          <t>Action type: Steps to Enable. If you haven't enabled Redwood for Purchasing, see the Getting Started with Redwood in Purchasing topic on the SCM Resource Center in Customer Connect.</t>
        </is>
      </c>
      <c r="Z549" t="inlineStr">
        <is>
          <t>Y</t>
        </is>
      </c>
      <c r="AA549" t="inlineStr">
        <is>
          <t>Y</t>
        </is>
      </c>
    </row>
    <row r="550">
      <c r="A550" t="inlineStr">
        <is>
          <t>ASMT_IMP_0525</t>
        </is>
      </c>
      <c r="B550" t="inlineStr">
        <is>
          <t>CLT_DFL001</t>
        </is>
      </c>
      <c r="C550" t="inlineStr">
        <is>
          <t>REL_26C</t>
        </is>
      </c>
      <c r="D550" t="inlineStr">
        <is>
          <t>CHG_IMP_0525</t>
        </is>
      </c>
      <c r="E550" t="inlineStr">
        <is>
          <t>Functional</t>
        </is>
      </c>
      <c r="F550" t="inlineStr">
        <is>
          <t>Configuration</t>
        </is>
      </c>
      <c r="G550" t="inlineStr"/>
      <c r="H550" t="inlineStr">
        <is>
          <t>DFL Procurement impacted by Oracle 26C change</t>
        </is>
      </c>
      <c r="I550" t="inlineStr">
        <is>
          <t>Y</t>
        </is>
      </c>
      <c r="J550" t="inlineStr">
        <is>
          <t>N</t>
        </is>
      </c>
      <c r="K550" t="inlineStr">
        <is>
          <t>N</t>
        </is>
      </c>
      <c r="L550" t="inlineStr">
        <is>
          <t>N</t>
        </is>
      </c>
      <c r="M550" t="n">
        <v>4</v>
      </c>
      <c r="N550" t="n">
        <v>2</v>
      </c>
      <c r="O550" t="n">
        <v>4</v>
      </c>
      <c r="P550" t="n">
        <v>1</v>
      </c>
      <c r="Q550" t="n">
        <v>3</v>
      </c>
      <c r="R550">
        <f>IFERROR(XLOOKUP(XLOOKUP(D550,tblReleaseChanges[Change_ID],tblReleaseChanges[Oracle_Severity],""),tblSeverityMap[Severity_Text],tblSeverityMap[Score],0),0)</f>
        <v/>
      </c>
      <c r="S550" t="n">
        <v>3</v>
      </c>
      <c r="T550">
        <f>ROUND((M550*0.25)+(N550*0.20)+(O550*0.15)+(P550*0.15)+(Q550*0.10)+(R550*0.10)+(S550*0.05),2)</f>
        <v/>
      </c>
      <c r="U550">
        <f>IF(T550&gt;=4.25,"Critical",IF(T550&gt;=3.5,"High",IF(T550&gt;=2,"Medium","Low")))</f>
        <v/>
      </c>
      <c r="V550" t="inlineStr">
        <is>
          <t>Pending Review</t>
        </is>
      </c>
      <c r="W550" t="inlineStr"/>
      <c r="X550" t="inlineStr"/>
      <c r="Y550" t="inlineStr">
        <is>
          <t>Action type: Steps to Enable. Use the Opt In UI to enable this feature. For instructions, refer to the Optional Uptake of New Features section of this document. Offering: *Procurement* To use t</t>
        </is>
      </c>
      <c r="Z550" t="inlineStr">
        <is>
          <t>Y</t>
        </is>
      </c>
      <c r="AA550" t="inlineStr">
        <is>
          <t>Y</t>
        </is>
      </c>
    </row>
    <row r="551">
      <c r="A551" t="inlineStr">
        <is>
          <t>ASMT_IMP_0526</t>
        </is>
      </c>
      <c r="B551" t="inlineStr">
        <is>
          <t>CLT_DFL001</t>
        </is>
      </c>
      <c r="C551" t="inlineStr">
        <is>
          <t>REL_26C</t>
        </is>
      </c>
      <c r="D551" t="inlineStr">
        <is>
          <t>CHG_IMP_0526</t>
        </is>
      </c>
      <c r="E551" t="inlineStr">
        <is>
          <t>Functional</t>
        </is>
      </c>
      <c r="F551" t="inlineStr">
        <is>
          <t>Configuration</t>
        </is>
      </c>
      <c r="G551" t="inlineStr"/>
      <c r="H551" t="inlineStr">
        <is>
          <t>DFL Procurement impacted by Oracle 26C change</t>
        </is>
      </c>
      <c r="I551" t="inlineStr">
        <is>
          <t>Y</t>
        </is>
      </c>
      <c r="J551" t="inlineStr">
        <is>
          <t>N</t>
        </is>
      </c>
      <c r="K551" t="inlineStr">
        <is>
          <t>N</t>
        </is>
      </c>
      <c r="L551" t="inlineStr">
        <is>
          <t>N</t>
        </is>
      </c>
      <c r="M551" t="n">
        <v>4</v>
      </c>
      <c r="N551" t="n">
        <v>2</v>
      </c>
      <c r="O551" t="n">
        <v>4</v>
      </c>
      <c r="P551" t="n">
        <v>1</v>
      </c>
      <c r="Q551" t="n">
        <v>3</v>
      </c>
      <c r="R551">
        <f>IFERROR(XLOOKUP(XLOOKUP(D551,tblReleaseChanges[Change_ID],tblReleaseChanges[Oracle_Severity],""),tblSeverityMap[Severity_Text],tblSeverityMap[Score],0),0)</f>
        <v/>
      </c>
      <c r="S551" t="n">
        <v>3</v>
      </c>
      <c r="T551">
        <f>ROUND((M551*0.25)+(N551*0.20)+(O551*0.15)+(P551*0.15)+(Q551*0.10)+(R551*0.10)+(S551*0.05),2)</f>
        <v/>
      </c>
      <c r="U551">
        <f>IF(T551&gt;=4.25,"Critical",IF(T551&gt;=3.5,"High",IF(T551&gt;=2,"Medium","Low")))</f>
        <v/>
      </c>
      <c r="V551" t="inlineStr">
        <is>
          <t>Pending Review</t>
        </is>
      </c>
      <c r="W551" t="inlineStr"/>
      <c r="X551" t="inlineStr"/>
      <c r="Y551" t="inlineStr">
        <is>
          <t xml:space="preserve">Action type: Steps to Enable. 1. Perform the following high-level tasks to set up your documents: • Define your providers. • Create connections. • Assign properties to your inbound order documents. • </t>
        </is>
      </c>
      <c r="Z551" t="inlineStr">
        <is>
          <t>Y</t>
        </is>
      </c>
      <c r="AA551" t="inlineStr">
        <is>
          <t>Y</t>
        </is>
      </c>
    </row>
    <row r="552">
      <c r="A552" t="inlineStr">
        <is>
          <t>ASMT_IMP_0527</t>
        </is>
      </c>
      <c r="B552" t="inlineStr">
        <is>
          <t>CLT_DFL001</t>
        </is>
      </c>
      <c r="C552" t="inlineStr">
        <is>
          <t>REL_26C</t>
        </is>
      </c>
      <c r="D552" t="inlineStr">
        <is>
          <t>CHG_IMP_0527</t>
        </is>
      </c>
      <c r="E552" t="inlineStr">
        <is>
          <t>Functional</t>
        </is>
      </c>
      <c r="F552" t="inlineStr">
        <is>
          <t>Configuration</t>
        </is>
      </c>
      <c r="G552" t="inlineStr"/>
      <c r="H552" t="inlineStr">
        <is>
          <t>DFL Procurement impacted by Oracle 26C change</t>
        </is>
      </c>
      <c r="I552" t="inlineStr">
        <is>
          <t>Y</t>
        </is>
      </c>
      <c r="J552" t="inlineStr">
        <is>
          <t>N</t>
        </is>
      </c>
      <c r="K552" t="inlineStr">
        <is>
          <t>N</t>
        </is>
      </c>
      <c r="L552" t="inlineStr">
        <is>
          <t>N</t>
        </is>
      </c>
      <c r="M552" t="n">
        <v>4</v>
      </c>
      <c r="N552" t="n">
        <v>2</v>
      </c>
      <c r="O552" t="n">
        <v>4</v>
      </c>
      <c r="P552" t="n">
        <v>1</v>
      </c>
      <c r="Q552" t="n">
        <v>3</v>
      </c>
      <c r="R552">
        <f>IFERROR(XLOOKUP(XLOOKUP(D552,tblReleaseChanges[Change_ID],tblReleaseChanges[Oracle_Severity],""),tblSeverityMap[Severity_Text],tblSeverityMap[Score],0),0)</f>
        <v/>
      </c>
      <c r="S552" t="n">
        <v>3</v>
      </c>
      <c r="T552">
        <f>ROUND((M552*0.25)+(N552*0.20)+(O552*0.15)+(P552*0.15)+(Q552*0.10)+(R552*0.10)+(S552*0.05),2)</f>
        <v/>
      </c>
      <c r="U552">
        <f>IF(T552&gt;=4.25,"Critical",IF(T552&gt;=3.5,"High",IF(T552&gt;=2,"Medium","Low")))</f>
        <v/>
      </c>
      <c r="V552" t="inlineStr">
        <is>
          <t>Pending Review</t>
        </is>
      </c>
      <c r="W552" t="inlineStr"/>
      <c r="X552" t="inlineStr"/>
      <c r="Y552" t="inlineStr">
        <is>
          <t>Action type: Steps to Enable. Use the Opt In UI to enable this feature. For instructions, refer to the Optional Uptake of New Features section of this doc</t>
        </is>
      </c>
      <c r="Z552" t="inlineStr">
        <is>
          <t>Y</t>
        </is>
      </c>
      <c r="AA552" t="inlineStr">
        <is>
          <t>Y</t>
        </is>
      </c>
    </row>
    <row r="553">
      <c r="A553" t="inlineStr">
        <is>
          <t>ASMT_IMP_0528</t>
        </is>
      </c>
      <c r="B553" t="inlineStr">
        <is>
          <t>CLT_DFL001</t>
        </is>
      </c>
      <c r="C553" t="inlineStr">
        <is>
          <t>REL_26C</t>
        </is>
      </c>
      <c r="D553" t="inlineStr">
        <is>
          <t>CHG_IMP_0528</t>
        </is>
      </c>
      <c r="E553" t="inlineStr">
        <is>
          <t>Functional</t>
        </is>
      </c>
      <c r="F553" t="inlineStr">
        <is>
          <t>Configuration</t>
        </is>
      </c>
      <c r="G553" t="inlineStr"/>
      <c r="H553" t="inlineStr">
        <is>
          <t>DFL Procurement impacted by Oracle 26C change</t>
        </is>
      </c>
      <c r="I553" t="inlineStr">
        <is>
          <t>Y</t>
        </is>
      </c>
      <c r="J553" t="inlineStr">
        <is>
          <t>N</t>
        </is>
      </c>
      <c r="K553" t="inlineStr">
        <is>
          <t>N</t>
        </is>
      </c>
      <c r="L553" t="inlineStr">
        <is>
          <t>N</t>
        </is>
      </c>
      <c r="M553" t="n">
        <v>4</v>
      </c>
      <c r="N553" t="n">
        <v>2</v>
      </c>
      <c r="O553" t="n">
        <v>4</v>
      </c>
      <c r="P553" t="n">
        <v>1</v>
      </c>
      <c r="Q553" t="n">
        <v>3</v>
      </c>
      <c r="R553">
        <f>IFERROR(XLOOKUP(XLOOKUP(D553,tblReleaseChanges[Change_ID],tblReleaseChanges[Oracle_Severity],""),tblSeverityMap[Severity_Text],tblSeverityMap[Score],0),0)</f>
        <v/>
      </c>
      <c r="S553" t="n">
        <v>1</v>
      </c>
      <c r="T553">
        <f>ROUND((M553*0.25)+(N553*0.20)+(O553*0.15)+(P553*0.15)+(Q553*0.10)+(R553*0.10)+(S553*0.05),2)</f>
        <v/>
      </c>
      <c r="U553">
        <f>IF(T553&gt;=4.25,"Critical",IF(T553&gt;=3.5,"High",IF(T553&gt;=2,"Medium","Low")))</f>
        <v/>
      </c>
      <c r="V553" t="inlineStr">
        <is>
          <t>Pending Review</t>
        </is>
      </c>
      <c r="W553" t="inlineStr"/>
      <c r="X553" t="inlineStr"/>
      <c r="Y553" t="inlineStr">
        <is>
          <t>Auto-enabled — no action required</t>
        </is>
      </c>
      <c r="Z553" t="inlineStr">
        <is>
          <t>N</t>
        </is>
      </c>
      <c r="AA553" t="inlineStr">
        <is>
          <t>N</t>
        </is>
      </c>
    </row>
    <row r="554">
      <c r="A554" t="inlineStr">
        <is>
          <t>ASMT_IMP_0529</t>
        </is>
      </c>
      <c r="B554" t="inlineStr">
        <is>
          <t>CLT_DFL001</t>
        </is>
      </c>
      <c r="C554" t="inlineStr">
        <is>
          <t>REL_26C</t>
        </is>
      </c>
      <c r="D554" t="inlineStr">
        <is>
          <t>CHG_IMP_0529</t>
        </is>
      </c>
      <c r="E554" t="inlineStr">
        <is>
          <t>Functional</t>
        </is>
      </c>
      <c r="F554" t="inlineStr">
        <is>
          <t>Configuration</t>
        </is>
      </c>
      <c r="G554" t="inlineStr"/>
      <c r="H554" t="inlineStr">
        <is>
          <t>DFL Procurement impacted by Oracle 26C change</t>
        </is>
      </c>
      <c r="I554" t="inlineStr">
        <is>
          <t>Y</t>
        </is>
      </c>
      <c r="J554" t="inlineStr">
        <is>
          <t>N</t>
        </is>
      </c>
      <c r="K554" t="inlineStr">
        <is>
          <t>N</t>
        </is>
      </c>
      <c r="L554" t="inlineStr">
        <is>
          <t>N</t>
        </is>
      </c>
      <c r="M554" t="n">
        <v>4</v>
      </c>
      <c r="N554" t="n">
        <v>2</v>
      </c>
      <c r="O554" t="n">
        <v>4</v>
      </c>
      <c r="P554" t="n">
        <v>1</v>
      </c>
      <c r="Q554" t="n">
        <v>3</v>
      </c>
      <c r="R554">
        <f>IFERROR(XLOOKUP(XLOOKUP(D554,tblReleaseChanges[Change_ID],tblReleaseChanges[Oracle_Severity],""),tblSeverityMap[Severity_Text],tblSeverityMap[Score],0),0)</f>
        <v/>
      </c>
      <c r="S554" t="n">
        <v>1</v>
      </c>
      <c r="T554">
        <f>ROUND((M554*0.25)+(N554*0.20)+(O554*0.15)+(P554*0.15)+(Q554*0.10)+(R554*0.10)+(S554*0.05),2)</f>
        <v/>
      </c>
      <c r="U554">
        <f>IF(T554&gt;=4.25,"Critical",IF(T554&gt;=3.5,"High",IF(T554&gt;=2,"Medium","Low")))</f>
        <v/>
      </c>
      <c r="V554" t="inlineStr">
        <is>
          <t>Pending Review</t>
        </is>
      </c>
      <c r="W554" t="inlineStr"/>
      <c r="X554" t="inlineStr"/>
      <c r="Y554" t="inlineStr">
        <is>
          <t>Auto-enabled — no action required</t>
        </is>
      </c>
      <c r="Z554" t="inlineStr">
        <is>
          <t>N</t>
        </is>
      </c>
      <c r="AA554" t="inlineStr">
        <is>
          <t>N</t>
        </is>
      </c>
    </row>
    <row r="555">
      <c r="A555" t="inlineStr">
        <is>
          <t>ASMT_IMP_0530</t>
        </is>
      </c>
      <c r="B555" t="inlineStr">
        <is>
          <t>CLT_DFL001</t>
        </is>
      </c>
      <c r="C555" t="inlineStr">
        <is>
          <t>REL_26C</t>
        </is>
      </c>
      <c r="D555" t="inlineStr">
        <is>
          <t>CHG_IMP_0530</t>
        </is>
      </c>
      <c r="E555" t="inlineStr">
        <is>
          <t>Functional</t>
        </is>
      </c>
      <c r="F555" t="inlineStr">
        <is>
          <t>Configuration</t>
        </is>
      </c>
      <c r="G555" t="inlineStr"/>
      <c r="H555" t="inlineStr">
        <is>
          <t>DFL Procurement impacted by Oracle 26C change</t>
        </is>
      </c>
      <c r="I555" t="inlineStr">
        <is>
          <t>Y</t>
        </is>
      </c>
      <c r="J555" t="inlineStr">
        <is>
          <t>N</t>
        </is>
      </c>
      <c r="K555" t="inlineStr">
        <is>
          <t>N</t>
        </is>
      </c>
      <c r="L555" t="inlineStr">
        <is>
          <t>N</t>
        </is>
      </c>
      <c r="M555" t="n">
        <v>4</v>
      </c>
      <c r="N555" t="n">
        <v>2</v>
      </c>
      <c r="O555" t="n">
        <v>4</v>
      </c>
      <c r="P555" t="n">
        <v>1</v>
      </c>
      <c r="Q555" t="n">
        <v>3</v>
      </c>
      <c r="R555">
        <f>IFERROR(XLOOKUP(XLOOKUP(D555,tblReleaseChanges[Change_ID],tblReleaseChanges[Oracle_Severity],""),tblSeverityMap[Severity_Text],tblSeverityMap[Score],0),0)</f>
        <v/>
      </c>
      <c r="S555" t="n">
        <v>1</v>
      </c>
      <c r="T555">
        <f>ROUND((M555*0.25)+(N555*0.20)+(O555*0.15)+(P555*0.15)+(Q555*0.10)+(R555*0.10)+(S555*0.05),2)</f>
        <v/>
      </c>
      <c r="U555">
        <f>IF(T555&gt;=4.25,"Critical",IF(T555&gt;=3.5,"High",IF(T555&gt;=2,"Medium","Low")))</f>
        <v/>
      </c>
      <c r="V555" t="inlineStr">
        <is>
          <t>Pending Review</t>
        </is>
      </c>
      <c r="W555" t="inlineStr"/>
      <c r="X555" t="inlineStr"/>
      <c r="Y555" t="inlineStr">
        <is>
          <t>Auto-enabled — no action required</t>
        </is>
      </c>
      <c r="Z555" t="inlineStr">
        <is>
          <t>N</t>
        </is>
      </c>
      <c r="AA555" t="inlineStr">
        <is>
          <t>N</t>
        </is>
      </c>
    </row>
    <row r="556">
      <c r="A556" t="inlineStr">
        <is>
          <t>ASMT_IMP_0531</t>
        </is>
      </c>
      <c r="B556" t="inlineStr">
        <is>
          <t>CLT_DFL001</t>
        </is>
      </c>
      <c r="C556" t="inlineStr">
        <is>
          <t>REL_26C</t>
        </is>
      </c>
      <c r="D556" t="inlineStr">
        <is>
          <t>CHG_IMP_0531</t>
        </is>
      </c>
      <c r="E556" t="inlineStr">
        <is>
          <t>Functional</t>
        </is>
      </c>
      <c r="F556" t="inlineStr">
        <is>
          <t>Configuration</t>
        </is>
      </c>
      <c r="G556" t="inlineStr"/>
      <c r="H556" t="inlineStr">
        <is>
          <t>DFL Procurement impacted by Oracle 26C change</t>
        </is>
      </c>
      <c r="I556" t="inlineStr">
        <is>
          <t>Y</t>
        </is>
      </c>
      <c r="J556" t="inlineStr">
        <is>
          <t>N</t>
        </is>
      </c>
      <c r="K556" t="inlineStr">
        <is>
          <t>N</t>
        </is>
      </c>
      <c r="L556" t="inlineStr">
        <is>
          <t>N</t>
        </is>
      </c>
      <c r="M556" t="n">
        <v>4</v>
      </c>
      <c r="N556" t="n">
        <v>2</v>
      </c>
      <c r="O556" t="n">
        <v>4</v>
      </c>
      <c r="P556" t="n">
        <v>1</v>
      </c>
      <c r="Q556" t="n">
        <v>3</v>
      </c>
      <c r="R556">
        <f>IFERROR(XLOOKUP(XLOOKUP(D556,tblReleaseChanges[Change_ID],tblReleaseChanges[Oracle_Severity],""),tblSeverityMap[Severity_Text],tblSeverityMap[Score],0),0)</f>
        <v/>
      </c>
      <c r="S556" t="n">
        <v>3</v>
      </c>
      <c r="T556">
        <f>ROUND((M556*0.25)+(N556*0.20)+(O556*0.15)+(P556*0.15)+(Q556*0.10)+(R556*0.10)+(S556*0.05),2)</f>
        <v/>
      </c>
      <c r="U556">
        <f>IF(T556&gt;=4.25,"Critical",IF(T556&gt;=3.5,"High",IF(T556&gt;=2,"Medium","Low")))</f>
        <v/>
      </c>
      <c r="V556" t="inlineStr">
        <is>
          <t>Pending Review</t>
        </is>
      </c>
      <c r="W556" t="inlineStr"/>
      <c r="X556" t="inlineStr"/>
      <c r="Y556" t="inlineStr">
        <is>
          <t>Action type: Steps to Enable. After you enable the **Simplify Configuration and Processing for B2B Messaging** feature, perform the following high-level tasks: 1. Create an implementation project. 2.</t>
        </is>
      </c>
      <c r="Z556" t="inlineStr">
        <is>
          <t>Y</t>
        </is>
      </c>
      <c r="AA556" t="inlineStr">
        <is>
          <t>Y</t>
        </is>
      </c>
    </row>
    <row r="557">
      <c r="A557" t="inlineStr">
        <is>
          <t>ASMT_IMP_0532</t>
        </is>
      </c>
      <c r="B557" t="inlineStr">
        <is>
          <t>CLT_DFL001</t>
        </is>
      </c>
      <c r="C557" t="inlineStr">
        <is>
          <t>REL_26C</t>
        </is>
      </c>
      <c r="D557" t="inlineStr">
        <is>
          <t>CHG_IMP_0532</t>
        </is>
      </c>
      <c r="E557" t="inlineStr">
        <is>
          <t>Functional</t>
        </is>
      </c>
      <c r="F557" t="inlineStr">
        <is>
          <t>Configuration</t>
        </is>
      </c>
      <c r="G557" t="inlineStr"/>
      <c r="H557" t="inlineStr">
        <is>
          <t>DFL Procurement impacted by Oracle 26C change</t>
        </is>
      </c>
      <c r="I557" t="inlineStr">
        <is>
          <t>Y</t>
        </is>
      </c>
      <c r="J557" t="inlineStr">
        <is>
          <t>N</t>
        </is>
      </c>
      <c r="K557" t="inlineStr">
        <is>
          <t>N</t>
        </is>
      </c>
      <c r="L557" t="inlineStr">
        <is>
          <t>N</t>
        </is>
      </c>
      <c r="M557" t="n">
        <v>4</v>
      </c>
      <c r="N557" t="n">
        <v>2</v>
      </c>
      <c r="O557" t="n">
        <v>4</v>
      </c>
      <c r="P557" t="n">
        <v>1</v>
      </c>
      <c r="Q557" t="n">
        <v>3</v>
      </c>
      <c r="R557">
        <f>IFERROR(XLOOKUP(XLOOKUP(D557,tblReleaseChanges[Change_ID],tblReleaseChanges[Oracle_Severity],""),tblSeverityMap[Severity_Text],tblSeverityMap[Score],0),0)</f>
        <v/>
      </c>
      <c r="S557" t="n">
        <v>3</v>
      </c>
      <c r="T557">
        <f>ROUND((M557*0.25)+(N557*0.20)+(O557*0.15)+(P557*0.15)+(Q557*0.10)+(R557*0.10)+(S557*0.05),2)</f>
        <v/>
      </c>
      <c r="U557">
        <f>IF(T557&gt;=4.25,"Critical",IF(T557&gt;=3.5,"High",IF(T557&gt;=2,"Medium","Low")))</f>
        <v/>
      </c>
      <c r="V557" t="inlineStr">
        <is>
          <t>Pending Review</t>
        </is>
      </c>
      <c r="W557" t="inlineStr"/>
      <c r="X557" t="inlineStr"/>
      <c r="Y557" t="inlineStr">
        <is>
          <t>Action type: Steps to Enable. You can access this functionality by enabling the feature **Simplify Configuration and Processing for B2B Messaging**. Perform the following high-level tasks to set up yo</t>
        </is>
      </c>
      <c r="Z557" t="inlineStr">
        <is>
          <t>Y</t>
        </is>
      </c>
      <c r="AA557" t="inlineStr">
        <is>
          <t>Y</t>
        </is>
      </c>
    </row>
    <row r="558">
      <c r="A558" t="inlineStr">
        <is>
          <t>ASMT_IMP_0533</t>
        </is>
      </c>
      <c r="B558" t="inlineStr">
        <is>
          <t>CLT_DFL001</t>
        </is>
      </c>
      <c r="C558" t="inlineStr">
        <is>
          <t>REL_26C</t>
        </is>
      </c>
      <c r="D558" t="inlineStr">
        <is>
          <t>CHG_IMP_0533</t>
        </is>
      </c>
      <c r="E558" t="inlineStr">
        <is>
          <t>Functional</t>
        </is>
      </c>
      <c r="F558" t="inlineStr">
        <is>
          <t>Configuration</t>
        </is>
      </c>
      <c r="G558" t="inlineStr"/>
      <c r="H558" t="inlineStr">
        <is>
          <t>DFL Procurement impacted by Oracle 26C change</t>
        </is>
      </c>
      <c r="I558" t="inlineStr">
        <is>
          <t>Y</t>
        </is>
      </c>
      <c r="J558" t="inlineStr">
        <is>
          <t>N</t>
        </is>
      </c>
      <c r="K558" t="inlineStr">
        <is>
          <t>N</t>
        </is>
      </c>
      <c r="L558" t="inlineStr">
        <is>
          <t>N</t>
        </is>
      </c>
      <c r="M558" t="n">
        <v>4</v>
      </c>
      <c r="N558" t="n">
        <v>2</v>
      </c>
      <c r="O558" t="n">
        <v>4</v>
      </c>
      <c r="P558" t="n">
        <v>1</v>
      </c>
      <c r="Q558" t="n">
        <v>3</v>
      </c>
      <c r="R558">
        <f>IFERROR(XLOOKUP(XLOOKUP(D558,tblReleaseChanges[Change_ID],tblReleaseChanges[Oracle_Severity],""),tblSeverityMap[Severity_Text],tblSeverityMap[Score],0),0)</f>
        <v/>
      </c>
      <c r="S558" t="n">
        <v>1</v>
      </c>
      <c r="T558">
        <f>ROUND((M558*0.25)+(N558*0.20)+(O558*0.15)+(P558*0.15)+(Q558*0.10)+(R558*0.10)+(S558*0.05),2)</f>
        <v/>
      </c>
      <c r="U558">
        <f>IF(T558&gt;=4.25,"Critical",IF(T558&gt;=3.5,"High",IF(T558&gt;=2,"Medium","Low")))</f>
        <v/>
      </c>
      <c r="V558" t="inlineStr">
        <is>
          <t>Pending Review</t>
        </is>
      </c>
      <c r="W558" t="inlineStr"/>
      <c r="X558" t="inlineStr"/>
      <c r="Y558" t="inlineStr">
        <is>
          <t>Auto-enabled — no action required</t>
        </is>
      </c>
      <c r="Z558" t="inlineStr">
        <is>
          <t>N</t>
        </is>
      </c>
      <c r="AA558" t="inlineStr">
        <is>
          <t>N</t>
        </is>
      </c>
    </row>
    <row r="559">
      <c r="A559" t="inlineStr">
        <is>
          <t>ASMT_IMP_0534</t>
        </is>
      </c>
      <c r="B559" t="inlineStr">
        <is>
          <t>CLT_DFL001</t>
        </is>
      </c>
      <c r="C559" t="inlineStr">
        <is>
          <t>REL_26C</t>
        </is>
      </c>
      <c r="D559" t="inlineStr">
        <is>
          <t>CHG_IMP_0534</t>
        </is>
      </c>
      <c r="E559" t="inlineStr">
        <is>
          <t>AI Feature</t>
        </is>
      </c>
      <c r="F559" t="inlineStr">
        <is>
          <t>Configuration</t>
        </is>
      </c>
      <c r="G559" t="inlineStr"/>
      <c r="H559" t="inlineStr">
        <is>
          <t>DFL Self Service Procurement impacted by Oracle 26C change</t>
        </is>
      </c>
      <c r="I559" t="inlineStr">
        <is>
          <t>Y</t>
        </is>
      </c>
      <c r="J559" t="inlineStr">
        <is>
          <t>N</t>
        </is>
      </c>
      <c r="K559" t="inlineStr">
        <is>
          <t>N</t>
        </is>
      </c>
      <c r="L559" t="inlineStr">
        <is>
          <t>N</t>
        </is>
      </c>
      <c r="M559" t="n">
        <v>3</v>
      </c>
      <c r="N559" t="n">
        <v>2</v>
      </c>
      <c r="O559" t="n">
        <v>2</v>
      </c>
      <c r="P559" t="n">
        <v>3</v>
      </c>
      <c r="Q559" t="n">
        <v>3</v>
      </c>
      <c r="R559">
        <f>IFERROR(XLOOKUP(XLOOKUP(D559,tblReleaseChanges[Change_ID],tblReleaseChanges[Oracle_Severity],""),tblSeverityMap[Severity_Text],tblSeverityMap[Score],0),0)</f>
        <v/>
      </c>
      <c r="S559" t="n">
        <v>2</v>
      </c>
      <c r="T559">
        <f>ROUND((M559*0.25)+(N559*0.20)+(O559*0.15)+(P559*0.15)+(Q559*0.10)+(R559*0.10)+(S559*0.05),2)</f>
        <v/>
      </c>
      <c r="U559">
        <f>IF(T559&gt;=4.25,"Critical",IF(T559&gt;=3.5,"High",IF(T559&gt;=2,"Medium","Low")))</f>
        <v/>
      </c>
      <c r="V559" t="inlineStr">
        <is>
          <t>Pending Review</t>
        </is>
      </c>
      <c r="W559" t="inlineStr"/>
      <c r="X559" t="inlineStr"/>
      <c r="Y559" t="inlineStr">
        <is>
          <t>Action type: Steps to Enable. To enable the Requisition Creation Guide AI agent, follow these steps: • In Oracle Virtual Builder Studio, navigate to</t>
        </is>
      </c>
      <c r="Z559" t="inlineStr">
        <is>
          <t>Y</t>
        </is>
      </c>
      <c r="AA559" t="inlineStr">
        <is>
          <t>N</t>
        </is>
      </c>
    </row>
    <row r="560">
      <c r="A560" t="inlineStr">
        <is>
          <t>ASMT_IMP_0535</t>
        </is>
      </c>
      <c r="B560" t="inlineStr">
        <is>
          <t>CLT_DFL001</t>
        </is>
      </c>
      <c r="C560" t="inlineStr">
        <is>
          <t>REL_26C</t>
        </is>
      </c>
      <c r="D560" t="inlineStr">
        <is>
          <t>CHG_IMP_0535</t>
        </is>
      </c>
      <c r="E560" t="inlineStr">
        <is>
          <t>Functional</t>
        </is>
      </c>
      <c r="F560" t="inlineStr">
        <is>
          <t>Configuration</t>
        </is>
      </c>
      <c r="G560" t="inlineStr"/>
      <c r="H560" t="inlineStr">
        <is>
          <t>DFL Self Service Procurement impacted by Oracle 26C change</t>
        </is>
      </c>
      <c r="I560" t="inlineStr">
        <is>
          <t>Y</t>
        </is>
      </c>
      <c r="J560" t="inlineStr">
        <is>
          <t>N</t>
        </is>
      </c>
      <c r="K560" t="inlineStr">
        <is>
          <t>N</t>
        </is>
      </c>
      <c r="L560" t="inlineStr">
        <is>
          <t>N</t>
        </is>
      </c>
      <c r="M560" t="n">
        <v>3</v>
      </c>
      <c r="N560" t="n">
        <v>2</v>
      </c>
      <c r="O560" t="n">
        <v>2</v>
      </c>
      <c r="P560" t="n">
        <v>1</v>
      </c>
      <c r="Q560" t="n">
        <v>3</v>
      </c>
      <c r="R560">
        <f>IFERROR(XLOOKUP(XLOOKUP(D560,tblReleaseChanges[Change_ID],tblReleaseChanges[Oracle_Severity],""),tblSeverityMap[Severity_Text],tblSeverityMap[Score],0),0)</f>
        <v/>
      </c>
      <c r="S560" t="n">
        <v>1</v>
      </c>
      <c r="T560">
        <f>ROUND((M560*0.25)+(N560*0.20)+(O560*0.15)+(P560*0.15)+(Q560*0.10)+(R560*0.10)+(S560*0.05),2)</f>
        <v/>
      </c>
      <c r="U560">
        <f>IF(T560&gt;=4.25,"Critical",IF(T560&gt;=3.5,"High",IF(T560&gt;=2,"Medium","Low")))</f>
        <v/>
      </c>
      <c r="V560" t="inlineStr">
        <is>
          <t>Pending Review</t>
        </is>
      </c>
      <c r="W560" t="inlineStr"/>
      <c r="X560" t="inlineStr"/>
      <c r="Y560" t="inlineStr">
        <is>
          <t>Auto-enabled — no action required</t>
        </is>
      </c>
      <c r="Z560" t="inlineStr">
        <is>
          <t>N</t>
        </is>
      </c>
      <c r="AA560" t="inlineStr">
        <is>
          <t>N</t>
        </is>
      </c>
    </row>
    <row r="561">
      <c r="A561" t="inlineStr">
        <is>
          <t>ASMT_IMP_0536</t>
        </is>
      </c>
      <c r="B561" t="inlineStr">
        <is>
          <t>CLT_DFL001</t>
        </is>
      </c>
      <c r="C561" t="inlineStr">
        <is>
          <t>REL_26C</t>
        </is>
      </c>
      <c r="D561" t="inlineStr">
        <is>
          <t>CHG_IMP_0536</t>
        </is>
      </c>
      <c r="E561" t="inlineStr">
        <is>
          <t>Functional</t>
        </is>
      </c>
      <c r="F561" t="inlineStr">
        <is>
          <t>Configuration</t>
        </is>
      </c>
      <c r="G561" t="inlineStr"/>
      <c r="H561" t="inlineStr">
        <is>
          <t>DFL Self Service Procurement impacted by Oracle 26C change</t>
        </is>
      </c>
      <c r="I561" t="inlineStr">
        <is>
          <t>Y</t>
        </is>
      </c>
      <c r="J561" t="inlineStr">
        <is>
          <t>N</t>
        </is>
      </c>
      <c r="K561" t="inlineStr">
        <is>
          <t>N</t>
        </is>
      </c>
      <c r="L561" t="inlineStr">
        <is>
          <t>N</t>
        </is>
      </c>
      <c r="M561" t="n">
        <v>3</v>
      </c>
      <c r="N561" t="n">
        <v>2</v>
      </c>
      <c r="O561" t="n">
        <v>2</v>
      </c>
      <c r="P561" t="n">
        <v>1</v>
      </c>
      <c r="Q561" t="n">
        <v>3</v>
      </c>
      <c r="R561">
        <f>IFERROR(XLOOKUP(XLOOKUP(D561,tblReleaseChanges[Change_ID],tblReleaseChanges[Oracle_Severity],""),tblSeverityMap[Severity_Text],tblSeverityMap[Score],0),0)</f>
        <v/>
      </c>
      <c r="S561" t="n">
        <v>2</v>
      </c>
      <c r="T561">
        <f>ROUND((M561*0.25)+(N561*0.20)+(O561*0.15)+(P561*0.15)+(Q561*0.10)+(R561*0.10)+(S561*0.05),2)</f>
        <v/>
      </c>
      <c r="U561">
        <f>IF(T561&gt;=4.25,"Critical",IF(T561&gt;=3.5,"High",IF(T561&gt;=2,"Medium","Low")))</f>
        <v/>
      </c>
      <c r="V561" t="inlineStr">
        <is>
          <t>Pending Review</t>
        </is>
      </c>
      <c r="W561" t="inlineStr"/>
      <c r="X561" t="inlineStr"/>
      <c r="Y561" t="inlineStr">
        <is>
          <t>Action type: Steps to Enable. Leverage the Visual Builder Studio to expose your applications. To learn more about extending your application using Visual Builder, visit Oracle H</t>
        </is>
      </c>
      <c r="Z561" t="inlineStr">
        <is>
          <t>Y</t>
        </is>
      </c>
      <c r="AA561" t="inlineStr">
        <is>
          <t>N</t>
        </is>
      </c>
    </row>
    <row r="562">
      <c r="A562" t="inlineStr">
        <is>
          <t>ASMT_IMP_0537</t>
        </is>
      </c>
      <c r="B562" t="inlineStr">
        <is>
          <t>CLT_DFL001</t>
        </is>
      </c>
      <c r="C562" t="inlineStr">
        <is>
          <t>REL_26C</t>
        </is>
      </c>
      <c r="D562" t="inlineStr">
        <is>
          <t>CHG_IMP_0537</t>
        </is>
      </c>
      <c r="E562" t="inlineStr">
        <is>
          <t>Functional</t>
        </is>
      </c>
      <c r="F562" t="inlineStr">
        <is>
          <t>Configuration</t>
        </is>
      </c>
      <c r="G562" t="inlineStr"/>
      <c r="H562" t="inlineStr">
        <is>
          <t>DFL Self Service Procurement impacted by Oracle 26C change</t>
        </is>
      </c>
      <c r="I562" t="inlineStr">
        <is>
          <t>Y</t>
        </is>
      </c>
      <c r="J562" t="inlineStr">
        <is>
          <t>N</t>
        </is>
      </c>
      <c r="K562" t="inlineStr">
        <is>
          <t>N</t>
        </is>
      </c>
      <c r="L562" t="inlineStr">
        <is>
          <t>N</t>
        </is>
      </c>
      <c r="M562" t="n">
        <v>3</v>
      </c>
      <c r="N562" t="n">
        <v>2</v>
      </c>
      <c r="O562" t="n">
        <v>2</v>
      </c>
      <c r="P562" t="n">
        <v>1</v>
      </c>
      <c r="Q562" t="n">
        <v>3</v>
      </c>
      <c r="R562">
        <f>IFERROR(XLOOKUP(XLOOKUP(D562,tblReleaseChanges[Change_ID],tblReleaseChanges[Oracle_Severity],""),tblSeverityMap[Severity_Text],tblSeverityMap[Score],0),0)</f>
        <v/>
      </c>
      <c r="S562" t="n">
        <v>1</v>
      </c>
      <c r="T562">
        <f>ROUND((M562*0.25)+(N562*0.20)+(O562*0.15)+(P562*0.15)+(Q562*0.10)+(R562*0.10)+(S562*0.05),2)</f>
        <v/>
      </c>
      <c r="U562">
        <f>IF(T562&gt;=4.25,"Critical",IF(T562&gt;=3.5,"High",IF(T562&gt;=2,"Medium","Low")))</f>
        <v/>
      </c>
      <c r="V562" t="inlineStr">
        <is>
          <t>Pending Review</t>
        </is>
      </c>
      <c r="W562" t="inlineStr"/>
      <c r="X562" t="inlineStr"/>
      <c r="Y562" t="inlineStr">
        <is>
          <t>Auto-enabled — no action required</t>
        </is>
      </c>
      <c r="Z562" t="inlineStr">
        <is>
          <t>N</t>
        </is>
      </c>
      <c r="AA562" t="inlineStr">
        <is>
          <t>N</t>
        </is>
      </c>
    </row>
    <row r="563">
      <c r="A563" t="inlineStr">
        <is>
          <t>ASMT_IMP_0538</t>
        </is>
      </c>
      <c r="B563" t="inlineStr">
        <is>
          <t>CLT_DFL001</t>
        </is>
      </c>
      <c r="C563" t="inlineStr">
        <is>
          <t>REL_26C</t>
        </is>
      </c>
      <c r="D563" t="inlineStr">
        <is>
          <t>CHG_IMP_0538</t>
        </is>
      </c>
      <c r="E563" t="inlineStr">
        <is>
          <t>Functional</t>
        </is>
      </c>
      <c r="F563" t="inlineStr">
        <is>
          <t>Configuration</t>
        </is>
      </c>
      <c r="G563" t="inlineStr"/>
      <c r="H563" t="inlineStr">
        <is>
          <t>DFL Self Service Procurement impacted by Oracle 26C change</t>
        </is>
      </c>
      <c r="I563" t="inlineStr">
        <is>
          <t>Y</t>
        </is>
      </c>
      <c r="J563" t="inlineStr">
        <is>
          <t>N</t>
        </is>
      </c>
      <c r="K563" t="inlineStr">
        <is>
          <t>N</t>
        </is>
      </c>
      <c r="L563" t="inlineStr">
        <is>
          <t>N</t>
        </is>
      </c>
      <c r="M563" t="n">
        <v>3</v>
      </c>
      <c r="N563" t="n">
        <v>2</v>
      </c>
      <c r="O563" t="n">
        <v>2</v>
      </c>
      <c r="P563" t="n">
        <v>1</v>
      </c>
      <c r="Q563" t="n">
        <v>3</v>
      </c>
      <c r="R563">
        <f>IFERROR(XLOOKUP(XLOOKUP(D563,tblReleaseChanges[Change_ID],tblReleaseChanges[Oracle_Severity],""),tblSeverityMap[Severity_Text],tblSeverityMap[Score],0),0)</f>
        <v/>
      </c>
      <c r="S563" t="n">
        <v>1</v>
      </c>
      <c r="T563">
        <f>ROUND((M563*0.25)+(N563*0.20)+(O563*0.15)+(P563*0.15)+(Q563*0.10)+(R563*0.10)+(S563*0.05),2)</f>
        <v/>
      </c>
      <c r="U563">
        <f>IF(T563&gt;=4.25,"Critical",IF(T563&gt;=3.5,"High",IF(T563&gt;=2,"Medium","Low")))</f>
        <v/>
      </c>
      <c r="V563" t="inlineStr">
        <is>
          <t>Pending Review</t>
        </is>
      </c>
      <c r="W563" t="inlineStr"/>
      <c r="X563" t="inlineStr"/>
      <c r="Y563" t="inlineStr">
        <is>
          <t>Auto-enabled — no action required</t>
        </is>
      </c>
      <c r="Z563" t="inlineStr">
        <is>
          <t>N</t>
        </is>
      </c>
      <c r="AA563" t="inlineStr">
        <is>
          <t>N</t>
        </is>
      </c>
    </row>
    <row r="564">
      <c r="A564" t="inlineStr">
        <is>
          <t>ASMT_IMP_0539</t>
        </is>
      </c>
      <c r="B564" t="inlineStr">
        <is>
          <t>CLT_DFL001</t>
        </is>
      </c>
      <c r="C564" t="inlineStr">
        <is>
          <t>REL_26C</t>
        </is>
      </c>
      <c r="D564" t="inlineStr">
        <is>
          <t>CHG_IMP_0539</t>
        </is>
      </c>
      <c r="E564" t="inlineStr">
        <is>
          <t>Functional</t>
        </is>
      </c>
      <c r="F564" t="inlineStr">
        <is>
          <t>Configuration</t>
        </is>
      </c>
      <c r="G564" t="inlineStr"/>
      <c r="H564" t="inlineStr">
        <is>
          <t>DFL Self Service Procurement impacted by Oracle 26C change</t>
        </is>
      </c>
      <c r="I564" t="inlineStr">
        <is>
          <t>Y</t>
        </is>
      </c>
      <c r="J564" t="inlineStr">
        <is>
          <t>N</t>
        </is>
      </c>
      <c r="K564" t="inlineStr">
        <is>
          <t>N</t>
        </is>
      </c>
      <c r="L564" t="inlineStr">
        <is>
          <t>N</t>
        </is>
      </c>
      <c r="M564" t="n">
        <v>3</v>
      </c>
      <c r="N564" t="n">
        <v>2</v>
      </c>
      <c r="O564" t="n">
        <v>2</v>
      </c>
      <c r="P564" t="n">
        <v>1</v>
      </c>
      <c r="Q564" t="n">
        <v>3</v>
      </c>
      <c r="R564">
        <f>IFERROR(XLOOKUP(XLOOKUP(D564,tblReleaseChanges[Change_ID],tblReleaseChanges[Oracle_Severity],""),tblSeverityMap[Severity_Text],tblSeverityMap[Score],0),0)</f>
        <v/>
      </c>
      <c r="S564" t="n">
        <v>2</v>
      </c>
      <c r="T564">
        <f>ROUND((M564*0.25)+(N564*0.20)+(O564*0.15)+(P564*0.15)+(Q564*0.10)+(R564*0.10)+(S564*0.05),2)</f>
        <v/>
      </c>
      <c r="U564">
        <f>IF(T564&gt;=4.25,"Critical",IF(T564&gt;=3.5,"High",IF(T564&gt;=2,"Medium","Low")))</f>
        <v/>
      </c>
      <c r="V564" t="inlineStr">
        <is>
          <t>Pending Review</t>
        </is>
      </c>
      <c r="W564" t="inlineStr"/>
      <c r="X564" t="inlineStr"/>
      <c r="Y564" t="inlineStr">
        <is>
          <t>Action type: Steps to Enable. No steps are needed to enable this update.</t>
        </is>
      </c>
      <c r="Z564" t="inlineStr">
        <is>
          <t>Y</t>
        </is>
      </c>
      <c r="AA564" t="inlineStr">
        <is>
          <t>N</t>
        </is>
      </c>
    </row>
    <row r="565">
      <c r="A565" t="inlineStr">
        <is>
          <t>ASMT_IMP_0540</t>
        </is>
      </c>
      <c r="B565" t="inlineStr">
        <is>
          <t>CLT_DFL001</t>
        </is>
      </c>
      <c r="C565" t="inlineStr">
        <is>
          <t>REL_26C</t>
        </is>
      </c>
      <c r="D565" t="inlineStr">
        <is>
          <t>CHG_IMP_0540</t>
        </is>
      </c>
      <c r="E565" t="inlineStr">
        <is>
          <t>Functional</t>
        </is>
      </c>
      <c r="F565" t="inlineStr">
        <is>
          <t>Configuration</t>
        </is>
      </c>
      <c r="G565" t="inlineStr"/>
      <c r="H565" t="inlineStr">
        <is>
          <t>DFL Self Service Procurement impacted by Oracle 26C change</t>
        </is>
      </c>
      <c r="I565" t="inlineStr">
        <is>
          <t>Y</t>
        </is>
      </c>
      <c r="J565" t="inlineStr">
        <is>
          <t>N</t>
        </is>
      </c>
      <c r="K565" t="inlineStr">
        <is>
          <t>N</t>
        </is>
      </c>
      <c r="L565" t="inlineStr">
        <is>
          <t>N</t>
        </is>
      </c>
      <c r="M565" t="n">
        <v>3</v>
      </c>
      <c r="N565" t="n">
        <v>2</v>
      </c>
      <c r="O565" t="n">
        <v>2</v>
      </c>
      <c r="P565" t="n">
        <v>1</v>
      </c>
      <c r="Q565" t="n">
        <v>3</v>
      </c>
      <c r="R565">
        <f>IFERROR(XLOOKUP(XLOOKUP(D565,tblReleaseChanges[Change_ID],tblReleaseChanges[Oracle_Severity],""),tblSeverityMap[Severity_Text],tblSeverityMap[Score],0),0)</f>
        <v/>
      </c>
      <c r="S565" t="n">
        <v>1</v>
      </c>
      <c r="T565">
        <f>ROUND((M565*0.25)+(N565*0.20)+(O565*0.15)+(P565*0.15)+(Q565*0.10)+(R565*0.10)+(S565*0.05),2)</f>
        <v/>
      </c>
      <c r="U565">
        <f>IF(T565&gt;=4.25,"Critical",IF(T565&gt;=3.5,"High",IF(T565&gt;=2,"Medium","Low")))</f>
        <v/>
      </c>
      <c r="V565" t="inlineStr">
        <is>
          <t>Pending Review</t>
        </is>
      </c>
      <c r="W565" t="inlineStr"/>
      <c r="X565" t="inlineStr"/>
      <c r="Y565" t="inlineStr">
        <is>
          <t>Auto-enabled — no action required</t>
        </is>
      </c>
      <c r="Z565" t="inlineStr">
        <is>
          <t>N</t>
        </is>
      </c>
      <c r="AA565" t="inlineStr">
        <is>
          <t>N</t>
        </is>
      </c>
    </row>
    <row r="566">
      <c r="A566" t="inlineStr">
        <is>
          <t>ASMT_IMP_0541</t>
        </is>
      </c>
      <c r="B566" t="inlineStr">
        <is>
          <t>CLT_DFL001</t>
        </is>
      </c>
      <c r="C566" t="inlineStr">
        <is>
          <t>REL_26C</t>
        </is>
      </c>
      <c r="D566" t="inlineStr">
        <is>
          <t>CHG_IMP_0541</t>
        </is>
      </c>
      <c r="E566" t="inlineStr">
        <is>
          <t>AI Feature</t>
        </is>
      </c>
      <c r="F566" t="inlineStr">
        <is>
          <t>Configuration</t>
        </is>
      </c>
      <c r="G566" t="inlineStr"/>
      <c r="H566" t="inlineStr">
        <is>
          <t>DFL Self Service Procurement impacted by Oracle 26C change</t>
        </is>
      </c>
      <c r="I566" t="inlineStr">
        <is>
          <t>Y</t>
        </is>
      </c>
      <c r="J566" t="inlineStr">
        <is>
          <t>N</t>
        </is>
      </c>
      <c r="K566" t="inlineStr">
        <is>
          <t>N</t>
        </is>
      </c>
      <c r="L566" t="inlineStr">
        <is>
          <t>N</t>
        </is>
      </c>
      <c r="M566" t="n">
        <v>3</v>
      </c>
      <c r="N566" t="n">
        <v>2</v>
      </c>
      <c r="O566" t="n">
        <v>2</v>
      </c>
      <c r="P566" t="n">
        <v>3</v>
      </c>
      <c r="Q566" t="n">
        <v>3</v>
      </c>
      <c r="R566">
        <f>IFERROR(XLOOKUP(XLOOKUP(D566,tblReleaseChanges[Change_ID],tblReleaseChanges[Oracle_Severity],""),tblSeverityMap[Severity_Text],tblSeverityMap[Score],0),0)</f>
        <v/>
      </c>
      <c r="S566" t="n">
        <v>2</v>
      </c>
      <c r="T566">
        <f>ROUND((M566*0.25)+(N566*0.20)+(O566*0.15)+(P566*0.15)+(Q566*0.10)+(R566*0.10)+(S566*0.05),2)</f>
        <v/>
      </c>
      <c r="U566">
        <f>IF(T566&gt;=4.25,"Critical",IF(T566&gt;=3.5,"High",IF(T566&gt;=2,"Medium","Low")))</f>
        <v/>
      </c>
      <c r="V566" t="inlineStr">
        <is>
          <t>Pending Review</t>
        </is>
      </c>
      <c r="W566" t="inlineStr"/>
      <c r="X566" t="inlineStr"/>
      <c r="Y566" t="inlineStr">
        <is>
          <t>Action type: Steps to Enable. Use the Opt In UI to enable this feature. For instructions, refer to the Optional Uptake of New Features section of this document. Offering: *Procurement* **Set profile o</t>
        </is>
      </c>
      <c r="Z566" t="inlineStr">
        <is>
          <t>Y</t>
        </is>
      </c>
      <c r="AA566" t="inlineStr">
        <is>
          <t>N</t>
        </is>
      </c>
    </row>
    <row r="567">
      <c r="A567" t="inlineStr">
        <is>
          <t>ASMT_IMP_0542</t>
        </is>
      </c>
      <c r="B567" t="inlineStr">
        <is>
          <t>CLT_DFL001</t>
        </is>
      </c>
      <c r="C567" t="inlineStr">
        <is>
          <t>REL_26C</t>
        </is>
      </c>
      <c r="D567" t="inlineStr">
        <is>
          <t>CHG_IMP_0542</t>
        </is>
      </c>
      <c r="E567" t="inlineStr">
        <is>
          <t>Functional</t>
        </is>
      </c>
      <c r="F567" t="inlineStr">
        <is>
          <t>Configuration</t>
        </is>
      </c>
      <c r="G567" t="inlineStr"/>
      <c r="H567" t="inlineStr">
        <is>
          <t>DFL Self Service Procurement impacted by Oracle 26C change</t>
        </is>
      </c>
      <c r="I567" t="inlineStr">
        <is>
          <t>Y</t>
        </is>
      </c>
      <c r="J567" t="inlineStr">
        <is>
          <t>N</t>
        </is>
      </c>
      <c r="K567" t="inlineStr">
        <is>
          <t>N</t>
        </is>
      </c>
      <c r="L567" t="inlineStr">
        <is>
          <t>N</t>
        </is>
      </c>
      <c r="M567" t="n">
        <v>3</v>
      </c>
      <c r="N567" t="n">
        <v>2</v>
      </c>
      <c r="O567" t="n">
        <v>2</v>
      </c>
      <c r="P567" t="n">
        <v>1</v>
      </c>
      <c r="Q567" t="n">
        <v>3</v>
      </c>
      <c r="R567">
        <f>IFERROR(XLOOKUP(XLOOKUP(D567,tblReleaseChanges[Change_ID],tblReleaseChanges[Oracle_Severity],""),tblSeverityMap[Severity_Text],tblSeverityMap[Score],0),0)</f>
        <v/>
      </c>
      <c r="S567" t="n">
        <v>2</v>
      </c>
      <c r="T567">
        <f>ROUND((M567*0.25)+(N567*0.20)+(O567*0.15)+(P567*0.15)+(Q567*0.10)+(R567*0.10)+(S567*0.05),2)</f>
        <v/>
      </c>
      <c r="U567">
        <f>IF(T567&gt;=4.25,"Critical",IF(T567&gt;=3.5,"High",IF(T567&gt;=2,"Medium","Low")))</f>
        <v/>
      </c>
      <c r="V567" t="inlineStr">
        <is>
          <t>Pending Review</t>
        </is>
      </c>
      <c r="W567" t="inlineStr"/>
      <c r="X567" t="inlineStr"/>
      <c r="Y567" t="inlineStr">
        <is>
          <t>Action type: Steps to Enable. Review the REST service definition in the REST API guides to leverage (available from the Oracle Help Center &gt; *your apps service area of interest* &gt; APIs &amp; Schema). If y</t>
        </is>
      </c>
      <c r="Z567" t="inlineStr">
        <is>
          <t>Y</t>
        </is>
      </c>
      <c r="AA567" t="inlineStr">
        <is>
          <t>N</t>
        </is>
      </c>
    </row>
    <row r="568">
      <c r="A568" t="inlineStr">
        <is>
          <t>ASMT_IMP_0543</t>
        </is>
      </c>
      <c r="B568" t="inlineStr">
        <is>
          <t>CLT_DFL001</t>
        </is>
      </c>
      <c r="C568" t="inlineStr">
        <is>
          <t>REL_26C</t>
        </is>
      </c>
      <c r="D568" t="inlineStr">
        <is>
          <t>CHG_IMP_0543</t>
        </is>
      </c>
      <c r="E568" t="inlineStr">
        <is>
          <t>AI Feature</t>
        </is>
      </c>
      <c r="F568" t="inlineStr">
        <is>
          <t>Configuration</t>
        </is>
      </c>
      <c r="G568" t="inlineStr"/>
      <c r="H568" t="inlineStr">
        <is>
          <t>DFL Self Service Procurement impacted by Oracle 26C change</t>
        </is>
      </c>
      <c r="I568" t="inlineStr">
        <is>
          <t>Y</t>
        </is>
      </c>
      <c r="J568" t="inlineStr">
        <is>
          <t>N</t>
        </is>
      </c>
      <c r="K568" t="inlineStr">
        <is>
          <t>N</t>
        </is>
      </c>
      <c r="L568" t="inlineStr">
        <is>
          <t>N</t>
        </is>
      </c>
      <c r="M568" t="n">
        <v>3</v>
      </c>
      <c r="N568" t="n">
        <v>2</v>
      </c>
      <c r="O568" t="n">
        <v>2</v>
      </c>
      <c r="P568" t="n">
        <v>3</v>
      </c>
      <c r="Q568" t="n">
        <v>3</v>
      </c>
      <c r="R568">
        <f>IFERROR(XLOOKUP(XLOOKUP(D568,tblReleaseChanges[Change_ID],tblReleaseChanges[Oracle_Severity],""),tblSeverityMap[Severity_Text],tblSeverityMap[Score],0),0)</f>
        <v/>
      </c>
      <c r="S568" t="n">
        <v>2</v>
      </c>
      <c r="T568">
        <f>ROUND((M568*0.25)+(N568*0.20)+(O568*0.15)+(P568*0.15)+(Q568*0.10)+(R568*0.10)+(S568*0.05),2)</f>
        <v/>
      </c>
      <c r="U568">
        <f>IF(T568&gt;=4.25,"Critical",IF(T568&gt;=3.5,"High",IF(T568&gt;=2,"Medium","Low")))</f>
        <v/>
      </c>
      <c r="V568" t="inlineStr">
        <is>
          <t>Pending Review</t>
        </is>
      </c>
      <c r="W568" t="inlineStr"/>
      <c r="X568" t="inlineStr"/>
      <c r="Y568" t="inlineStr">
        <is>
          <t>Action type: Steps to Enable. 1. Create and publish an instance of the seeded agent, `Quote to Purchase Requisition Assistant`. Navigate to AI Agent Studio, create an instance of the se</t>
        </is>
      </c>
      <c r="Z568" t="inlineStr">
        <is>
          <t>Y</t>
        </is>
      </c>
      <c r="AA568" t="inlineStr">
        <is>
          <t>N</t>
        </is>
      </c>
    </row>
    <row r="569">
      <c r="A569" t="inlineStr">
        <is>
          <t>ASMT_IMP_0544</t>
        </is>
      </c>
      <c r="B569" t="inlineStr">
        <is>
          <t>CLT_DFL001</t>
        </is>
      </c>
      <c r="C569" t="inlineStr">
        <is>
          <t>REL_26C</t>
        </is>
      </c>
      <c r="D569" t="inlineStr">
        <is>
          <t>CHG_IMP_0544</t>
        </is>
      </c>
      <c r="E569" t="inlineStr">
        <is>
          <t>Functional</t>
        </is>
      </c>
      <c r="F569" t="inlineStr">
        <is>
          <t>Configuration</t>
        </is>
      </c>
      <c r="G569" t="inlineStr"/>
      <c r="H569" t="inlineStr">
        <is>
          <t>DFL Self Service Procurement impacted by Oracle 26C change</t>
        </is>
      </c>
      <c r="I569" t="inlineStr">
        <is>
          <t>Y</t>
        </is>
      </c>
      <c r="J569" t="inlineStr">
        <is>
          <t>N</t>
        </is>
      </c>
      <c r="K569" t="inlineStr">
        <is>
          <t>N</t>
        </is>
      </c>
      <c r="L569" t="inlineStr">
        <is>
          <t>N</t>
        </is>
      </c>
      <c r="M569" t="n">
        <v>3</v>
      </c>
      <c r="N569" t="n">
        <v>2</v>
      </c>
      <c r="O569" t="n">
        <v>2</v>
      </c>
      <c r="P569" t="n">
        <v>1</v>
      </c>
      <c r="Q569" t="n">
        <v>3</v>
      </c>
      <c r="R569">
        <f>IFERROR(XLOOKUP(XLOOKUP(D569,tblReleaseChanges[Change_ID],tblReleaseChanges[Oracle_Severity],""),tblSeverityMap[Severity_Text],tblSeverityMap[Score],0),0)</f>
        <v/>
      </c>
      <c r="S569" t="n">
        <v>2</v>
      </c>
      <c r="T569">
        <f>ROUND((M569*0.25)+(N569*0.20)+(O569*0.15)+(P569*0.15)+(Q569*0.10)+(R569*0.10)+(S569*0.05),2)</f>
        <v/>
      </c>
      <c r="U569">
        <f>IF(T569&gt;=4.25,"Critical",IF(T569&gt;=3.5,"High",IF(T569&gt;=2,"Medium","Low")))</f>
        <v/>
      </c>
      <c r="V569" t="inlineStr">
        <is>
          <t>Pending Review</t>
        </is>
      </c>
      <c r="W569" t="inlineStr"/>
      <c r="X569" t="inlineStr"/>
      <c r="Y569" t="inlineStr">
        <is>
          <t>Action type: Steps to Enable. You must enable this profile option to access the **Manage Public Shopping Lists** feature: • Redwood Catalog Setup Pages Enabled (ORA_POR_REDWOOD_CATALOG_SETUP_ENABLED).</t>
        </is>
      </c>
      <c r="Z569" t="inlineStr">
        <is>
          <t>Y</t>
        </is>
      </c>
      <c r="AA569" t="inlineStr">
        <is>
          <t>N</t>
        </is>
      </c>
    </row>
    <row r="570">
      <c r="A570" t="inlineStr">
        <is>
          <t>ASMT_IMP_0545</t>
        </is>
      </c>
      <c r="B570" t="inlineStr">
        <is>
          <t>CLT_DFL001</t>
        </is>
      </c>
      <c r="C570" t="inlineStr">
        <is>
          <t>REL_26C</t>
        </is>
      </c>
      <c r="D570" t="inlineStr">
        <is>
          <t>CHG_IMP_0545</t>
        </is>
      </c>
      <c r="E570" t="inlineStr">
        <is>
          <t>Functional</t>
        </is>
      </c>
      <c r="F570" t="inlineStr">
        <is>
          <t>Configuration</t>
        </is>
      </c>
      <c r="G570" t="inlineStr"/>
      <c r="H570" t="inlineStr">
        <is>
          <t>DFL Self Service Procurement impacted by Oracle 26C change</t>
        </is>
      </c>
      <c r="I570" t="inlineStr">
        <is>
          <t>Y</t>
        </is>
      </c>
      <c r="J570" t="inlineStr">
        <is>
          <t>N</t>
        </is>
      </c>
      <c r="K570" t="inlineStr">
        <is>
          <t>N</t>
        </is>
      </c>
      <c r="L570" t="inlineStr">
        <is>
          <t>N</t>
        </is>
      </c>
      <c r="M570" t="n">
        <v>3</v>
      </c>
      <c r="N570" t="n">
        <v>2</v>
      </c>
      <c r="O570" t="n">
        <v>2</v>
      </c>
      <c r="P570" t="n">
        <v>1</v>
      </c>
      <c r="Q570" t="n">
        <v>3</v>
      </c>
      <c r="R570">
        <f>IFERROR(XLOOKUP(XLOOKUP(D570,tblReleaseChanges[Change_ID],tblReleaseChanges[Oracle_Severity],""),tblSeverityMap[Severity_Text],tblSeverityMap[Score],0),0)</f>
        <v/>
      </c>
      <c r="S570" t="n">
        <v>2</v>
      </c>
      <c r="T570">
        <f>ROUND((M570*0.25)+(N570*0.20)+(O570*0.15)+(P570*0.15)+(Q570*0.10)+(R570*0.10)+(S570*0.05),2)</f>
        <v/>
      </c>
      <c r="U570">
        <f>IF(T570&gt;=4.25,"Critical",IF(T570&gt;=3.5,"High",IF(T570&gt;=2,"Medium","Low")))</f>
        <v/>
      </c>
      <c r="V570" t="inlineStr">
        <is>
          <t>Pending Review</t>
        </is>
      </c>
      <c r="W570" t="inlineStr"/>
      <c r="X570" t="inlineStr"/>
      <c r="Y570" t="inlineStr">
        <is>
          <t>Action type: Steps to Enable. You must enable this profile option to access the **Manage Shopping Catalog Category Hierarchies** feature: • Redwood Catalog Setup Pages Enabled (ORA_POR_REDWOOD_CATA</t>
        </is>
      </c>
      <c r="Z570" t="inlineStr">
        <is>
          <t>Y</t>
        </is>
      </c>
      <c r="AA570" t="inlineStr">
        <is>
          <t>N</t>
        </is>
      </c>
    </row>
    <row r="571">
      <c r="A571" t="inlineStr">
        <is>
          <t>ASMT_IMP_0546</t>
        </is>
      </c>
      <c r="B571" t="inlineStr">
        <is>
          <t>CLT_DFL001</t>
        </is>
      </c>
      <c r="C571" t="inlineStr">
        <is>
          <t>REL_26C</t>
        </is>
      </c>
      <c r="D571" t="inlineStr">
        <is>
          <t>CHG_IMP_0546</t>
        </is>
      </c>
      <c r="E571" t="inlineStr">
        <is>
          <t>Functional</t>
        </is>
      </c>
      <c r="F571" t="inlineStr">
        <is>
          <t>Configuration</t>
        </is>
      </c>
      <c r="G571" t="inlineStr"/>
      <c r="H571" t="inlineStr">
        <is>
          <t>DFL Self Service Procurement impacted by Oracle 26C change</t>
        </is>
      </c>
      <c r="I571" t="inlineStr">
        <is>
          <t>Y</t>
        </is>
      </c>
      <c r="J571" t="inlineStr">
        <is>
          <t>N</t>
        </is>
      </c>
      <c r="K571" t="inlineStr">
        <is>
          <t>N</t>
        </is>
      </c>
      <c r="L571" t="inlineStr">
        <is>
          <t>N</t>
        </is>
      </c>
      <c r="M571" t="n">
        <v>3</v>
      </c>
      <c r="N571" t="n">
        <v>2</v>
      </c>
      <c r="O571" t="n">
        <v>2</v>
      </c>
      <c r="P571" t="n">
        <v>1</v>
      </c>
      <c r="Q571" t="n">
        <v>3</v>
      </c>
      <c r="R571">
        <f>IFERROR(XLOOKUP(XLOOKUP(D571,tblReleaseChanges[Change_ID],tblReleaseChanges[Oracle_Severity],""),tblSeverityMap[Severity_Text],tblSeverityMap[Score],0),0)</f>
        <v/>
      </c>
      <c r="S571" t="n">
        <v>2</v>
      </c>
      <c r="T571">
        <f>ROUND((M571*0.25)+(N571*0.20)+(O571*0.15)+(P571*0.15)+(Q571*0.10)+(R571*0.10)+(S571*0.05),2)</f>
        <v/>
      </c>
      <c r="U571">
        <f>IF(T571&gt;=4.25,"Critical",IF(T571&gt;=3.5,"High",IF(T571&gt;=2,"Medium","Low")))</f>
        <v/>
      </c>
      <c r="V571" t="inlineStr">
        <is>
          <t>Pending Review</t>
        </is>
      </c>
      <c r="W571" t="inlineStr"/>
      <c r="X571" t="inlineStr"/>
      <c r="Y571" t="inlineStr">
        <is>
          <t>Action type: Steps to Enable. Use the Opt In UI to enable this feature. For instructions, refer to the Optional Uptake of New Features section of this doc</t>
        </is>
      </c>
      <c r="Z571" t="inlineStr">
        <is>
          <t>Y</t>
        </is>
      </c>
      <c r="AA571" t="inlineStr">
        <is>
          <t>N</t>
        </is>
      </c>
    </row>
    <row r="572">
      <c r="A572" t="inlineStr">
        <is>
          <t>ASMT_IMP_0547</t>
        </is>
      </c>
      <c r="B572" t="inlineStr">
        <is>
          <t>CLT_DFL001</t>
        </is>
      </c>
      <c r="C572" t="inlineStr">
        <is>
          <t>REL_26C</t>
        </is>
      </c>
      <c r="D572" t="inlineStr">
        <is>
          <t>CHG_IMP_0547</t>
        </is>
      </c>
      <c r="E572" t="inlineStr">
        <is>
          <t>Functional</t>
        </is>
      </c>
      <c r="F572" t="inlineStr">
        <is>
          <t>Configuration</t>
        </is>
      </c>
      <c r="G572" t="inlineStr"/>
      <c r="H572" t="inlineStr">
        <is>
          <t>DFL Self Service Procurement impacted by Oracle 26C change</t>
        </is>
      </c>
      <c r="I572" t="inlineStr">
        <is>
          <t>Y</t>
        </is>
      </c>
      <c r="J572" t="inlineStr">
        <is>
          <t>N</t>
        </is>
      </c>
      <c r="K572" t="inlineStr">
        <is>
          <t>N</t>
        </is>
      </c>
      <c r="L572" t="inlineStr">
        <is>
          <t>N</t>
        </is>
      </c>
      <c r="M572" t="n">
        <v>3</v>
      </c>
      <c r="N572" t="n">
        <v>2</v>
      </c>
      <c r="O572" t="n">
        <v>2</v>
      </c>
      <c r="P572" t="n">
        <v>1</v>
      </c>
      <c r="Q572" t="n">
        <v>3</v>
      </c>
      <c r="R572">
        <f>IFERROR(XLOOKUP(XLOOKUP(D572,tblReleaseChanges[Change_ID],tblReleaseChanges[Oracle_Severity],""),tblSeverityMap[Severity_Text],tblSeverityMap[Score],0),0)</f>
        <v/>
      </c>
      <c r="S572" t="n">
        <v>2</v>
      </c>
      <c r="T572">
        <f>ROUND((M572*0.25)+(N572*0.20)+(O572*0.15)+(P572*0.15)+(Q572*0.10)+(R572*0.10)+(S572*0.05),2)</f>
        <v/>
      </c>
      <c r="U572">
        <f>IF(T572&gt;=4.25,"Critical",IF(T572&gt;=3.5,"High",IF(T572&gt;=2,"Medium","Low")))</f>
        <v/>
      </c>
      <c r="V572" t="inlineStr">
        <is>
          <t>Pending Review</t>
        </is>
      </c>
      <c r="W572" t="inlineStr"/>
      <c r="X572" t="inlineStr"/>
      <c r="Y572" t="inlineStr">
        <is>
          <t>Action type: Steps to Enable. Use the Opt In UI to enable this feature. For instructions, refer to the Optional Uptake of New Features section of this document. Offering: *Procurement* Enable t</t>
        </is>
      </c>
      <c r="Z572" t="inlineStr">
        <is>
          <t>Y</t>
        </is>
      </c>
      <c r="AA572" t="inlineStr">
        <is>
          <t>N</t>
        </is>
      </c>
    </row>
    <row r="573">
      <c r="A573" t="inlineStr">
        <is>
          <t>ASMT_IMP_0548</t>
        </is>
      </c>
      <c r="B573" t="inlineStr">
        <is>
          <t>CLT_DFL001</t>
        </is>
      </c>
      <c r="C573" t="inlineStr">
        <is>
          <t>REL_26C</t>
        </is>
      </c>
      <c r="D573" t="inlineStr">
        <is>
          <t>CHG_IMP_0548</t>
        </is>
      </c>
      <c r="E573" t="inlineStr">
        <is>
          <t>Functional</t>
        </is>
      </c>
      <c r="F573" t="inlineStr">
        <is>
          <t>Configuration</t>
        </is>
      </c>
      <c r="G573" t="inlineStr"/>
      <c r="H573" t="inlineStr">
        <is>
          <t>DFL Self Service Procurement impacted by Oracle 26C change</t>
        </is>
      </c>
      <c r="I573" t="inlineStr">
        <is>
          <t>Y</t>
        </is>
      </c>
      <c r="J573" t="inlineStr">
        <is>
          <t>N</t>
        </is>
      </c>
      <c r="K573" t="inlineStr">
        <is>
          <t>N</t>
        </is>
      </c>
      <c r="L573" t="inlineStr">
        <is>
          <t>N</t>
        </is>
      </c>
      <c r="M573" t="n">
        <v>3</v>
      </c>
      <c r="N573" t="n">
        <v>2</v>
      </c>
      <c r="O573" t="n">
        <v>2</v>
      </c>
      <c r="P573" t="n">
        <v>1</v>
      </c>
      <c r="Q573" t="n">
        <v>3</v>
      </c>
      <c r="R573">
        <f>IFERROR(XLOOKUP(XLOOKUP(D573,tblReleaseChanges[Change_ID],tblReleaseChanges[Oracle_Severity],""),tblSeverityMap[Severity_Text],tblSeverityMap[Score],0),0)</f>
        <v/>
      </c>
      <c r="S573" t="n">
        <v>2</v>
      </c>
      <c r="T573">
        <f>ROUND((M573*0.25)+(N573*0.20)+(O573*0.15)+(P573*0.15)+(Q573*0.10)+(R573*0.10)+(S573*0.05),2)</f>
        <v/>
      </c>
      <c r="U573">
        <f>IF(T573&gt;=4.25,"Critical",IF(T573&gt;=3.5,"High",IF(T573&gt;=2,"Medium","Low")))</f>
        <v/>
      </c>
      <c r="V573" t="inlineStr">
        <is>
          <t>Pending Review</t>
        </is>
      </c>
      <c r="W573" t="inlineStr"/>
      <c r="X573" t="inlineStr"/>
      <c r="Y573" t="inlineStr">
        <is>
          <t>Action type: Steps to Enable. By default, the enhanced search is disabled. To enable it, edit the homepage in Oracle Visual Builder Studio and set the **Enable the En</t>
        </is>
      </c>
      <c r="Z573" t="inlineStr">
        <is>
          <t>Y</t>
        </is>
      </c>
      <c r="AA573" t="inlineStr">
        <is>
          <t>N</t>
        </is>
      </c>
    </row>
    <row r="574">
      <c r="A574" t="inlineStr">
        <is>
          <t>ASMT_IMP_0549</t>
        </is>
      </c>
      <c r="B574" t="inlineStr">
        <is>
          <t>CLT_DFL001</t>
        </is>
      </c>
      <c r="C574" t="inlineStr">
        <is>
          <t>REL_26C</t>
        </is>
      </c>
      <c r="D574" t="inlineStr">
        <is>
          <t>CHG_IMP_0549</t>
        </is>
      </c>
      <c r="E574" t="inlineStr">
        <is>
          <t>Functional</t>
        </is>
      </c>
      <c r="F574" t="inlineStr">
        <is>
          <t>Configuration</t>
        </is>
      </c>
      <c r="G574" t="inlineStr"/>
      <c r="H574" t="inlineStr">
        <is>
          <t>DFL Self Service Procurement impacted by Oracle 26C change</t>
        </is>
      </c>
      <c r="I574" t="inlineStr">
        <is>
          <t>Y</t>
        </is>
      </c>
      <c r="J574" t="inlineStr">
        <is>
          <t>N</t>
        </is>
      </c>
      <c r="K574" t="inlineStr">
        <is>
          <t>N</t>
        </is>
      </c>
      <c r="L574" t="inlineStr">
        <is>
          <t>N</t>
        </is>
      </c>
      <c r="M574" t="n">
        <v>3</v>
      </c>
      <c r="N574" t="n">
        <v>2</v>
      </c>
      <c r="O574" t="n">
        <v>2</v>
      </c>
      <c r="P574" t="n">
        <v>1</v>
      </c>
      <c r="Q574" t="n">
        <v>3</v>
      </c>
      <c r="R574">
        <f>IFERROR(XLOOKUP(XLOOKUP(D574,tblReleaseChanges[Change_ID],tblReleaseChanges[Oracle_Severity],""),tblSeverityMap[Severity_Text],tblSeverityMap[Score],0),0)</f>
        <v/>
      </c>
      <c r="S574" t="n">
        <v>1</v>
      </c>
      <c r="T574">
        <f>ROUND((M574*0.25)+(N574*0.20)+(O574*0.15)+(P574*0.15)+(Q574*0.10)+(R574*0.10)+(S574*0.05),2)</f>
        <v/>
      </c>
      <c r="U574">
        <f>IF(T574&gt;=4.25,"Critical",IF(T574&gt;=3.5,"High",IF(T574&gt;=2,"Medium","Low")))</f>
        <v/>
      </c>
      <c r="V574" t="inlineStr">
        <is>
          <t>Pending Review</t>
        </is>
      </c>
      <c r="W574" t="inlineStr"/>
      <c r="X574" t="inlineStr"/>
      <c r="Y574" t="inlineStr">
        <is>
          <t>Auto-enabled — no action required</t>
        </is>
      </c>
      <c r="Z574" t="inlineStr">
        <is>
          <t>N</t>
        </is>
      </c>
      <c r="AA574" t="inlineStr">
        <is>
          <t>N</t>
        </is>
      </c>
    </row>
    <row r="575">
      <c r="A575" t="inlineStr">
        <is>
          <t>ASMT_IMP_0550</t>
        </is>
      </c>
      <c r="B575" t="inlineStr">
        <is>
          <t>CLT_DFL001</t>
        </is>
      </c>
      <c r="C575" t="inlineStr">
        <is>
          <t>REL_26C</t>
        </is>
      </c>
      <c r="D575" t="inlineStr">
        <is>
          <t>CHG_IMP_0550</t>
        </is>
      </c>
      <c r="E575" t="inlineStr">
        <is>
          <t>Functional</t>
        </is>
      </c>
      <c r="F575" t="inlineStr">
        <is>
          <t>Configuration</t>
        </is>
      </c>
      <c r="G575" t="inlineStr"/>
      <c r="H575" t="inlineStr">
        <is>
          <t>DFL Self Service Procurement impacted by Oracle 26C change</t>
        </is>
      </c>
      <c r="I575" t="inlineStr">
        <is>
          <t>Y</t>
        </is>
      </c>
      <c r="J575" t="inlineStr">
        <is>
          <t>N</t>
        </is>
      </c>
      <c r="K575" t="inlineStr">
        <is>
          <t>N</t>
        </is>
      </c>
      <c r="L575" t="inlineStr">
        <is>
          <t>N</t>
        </is>
      </c>
      <c r="M575" t="n">
        <v>3</v>
      </c>
      <c r="N575" t="n">
        <v>2</v>
      </c>
      <c r="O575" t="n">
        <v>2</v>
      </c>
      <c r="P575" t="n">
        <v>1</v>
      </c>
      <c r="Q575" t="n">
        <v>3</v>
      </c>
      <c r="R575">
        <f>IFERROR(XLOOKUP(XLOOKUP(D575,tblReleaseChanges[Change_ID],tblReleaseChanges[Oracle_Severity],""),tblSeverityMap[Severity_Text],tblSeverityMap[Score],0),0)</f>
        <v/>
      </c>
      <c r="S575" t="n">
        <v>2</v>
      </c>
      <c r="T575">
        <f>ROUND((M575*0.25)+(N575*0.20)+(O575*0.15)+(P575*0.15)+(Q575*0.10)+(R575*0.10)+(S575*0.05),2)</f>
        <v/>
      </c>
      <c r="U575">
        <f>IF(T575&gt;=4.25,"Critical",IF(T575&gt;=3.5,"High",IF(T575&gt;=2,"Medium","Low")))</f>
        <v/>
      </c>
      <c r="V575" t="inlineStr">
        <is>
          <t>Pending Review</t>
        </is>
      </c>
      <c r="W575" t="inlineStr"/>
      <c r="X575" t="inlineStr"/>
      <c r="Y575" t="inlineStr">
        <is>
          <t>Action type: Steps to Enable. • To sort by supplier item, set the **Enable Supplier Item Sorting in Search Results and Shopping Lists Lines tables** extensibilit</t>
        </is>
      </c>
      <c r="Z575" t="inlineStr">
        <is>
          <t>Y</t>
        </is>
      </c>
      <c r="AA575" t="inlineStr">
        <is>
          <t>N</t>
        </is>
      </c>
    </row>
    <row r="576">
      <c r="A576" t="inlineStr">
        <is>
          <t>ASMT_IMP_0551</t>
        </is>
      </c>
      <c r="B576" t="inlineStr">
        <is>
          <t>CLT_DFL001</t>
        </is>
      </c>
      <c r="C576" t="inlineStr">
        <is>
          <t>REL_26C</t>
        </is>
      </c>
      <c r="D576" t="inlineStr">
        <is>
          <t>CHG_IMP_0551</t>
        </is>
      </c>
      <c r="E576" t="inlineStr">
        <is>
          <t>Functional</t>
        </is>
      </c>
      <c r="F576" t="inlineStr">
        <is>
          <t>Configuration</t>
        </is>
      </c>
      <c r="G576" t="inlineStr"/>
      <c r="H576" t="inlineStr">
        <is>
          <t>DFL Self Service Procurement impacted by Oracle 26C change</t>
        </is>
      </c>
      <c r="I576" t="inlineStr">
        <is>
          <t>Y</t>
        </is>
      </c>
      <c r="J576" t="inlineStr">
        <is>
          <t>N</t>
        </is>
      </c>
      <c r="K576" t="inlineStr">
        <is>
          <t>N</t>
        </is>
      </c>
      <c r="L576" t="inlineStr">
        <is>
          <t>N</t>
        </is>
      </c>
      <c r="M576" t="n">
        <v>3</v>
      </c>
      <c r="N576" t="n">
        <v>2</v>
      </c>
      <c r="O576" t="n">
        <v>2</v>
      </c>
      <c r="P576" t="n">
        <v>1</v>
      </c>
      <c r="Q576" t="n">
        <v>3</v>
      </c>
      <c r="R576">
        <f>IFERROR(XLOOKUP(XLOOKUP(D576,tblReleaseChanges[Change_ID],tblReleaseChanges[Oracle_Severity],""),tblSeverityMap[Severity_Text],tblSeverityMap[Score],0),0)</f>
        <v/>
      </c>
      <c r="S576" t="n">
        <v>2</v>
      </c>
      <c r="T576">
        <f>ROUND((M576*0.25)+(N576*0.20)+(O576*0.15)+(P576*0.15)+(Q576*0.10)+(R576*0.10)+(S576*0.05),2)</f>
        <v/>
      </c>
      <c r="U576">
        <f>IF(T576&gt;=4.25,"Critical",IF(T576&gt;=3.5,"High",IF(T576&gt;=2,"Medium","Low")))</f>
        <v/>
      </c>
      <c r="V576" t="inlineStr">
        <is>
          <t>Pending Review</t>
        </is>
      </c>
      <c r="W576" t="inlineStr"/>
      <c r="X576" t="inlineStr"/>
      <c r="Y576" t="inlineStr">
        <is>
          <t>Action type: Steps to Enable. Leverage the Visual Builder Studio to expose your applications. To learn more about extending your application using Visual Builder, visit Oracle Help Center &gt; *your apps</t>
        </is>
      </c>
      <c r="Z576" t="inlineStr">
        <is>
          <t>Y</t>
        </is>
      </c>
      <c r="AA576" t="inlineStr">
        <is>
          <t>N</t>
        </is>
      </c>
    </row>
    <row r="577">
      <c r="A577" t="inlineStr">
        <is>
          <t>ASMT_IMP_0552</t>
        </is>
      </c>
      <c r="B577" t="inlineStr">
        <is>
          <t>CLT_DFL001</t>
        </is>
      </c>
      <c r="C577" t="inlineStr">
        <is>
          <t>REL_26C</t>
        </is>
      </c>
      <c r="D577" t="inlineStr">
        <is>
          <t>CHG_IMP_0552</t>
        </is>
      </c>
      <c r="E577" t="inlineStr">
        <is>
          <t>AI Feature</t>
        </is>
      </c>
      <c r="F577" t="inlineStr">
        <is>
          <t>Configuration</t>
        </is>
      </c>
      <c r="G577" t="inlineStr"/>
      <c r="H577" t="inlineStr">
        <is>
          <t>DFL Self Service Procurement impacted by Oracle 26C change</t>
        </is>
      </c>
      <c r="I577" t="inlineStr">
        <is>
          <t>Y</t>
        </is>
      </c>
      <c r="J577" t="inlineStr">
        <is>
          <t>N</t>
        </is>
      </c>
      <c r="K577" t="inlineStr">
        <is>
          <t>N</t>
        </is>
      </c>
      <c r="L577" t="inlineStr">
        <is>
          <t>N</t>
        </is>
      </c>
      <c r="M577" t="n">
        <v>3</v>
      </c>
      <c r="N577" t="n">
        <v>2</v>
      </c>
      <c r="O577" t="n">
        <v>2</v>
      </c>
      <c r="P577" t="n">
        <v>3</v>
      </c>
      <c r="Q577" t="n">
        <v>3</v>
      </c>
      <c r="R577">
        <f>IFERROR(XLOOKUP(XLOOKUP(D577,tblReleaseChanges[Change_ID],tblReleaseChanges[Oracle_Severity],""),tblSeverityMap[Severity_Text],tblSeverityMap[Score],0),0)</f>
        <v/>
      </c>
      <c r="S577" t="n">
        <v>2</v>
      </c>
      <c r="T577">
        <f>ROUND((M577*0.25)+(N577*0.20)+(O577*0.15)+(P577*0.15)+(Q577*0.10)+(R577*0.10)+(S577*0.05),2)</f>
        <v/>
      </c>
      <c r="U577">
        <f>IF(T577&gt;=4.25,"Critical",IF(T577&gt;=3.5,"High",IF(T577&gt;=2,"Medium","Low")))</f>
        <v/>
      </c>
      <c r="V577" t="inlineStr">
        <is>
          <t>Pending Review</t>
        </is>
      </c>
      <c r="W577" t="inlineStr"/>
      <c r="X577" t="inlineStr"/>
      <c r="Y577" t="inlineStr">
        <is>
          <t>Action type: Steps to Enable. 1. Navigate to `AI Agent Studio`, select the **`Credentials`** tab in the footer and **`Email Accounts`**tab. Credentials Page 1. Click **`Add Acc</t>
        </is>
      </c>
      <c r="Z577" t="inlineStr">
        <is>
          <t>Y</t>
        </is>
      </c>
      <c r="AA577" t="inlineStr">
        <is>
          <t>N</t>
        </is>
      </c>
    </row>
    <row r="578">
      <c r="A578" t="inlineStr">
        <is>
          <t>ASMT_IMP_0553</t>
        </is>
      </c>
      <c r="B578" t="inlineStr">
        <is>
          <t>CLT_DFL001</t>
        </is>
      </c>
      <c r="C578" t="inlineStr">
        <is>
          <t>REL_26C</t>
        </is>
      </c>
      <c r="D578" t="inlineStr">
        <is>
          <t>CHG_IMP_0553</t>
        </is>
      </c>
      <c r="E578" t="inlineStr">
        <is>
          <t>Functional</t>
        </is>
      </c>
      <c r="F578" t="inlineStr">
        <is>
          <t>Configuration</t>
        </is>
      </c>
      <c r="G578" t="inlineStr"/>
      <c r="H578" t="inlineStr">
        <is>
          <t>DFL Self Service Procurement impacted by Oracle 26C change</t>
        </is>
      </c>
      <c r="I578" t="inlineStr">
        <is>
          <t>Y</t>
        </is>
      </c>
      <c r="J578" t="inlineStr">
        <is>
          <t>N</t>
        </is>
      </c>
      <c r="K578" t="inlineStr">
        <is>
          <t>N</t>
        </is>
      </c>
      <c r="L578" t="inlineStr">
        <is>
          <t>N</t>
        </is>
      </c>
      <c r="M578" t="n">
        <v>3</v>
      </c>
      <c r="N578" t="n">
        <v>2</v>
      </c>
      <c r="O578" t="n">
        <v>2</v>
      </c>
      <c r="P578" t="n">
        <v>1</v>
      </c>
      <c r="Q578" t="n">
        <v>3</v>
      </c>
      <c r="R578">
        <f>IFERROR(XLOOKUP(XLOOKUP(D578,tblReleaseChanges[Change_ID],tblReleaseChanges[Oracle_Severity],""),tblSeverityMap[Severity_Text],tblSeverityMap[Score],0),0)</f>
        <v/>
      </c>
      <c r="S578" t="n">
        <v>1</v>
      </c>
      <c r="T578">
        <f>ROUND((M578*0.25)+(N578*0.20)+(O578*0.15)+(P578*0.15)+(Q578*0.10)+(R578*0.10)+(S578*0.05),2)</f>
        <v/>
      </c>
      <c r="U578">
        <f>IF(T578&gt;=4.25,"Critical",IF(T578&gt;=3.5,"High",IF(T578&gt;=2,"Medium","Low")))</f>
        <v/>
      </c>
      <c r="V578" t="inlineStr">
        <is>
          <t>Pending Review</t>
        </is>
      </c>
      <c r="W578" t="inlineStr"/>
      <c r="X578" t="inlineStr"/>
      <c r="Y578" t="inlineStr">
        <is>
          <t>Auto-enabled — no action required</t>
        </is>
      </c>
      <c r="Z578" t="inlineStr">
        <is>
          <t>N</t>
        </is>
      </c>
      <c r="AA578" t="inlineStr">
        <is>
          <t>N</t>
        </is>
      </c>
    </row>
    <row r="579">
      <c r="A579" t="inlineStr">
        <is>
          <t>ASMT_IMP_0554</t>
        </is>
      </c>
      <c r="B579" t="inlineStr">
        <is>
          <t>CLT_DFL001</t>
        </is>
      </c>
      <c r="C579" t="inlineStr">
        <is>
          <t>REL_26C</t>
        </is>
      </c>
      <c r="D579" t="inlineStr">
        <is>
          <t>CHG_IMP_0554</t>
        </is>
      </c>
      <c r="E579" t="inlineStr">
        <is>
          <t>Functional</t>
        </is>
      </c>
      <c r="F579" t="inlineStr">
        <is>
          <t>Configuration</t>
        </is>
      </c>
      <c r="G579" t="inlineStr"/>
      <c r="H579" t="inlineStr">
        <is>
          <t>DFL Self Service Procurement impacted by Oracle 26C change</t>
        </is>
      </c>
      <c r="I579" t="inlineStr">
        <is>
          <t>Y</t>
        </is>
      </c>
      <c r="J579" t="inlineStr">
        <is>
          <t>N</t>
        </is>
      </c>
      <c r="K579" t="inlineStr">
        <is>
          <t>N</t>
        </is>
      </c>
      <c r="L579" t="inlineStr">
        <is>
          <t>N</t>
        </is>
      </c>
      <c r="M579" t="n">
        <v>3</v>
      </c>
      <c r="N579" t="n">
        <v>2</v>
      </c>
      <c r="O579" t="n">
        <v>2</v>
      </c>
      <c r="P579" t="n">
        <v>1</v>
      </c>
      <c r="Q579" t="n">
        <v>3</v>
      </c>
      <c r="R579">
        <f>IFERROR(XLOOKUP(XLOOKUP(D579,tblReleaseChanges[Change_ID],tblReleaseChanges[Oracle_Severity],""),tblSeverityMap[Severity_Text],tblSeverityMap[Score],0),0)</f>
        <v/>
      </c>
      <c r="S579" t="n">
        <v>1</v>
      </c>
      <c r="T579">
        <f>ROUND((M579*0.25)+(N579*0.20)+(O579*0.15)+(P579*0.15)+(Q579*0.10)+(R579*0.10)+(S579*0.05),2)</f>
        <v/>
      </c>
      <c r="U579">
        <f>IF(T579&gt;=4.25,"Critical",IF(T579&gt;=3.5,"High",IF(T579&gt;=2,"Medium","Low")))</f>
        <v/>
      </c>
      <c r="V579" t="inlineStr">
        <is>
          <t>Pending Review</t>
        </is>
      </c>
      <c r="W579" t="inlineStr"/>
      <c r="X579" t="inlineStr"/>
      <c r="Y579" t="inlineStr">
        <is>
          <t>Auto-enabled — no action required</t>
        </is>
      </c>
      <c r="Z579" t="inlineStr">
        <is>
          <t>N</t>
        </is>
      </c>
      <c r="AA579" t="inlineStr">
        <is>
          <t>N</t>
        </is>
      </c>
    </row>
    <row r="580">
      <c r="A580" t="inlineStr">
        <is>
          <t>ASMT_IMP_0555</t>
        </is>
      </c>
      <c r="B580" t="inlineStr">
        <is>
          <t>CLT_DFL001</t>
        </is>
      </c>
      <c r="C580" t="inlineStr">
        <is>
          <t>REL_26C</t>
        </is>
      </c>
      <c r="D580" t="inlineStr">
        <is>
          <t>CHG_IMP_0555</t>
        </is>
      </c>
      <c r="E580" t="inlineStr">
        <is>
          <t>Functional</t>
        </is>
      </c>
      <c r="F580" t="inlineStr">
        <is>
          <t>Configuration</t>
        </is>
      </c>
      <c r="G580" t="inlineStr"/>
      <c r="H580" t="inlineStr">
        <is>
          <t>DFL Self Service Procurement impacted by Oracle 26C change</t>
        </is>
      </c>
      <c r="I580" t="inlineStr">
        <is>
          <t>Y</t>
        </is>
      </c>
      <c r="J580" t="inlineStr">
        <is>
          <t>N</t>
        </is>
      </c>
      <c r="K580" t="inlineStr">
        <is>
          <t>N</t>
        </is>
      </c>
      <c r="L580" t="inlineStr">
        <is>
          <t>N</t>
        </is>
      </c>
      <c r="M580" t="n">
        <v>3</v>
      </c>
      <c r="N580" t="n">
        <v>2</v>
      </c>
      <c r="O580" t="n">
        <v>2</v>
      </c>
      <c r="P580" t="n">
        <v>1</v>
      </c>
      <c r="Q580" t="n">
        <v>3</v>
      </c>
      <c r="R580">
        <f>IFERROR(XLOOKUP(XLOOKUP(D580,tblReleaseChanges[Change_ID],tblReleaseChanges[Oracle_Severity],""),tblSeverityMap[Severity_Text],tblSeverityMap[Score],0),0)</f>
        <v/>
      </c>
      <c r="S580" t="n">
        <v>2</v>
      </c>
      <c r="T580">
        <f>ROUND((M580*0.25)+(N580*0.20)+(O580*0.15)+(P580*0.15)+(Q580*0.10)+(R580*0.10)+(S580*0.05),2)</f>
        <v/>
      </c>
      <c r="U580">
        <f>IF(T580&gt;=4.25,"Critical",IF(T580&gt;=3.5,"High",IF(T580&gt;=2,"Medium","Low")))</f>
        <v/>
      </c>
      <c r="V580" t="inlineStr">
        <is>
          <t>Pending Review</t>
        </is>
      </c>
      <c r="W580" t="inlineStr"/>
      <c r="X580" t="inlineStr"/>
      <c r="Y580" t="inlineStr">
        <is>
          <t>Action type: Steps to Enable. There are no steps to enable this feature.</t>
        </is>
      </c>
      <c r="Z580" t="inlineStr">
        <is>
          <t>Y</t>
        </is>
      </c>
      <c r="AA580" t="inlineStr">
        <is>
          <t>N</t>
        </is>
      </c>
    </row>
    <row r="581">
      <c r="R581">
        <f>IFERROR(XLOOKUP(XLOOKUP(D581,tblReleaseChanges[Change_ID],tblReleaseChanges[Oracle_Severity],""),tblSeverityMap[Severity_Text],tblSeverityMap[Score],0),0)</f>
        <v/>
      </c>
      <c r="T581">
        <f>ROUND((M581*0.25)+(N581*0.20)+(O581*0.15)+(P581*0.15)+(Q581*0.10)+(R581*0.10)+(S581*0.05),2)</f>
        <v/>
      </c>
      <c r="U581">
        <f>IF(T581&gt;=4.25,"Critical",IF(T581&gt;=3.5,"High",IF(T581&gt;=2,"Medium","Low")))</f>
        <v/>
      </c>
    </row>
    <row r="582">
      <c r="R582">
        <f>IFERROR(XLOOKUP(XLOOKUP(D582,tblReleaseChanges[Change_ID],tblReleaseChanges[Oracle_Severity],""),tblSeverityMap[Severity_Text],tblSeverityMap[Score],0),0)</f>
        <v/>
      </c>
      <c r="T582">
        <f>ROUND((M582*0.25)+(N582*0.20)+(O582*0.15)+(P582*0.15)+(Q582*0.10)+(R582*0.10)+(S582*0.05),2)</f>
        <v/>
      </c>
      <c r="U582">
        <f>IF(T582&gt;=4.25,"Critical",IF(T582&gt;=3.5,"High",IF(T582&gt;=2,"Medium","Low")))</f>
        <v/>
      </c>
    </row>
    <row r="583">
      <c r="R583">
        <f>IFERROR(XLOOKUP(XLOOKUP(D583,tblReleaseChanges[Change_ID],tblReleaseChanges[Oracle_Severity],""),tblSeverityMap[Severity_Text],tblSeverityMap[Score],0),0)</f>
        <v/>
      </c>
      <c r="T583">
        <f>ROUND((M583*0.25)+(N583*0.20)+(O583*0.15)+(P583*0.15)+(Q583*0.10)+(R583*0.10)+(S583*0.05),2)</f>
        <v/>
      </c>
      <c r="U583">
        <f>IF(T583&gt;=4.25,"Critical",IF(T583&gt;=3.5,"High",IF(T583&gt;=2,"Medium","Low")))</f>
        <v/>
      </c>
    </row>
    <row r="584">
      <c r="R584">
        <f>IFERROR(XLOOKUP(XLOOKUP(D584,tblReleaseChanges[Change_ID],tblReleaseChanges[Oracle_Severity],""),tblSeverityMap[Severity_Text],tblSeverityMap[Score],0),0)</f>
        <v/>
      </c>
      <c r="T584">
        <f>ROUND((M584*0.25)+(N584*0.20)+(O584*0.15)+(P584*0.15)+(Q584*0.10)+(R584*0.10)+(S584*0.05),2)</f>
        <v/>
      </c>
      <c r="U584">
        <f>IF(T584&gt;=4.25,"Critical",IF(T584&gt;=3.5,"High",IF(T584&gt;=2,"Medium","Low")))</f>
        <v/>
      </c>
    </row>
    <row r="585">
      <c r="R585">
        <f>IFERROR(XLOOKUP(XLOOKUP(D585,tblReleaseChanges[Change_ID],tblReleaseChanges[Oracle_Severity],""),tblSeverityMap[Severity_Text],tblSeverityMap[Score],0),0)</f>
        <v/>
      </c>
      <c r="T585">
        <f>ROUND((M585*0.25)+(N585*0.20)+(O585*0.15)+(P585*0.15)+(Q585*0.10)+(R585*0.10)+(S585*0.05),2)</f>
        <v/>
      </c>
      <c r="U585">
        <f>IF(T585&gt;=4.25,"Critical",IF(T585&gt;=3.5,"High",IF(T585&gt;=2,"Medium","Low")))</f>
        <v/>
      </c>
    </row>
    <row r="586">
      <c r="R586">
        <f>IFERROR(XLOOKUP(XLOOKUP(D586,tblReleaseChanges[Change_ID],tblReleaseChanges[Oracle_Severity],""),tblSeverityMap[Severity_Text],tblSeverityMap[Score],0),0)</f>
        <v/>
      </c>
      <c r="T586">
        <f>ROUND((M586*0.25)+(N586*0.20)+(O586*0.15)+(P586*0.15)+(Q586*0.10)+(R586*0.10)+(S586*0.05),2)</f>
        <v/>
      </c>
      <c r="U586">
        <f>IF(T586&gt;=4.25,"Critical",IF(T586&gt;=3.5,"High",IF(T586&gt;=2,"Medium","Low")))</f>
        <v/>
      </c>
    </row>
    <row r="587">
      <c r="R587">
        <f>IFERROR(XLOOKUP(XLOOKUP(D587,tblReleaseChanges[Change_ID],tblReleaseChanges[Oracle_Severity],""),tblSeverityMap[Severity_Text],tblSeverityMap[Score],0),0)</f>
        <v/>
      </c>
      <c r="T587">
        <f>ROUND((M587*0.25)+(N587*0.20)+(O587*0.15)+(P587*0.15)+(Q587*0.10)+(R587*0.10)+(S587*0.05),2)</f>
        <v/>
      </c>
      <c r="U587">
        <f>IF(T587&gt;=4.25,"Critical",IF(T587&gt;=3.5,"High",IF(T587&gt;=2,"Medium","Low")))</f>
        <v/>
      </c>
    </row>
    <row r="588">
      <c r="R588">
        <f>IFERROR(XLOOKUP(XLOOKUP(D588,tblReleaseChanges[Change_ID],tblReleaseChanges[Oracle_Severity],""),tblSeverityMap[Severity_Text],tblSeverityMap[Score],0),0)</f>
        <v/>
      </c>
      <c r="T588">
        <f>ROUND((M588*0.25)+(N588*0.20)+(O588*0.15)+(P588*0.15)+(Q588*0.10)+(R588*0.10)+(S588*0.05),2)</f>
        <v/>
      </c>
      <c r="U588">
        <f>IF(T588&gt;=4.25,"Critical",IF(T588&gt;=3.5,"High",IF(T588&gt;=2,"Medium","Low")))</f>
        <v/>
      </c>
    </row>
    <row r="589">
      <c r="R589">
        <f>IFERROR(XLOOKUP(XLOOKUP(D589,tblReleaseChanges[Change_ID],tblReleaseChanges[Oracle_Severity],""),tblSeverityMap[Severity_Text],tblSeverityMap[Score],0),0)</f>
        <v/>
      </c>
      <c r="T589">
        <f>ROUND((M589*0.25)+(N589*0.20)+(O589*0.15)+(P589*0.15)+(Q589*0.10)+(R589*0.10)+(S589*0.05),2)</f>
        <v/>
      </c>
      <c r="U589">
        <f>IF(T589&gt;=4.25,"Critical",IF(T589&gt;=3.5,"High",IF(T589&gt;=2,"Medium","Low")))</f>
        <v/>
      </c>
    </row>
    <row r="590">
      <c r="R590">
        <f>IFERROR(XLOOKUP(XLOOKUP(D590,tblReleaseChanges[Change_ID],tblReleaseChanges[Oracle_Severity],""),tblSeverityMap[Severity_Text],tblSeverityMap[Score],0),0)</f>
        <v/>
      </c>
      <c r="T590">
        <f>ROUND((M590*0.25)+(N590*0.20)+(O590*0.15)+(P590*0.15)+(Q590*0.10)+(R590*0.10)+(S590*0.05),2)</f>
        <v/>
      </c>
      <c r="U590">
        <f>IF(T590&gt;=4.25,"Critical",IF(T590&gt;=3.5,"High",IF(T590&gt;=2,"Medium","Low")))</f>
        <v/>
      </c>
    </row>
    <row r="591">
      <c r="R591">
        <f>IFERROR(XLOOKUP(XLOOKUP(D591,tblReleaseChanges[Change_ID],tblReleaseChanges[Oracle_Severity],""),tblSeverityMap[Severity_Text],tblSeverityMap[Score],0),0)</f>
        <v/>
      </c>
      <c r="T591">
        <f>ROUND((M591*0.25)+(N591*0.20)+(O591*0.15)+(P591*0.15)+(Q591*0.10)+(R591*0.10)+(S591*0.05),2)</f>
        <v/>
      </c>
      <c r="U591">
        <f>IF(T591&gt;=4.25,"Critical",IF(T591&gt;=3.5,"High",IF(T591&gt;=2,"Medium","Low")))</f>
        <v/>
      </c>
    </row>
    <row r="592">
      <c r="R592">
        <f>IFERROR(XLOOKUP(XLOOKUP(D592,tblReleaseChanges[Change_ID],tblReleaseChanges[Oracle_Severity],""),tblSeverityMap[Severity_Text],tblSeverityMap[Score],0),0)</f>
        <v/>
      </c>
      <c r="T592">
        <f>ROUND((M592*0.25)+(N592*0.20)+(O592*0.15)+(P592*0.15)+(Q592*0.10)+(R592*0.10)+(S592*0.05),2)</f>
        <v/>
      </c>
      <c r="U592">
        <f>IF(T592&gt;=4.25,"Critical",IF(T592&gt;=3.5,"High",IF(T592&gt;=2,"Medium","Low")))</f>
        <v/>
      </c>
    </row>
    <row r="593">
      <c r="R593">
        <f>IFERROR(XLOOKUP(XLOOKUP(D593,tblReleaseChanges[Change_ID],tblReleaseChanges[Oracle_Severity],""),tblSeverityMap[Severity_Text],tblSeverityMap[Score],0),0)</f>
        <v/>
      </c>
      <c r="T593">
        <f>ROUND((M593*0.25)+(N593*0.20)+(O593*0.15)+(P593*0.15)+(Q593*0.10)+(R593*0.10)+(S593*0.05),2)</f>
        <v/>
      </c>
      <c r="U593">
        <f>IF(T593&gt;=4.25,"Critical",IF(T593&gt;=3.5,"High",IF(T593&gt;=2,"Medium","Low")))</f>
        <v/>
      </c>
    </row>
    <row r="594">
      <c r="R594">
        <f>IFERROR(XLOOKUP(XLOOKUP(D594,tblReleaseChanges[Change_ID],tblReleaseChanges[Oracle_Severity],""),tblSeverityMap[Severity_Text],tblSeverityMap[Score],0),0)</f>
        <v/>
      </c>
      <c r="T594">
        <f>ROUND((M594*0.25)+(N594*0.20)+(O594*0.15)+(P594*0.15)+(Q594*0.10)+(R594*0.10)+(S594*0.05),2)</f>
        <v/>
      </c>
      <c r="U594">
        <f>IF(T594&gt;=4.25,"Critical",IF(T594&gt;=3.5,"High",IF(T594&gt;=2,"Medium","Low")))</f>
        <v/>
      </c>
    </row>
    <row r="595">
      <c r="R595">
        <f>IFERROR(XLOOKUP(XLOOKUP(D595,tblReleaseChanges[Change_ID],tblReleaseChanges[Oracle_Severity],""),tblSeverityMap[Severity_Text],tblSeverityMap[Score],0),0)</f>
        <v/>
      </c>
      <c r="T595">
        <f>ROUND((M595*0.25)+(N595*0.20)+(O595*0.15)+(P595*0.15)+(Q595*0.10)+(R595*0.10)+(S595*0.05),2)</f>
        <v/>
      </c>
      <c r="U595">
        <f>IF(T595&gt;=4.25,"Critical",IF(T595&gt;=3.5,"High",IF(T595&gt;=2,"Medium","Low")))</f>
        <v/>
      </c>
    </row>
    <row r="596">
      <c r="R596">
        <f>IFERROR(XLOOKUP(XLOOKUP(D596,tblReleaseChanges[Change_ID],tblReleaseChanges[Oracle_Severity],""),tblSeverityMap[Severity_Text],tblSeverityMap[Score],0),0)</f>
        <v/>
      </c>
      <c r="T596">
        <f>ROUND((M596*0.25)+(N596*0.20)+(O596*0.15)+(P596*0.15)+(Q596*0.10)+(R596*0.10)+(S596*0.05),2)</f>
        <v/>
      </c>
      <c r="U596">
        <f>IF(T596&gt;=4.25,"Critical",IF(T596&gt;=3.5,"High",IF(T596&gt;=2,"Medium","Low")))</f>
        <v/>
      </c>
    </row>
    <row r="597">
      <c r="R597">
        <f>IFERROR(XLOOKUP(XLOOKUP(D597,tblReleaseChanges[Change_ID],tblReleaseChanges[Oracle_Severity],""),tblSeverityMap[Severity_Text],tblSeverityMap[Score],0),0)</f>
        <v/>
      </c>
      <c r="T597">
        <f>ROUND((M597*0.25)+(N597*0.20)+(O597*0.15)+(P597*0.15)+(Q597*0.10)+(R597*0.10)+(S597*0.05),2)</f>
        <v/>
      </c>
      <c r="U597">
        <f>IF(T597&gt;=4.25,"Critical",IF(T597&gt;=3.5,"High",IF(T597&gt;=2,"Medium","Low")))</f>
        <v/>
      </c>
    </row>
    <row r="598">
      <c r="R598">
        <f>IFERROR(XLOOKUP(XLOOKUP(D598,tblReleaseChanges[Change_ID],tblReleaseChanges[Oracle_Severity],""),tblSeverityMap[Severity_Text],tblSeverityMap[Score],0),0)</f>
        <v/>
      </c>
      <c r="T598">
        <f>ROUND((M598*0.25)+(N598*0.20)+(O598*0.15)+(P598*0.15)+(Q598*0.10)+(R598*0.10)+(S598*0.05),2)</f>
        <v/>
      </c>
      <c r="U598">
        <f>IF(T598&gt;=4.25,"Critical",IF(T598&gt;=3.5,"High",IF(T598&gt;=2,"Medium","Low")))</f>
        <v/>
      </c>
    </row>
    <row r="599">
      <c r="R599">
        <f>IFERROR(XLOOKUP(XLOOKUP(D599,tblReleaseChanges[Change_ID],tblReleaseChanges[Oracle_Severity],""),tblSeverityMap[Severity_Text],tblSeverityMap[Score],0),0)</f>
        <v/>
      </c>
      <c r="T599">
        <f>ROUND((M599*0.25)+(N599*0.20)+(O599*0.15)+(P599*0.15)+(Q599*0.10)+(R599*0.10)+(S599*0.05),2)</f>
        <v/>
      </c>
      <c r="U599">
        <f>IF(T599&gt;=4.25,"Critical",IF(T599&gt;=3.5,"High",IF(T599&gt;=2,"Medium","Low")))</f>
        <v/>
      </c>
    </row>
    <row r="600">
      <c r="R600">
        <f>IFERROR(XLOOKUP(XLOOKUP(D600,tblReleaseChanges[Change_ID],tblReleaseChanges[Oracle_Severity],""),tblSeverityMap[Severity_Text],tblSeverityMap[Score],0),0)</f>
        <v/>
      </c>
      <c r="T600">
        <f>ROUND((M600*0.25)+(N600*0.20)+(O600*0.15)+(P600*0.15)+(Q600*0.10)+(R600*0.10)+(S600*0.05),2)</f>
        <v/>
      </c>
      <c r="U600">
        <f>IF(T600&gt;=4.25,"Critical",IF(T600&gt;=3.5,"High",IF(T600&gt;=2,"Medium","Low")))</f>
        <v/>
      </c>
    </row>
    <row r="601">
      <c r="R601">
        <f>IFERROR(XLOOKUP(XLOOKUP(D601,tblReleaseChanges[Change_ID],tblReleaseChanges[Oracle_Severity],""),tblSeverityMap[Severity_Text],tblSeverityMap[Score],0),0)</f>
        <v/>
      </c>
      <c r="T601">
        <f>ROUND((M601*0.25)+(N601*0.20)+(O601*0.15)+(P601*0.15)+(Q601*0.10)+(R601*0.10)+(S601*0.05),2)</f>
        <v/>
      </c>
      <c r="U601">
        <f>IF(T601&gt;=4.25,"Critical",IF(T601&gt;=3.5,"High",IF(T601&gt;=2,"Medium","Low")))</f>
        <v/>
      </c>
    </row>
    <row r="602">
      <c r="R602">
        <f>IFERROR(XLOOKUP(XLOOKUP(D602,tblReleaseChanges[Change_ID],tblReleaseChanges[Oracle_Severity],""),tblSeverityMap[Severity_Text],tblSeverityMap[Score],0),0)</f>
        <v/>
      </c>
      <c r="T602">
        <f>ROUND((M602*0.25)+(N602*0.20)+(O602*0.15)+(P602*0.15)+(Q602*0.10)+(R602*0.10)+(S602*0.05),2)</f>
        <v/>
      </c>
      <c r="U602">
        <f>IF(T602&gt;=4.25,"Critical",IF(T602&gt;=3.5,"High",IF(T602&gt;=2,"Medium","Low")))</f>
        <v/>
      </c>
    </row>
    <row r="603">
      <c r="R603">
        <f>IFERROR(XLOOKUP(XLOOKUP(D603,tblReleaseChanges[Change_ID],tblReleaseChanges[Oracle_Severity],""),tblSeverityMap[Severity_Text],tblSeverityMap[Score],0),0)</f>
        <v/>
      </c>
      <c r="T603">
        <f>ROUND((M603*0.25)+(N603*0.20)+(O603*0.15)+(P603*0.15)+(Q603*0.10)+(R603*0.10)+(S603*0.05),2)</f>
        <v/>
      </c>
      <c r="U603">
        <f>IF(T603&gt;=4.25,"Critical",IF(T603&gt;=3.5,"High",IF(T603&gt;=2,"Medium","Low")))</f>
        <v/>
      </c>
    </row>
    <row r="604">
      <c r="R604">
        <f>IFERROR(XLOOKUP(XLOOKUP(D604,tblReleaseChanges[Change_ID],tblReleaseChanges[Oracle_Severity],""),tblSeverityMap[Severity_Text],tblSeverityMap[Score],0),0)</f>
        <v/>
      </c>
      <c r="T604">
        <f>ROUND((M604*0.25)+(N604*0.20)+(O604*0.15)+(P604*0.15)+(Q604*0.10)+(R604*0.10)+(S604*0.05),2)</f>
        <v/>
      </c>
      <c r="U604">
        <f>IF(T604&gt;=4.25,"Critical",IF(T604&gt;=3.5,"High",IF(T604&gt;=2,"Medium","Low")))</f>
        <v/>
      </c>
    </row>
    <row r="605">
      <c r="R605">
        <f>IFERROR(XLOOKUP(XLOOKUP(D605,tblReleaseChanges[Change_ID],tblReleaseChanges[Oracle_Severity],""),tblSeverityMap[Severity_Text],tblSeverityMap[Score],0),0)</f>
        <v/>
      </c>
      <c r="T605">
        <f>ROUND((M605*0.25)+(N605*0.20)+(O605*0.15)+(P605*0.15)+(Q605*0.10)+(R605*0.10)+(S605*0.05),2)</f>
        <v/>
      </c>
      <c r="U605">
        <f>IF(T605&gt;=4.25,"Critical",IF(T605&gt;=3.5,"High",IF(T605&gt;=2,"Medium","Low")))</f>
        <v/>
      </c>
    </row>
    <row r="606">
      <c r="R606">
        <f>IFERROR(XLOOKUP(XLOOKUP(D606,tblReleaseChanges[Change_ID],tblReleaseChanges[Oracle_Severity],""),tblSeverityMap[Severity_Text],tblSeverityMap[Score],0),0)</f>
        <v/>
      </c>
      <c r="T606">
        <f>ROUND((M606*0.25)+(N606*0.20)+(O606*0.15)+(P606*0.15)+(Q606*0.10)+(R606*0.10)+(S606*0.05),2)</f>
        <v/>
      </c>
      <c r="U606">
        <f>IF(T606&gt;=4.25,"Critical",IF(T606&gt;=3.5,"High",IF(T606&gt;=2,"Medium","Low")))</f>
        <v/>
      </c>
    </row>
    <row r="607">
      <c r="R607">
        <f>IFERROR(XLOOKUP(XLOOKUP(D607,tblReleaseChanges[Change_ID],tblReleaseChanges[Oracle_Severity],""),tblSeverityMap[Severity_Text],tblSeverityMap[Score],0),0)</f>
        <v/>
      </c>
      <c r="T607">
        <f>ROUND((M607*0.25)+(N607*0.20)+(O607*0.15)+(P607*0.15)+(Q607*0.10)+(R607*0.10)+(S607*0.05),2)</f>
        <v/>
      </c>
      <c r="U607">
        <f>IF(T607&gt;=4.25,"Critical",IF(T607&gt;=3.5,"High",IF(T607&gt;=2,"Medium","Low")))</f>
        <v/>
      </c>
    </row>
    <row r="608">
      <c r="R608">
        <f>IFERROR(XLOOKUP(XLOOKUP(D608,tblReleaseChanges[Change_ID],tblReleaseChanges[Oracle_Severity],""),tblSeverityMap[Severity_Text],tblSeverityMap[Score],0),0)</f>
        <v/>
      </c>
      <c r="T608">
        <f>ROUND((M608*0.25)+(N608*0.20)+(O608*0.15)+(P608*0.15)+(Q608*0.10)+(R608*0.10)+(S608*0.05),2)</f>
        <v/>
      </c>
      <c r="U608">
        <f>IF(T608&gt;=4.25,"Critical",IF(T608&gt;=3.5,"High",IF(T608&gt;=2,"Medium","Low")))</f>
        <v/>
      </c>
    </row>
    <row r="609">
      <c r="R609">
        <f>IFERROR(XLOOKUP(XLOOKUP(D609,tblReleaseChanges[Change_ID],tblReleaseChanges[Oracle_Severity],""),tblSeverityMap[Severity_Text],tblSeverityMap[Score],0),0)</f>
        <v/>
      </c>
      <c r="T609">
        <f>ROUND((M609*0.25)+(N609*0.20)+(O609*0.15)+(P609*0.15)+(Q609*0.10)+(R609*0.10)+(S609*0.05),2)</f>
        <v/>
      </c>
      <c r="U609">
        <f>IF(T609&gt;=4.25,"Critical",IF(T609&gt;=3.5,"High",IF(T609&gt;=2,"Medium","Low")))</f>
        <v/>
      </c>
    </row>
    <row r="610">
      <c r="R610">
        <f>IFERROR(XLOOKUP(XLOOKUP(D610,tblReleaseChanges[Change_ID],tblReleaseChanges[Oracle_Severity],""),tblSeverityMap[Severity_Text],tblSeverityMap[Score],0),0)</f>
        <v/>
      </c>
      <c r="T610">
        <f>ROUND((M610*0.25)+(N610*0.20)+(O610*0.15)+(P610*0.15)+(Q610*0.10)+(R610*0.10)+(S610*0.05),2)</f>
        <v/>
      </c>
      <c r="U610">
        <f>IF(T610&gt;=4.25,"Critical",IF(T610&gt;=3.5,"High",IF(T610&gt;=2,"Medium","Low")))</f>
        <v/>
      </c>
    </row>
    <row r="611">
      <c r="R611">
        <f>IFERROR(XLOOKUP(XLOOKUP(D611,tblReleaseChanges[Change_ID],tblReleaseChanges[Oracle_Severity],""),tblSeverityMap[Severity_Text],tblSeverityMap[Score],0),0)</f>
        <v/>
      </c>
      <c r="T611">
        <f>ROUND((M611*0.25)+(N611*0.20)+(O611*0.15)+(P611*0.15)+(Q611*0.10)+(R611*0.10)+(S611*0.05),2)</f>
        <v/>
      </c>
      <c r="U611">
        <f>IF(T611&gt;=4.25,"Critical",IF(T611&gt;=3.5,"High",IF(T611&gt;=2,"Medium","Low")))</f>
        <v/>
      </c>
    </row>
    <row r="612">
      <c r="R612">
        <f>IFERROR(XLOOKUP(XLOOKUP(D612,tblReleaseChanges[Change_ID],tblReleaseChanges[Oracle_Severity],""),tblSeverityMap[Severity_Text],tblSeverityMap[Score],0),0)</f>
        <v/>
      </c>
      <c r="T612">
        <f>ROUND((M612*0.25)+(N612*0.20)+(O612*0.15)+(P612*0.15)+(Q612*0.10)+(R612*0.10)+(S612*0.05),2)</f>
        <v/>
      </c>
      <c r="U612">
        <f>IF(T612&gt;=4.25,"Critical",IF(T612&gt;=3.5,"High",IF(T612&gt;=2,"Medium","Low")))</f>
        <v/>
      </c>
    </row>
    <row r="613">
      <c r="R613">
        <f>IFERROR(XLOOKUP(XLOOKUP(D613,tblReleaseChanges[Change_ID],tblReleaseChanges[Oracle_Severity],""),tblSeverityMap[Severity_Text],tblSeverityMap[Score],0),0)</f>
        <v/>
      </c>
      <c r="T613">
        <f>ROUND((M613*0.25)+(N613*0.20)+(O613*0.15)+(P613*0.15)+(Q613*0.10)+(R613*0.10)+(S613*0.05),2)</f>
        <v/>
      </c>
      <c r="U613">
        <f>IF(T613&gt;=4.25,"Critical",IF(T613&gt;=3.5,"High",IF(T613&gt;=2,"Medium","Low")))</f>
        <v/>
      </c>
    </row>
    <row r="614">
      <c r="R614">
        <f>IFERROR(XLOOKUP(XLOOKUP(D614,tblReleaseChanges[Change_ID],tblReleaseChanges[Oracle_Severity],""),tblSeverityMap[Severity_Text],tblSeverityMap[Score],0),0)</f>
        <v/>
      </c>
      <c r="T614">
        <f>ROUND((M614*0.25)+(N614*0.20)+(O614*0.15)+(P614*0.15)+(Q614*0.10)+(R614*0.10)+(S614*0.05),2)</f>
        <v/>
      </c>
      <c r="U614">
        <f>IF(T614&gt;=4.25,"Critical",IF(T614&gt;=3.5,"High",IF(T614&gt;=2,"Medium","Low")))</f>
        <v/>
      </c>
    </row>
    <row r="615">
      <c r="R615">
        <f>IFERROR(XLOOKUP(XLOOKUP(D615,tblReleaseChanges[Change_ID],tblReleaseChanges[Oracle_Severity],""),tblSeverityMap[Severity_Text],tblSeverityMap[Score],0),0)</f>
        <v/>
      </c>
      <c r="T615">
        <f>ROUND((M615*0.25)+(N615*0.20)+(O615*0.15)+(P615*0.15)+(Q615*0.10)+(R615*0.10)+(S615*0.05),2)</f>
        <v/>
      </c>
      <c r="U615">
        <f>IF(T615&gt;=4.25,"Critical",IF(T615&gt;=3.5,"High",IF(T615&gt;=2,"Medium","Low")))</f>
        <v/>
      </c>
    </row>
    <row r="616">
      <c r="R616">
        <f>IFERROR(XLOOKUP(XLOOKUP(D616,tblReleaseChanges[Change_ID],tblReleaseChanges[Oracle_Severity],""),tblSeverityMap[Severity_Text],tblSeverityMap[Score],0),0)</f>
        <v/>
      </c>
      <c r="T616">
        <f>ROUND((M616*0.25)+(N616*0.20)+(O616*0.15)+(P616*0.15)+(Q616*0.10)+(R616*0.10)+(S616*0.05),2)</f>
        <v/>
      </c>
      <c r="U616">
        <f>IF(T616&gt;=4.25,"Critical",IF(T616&gt;=3.5,"High",IF(T616&gt;=2,"Medium","Low")))</f>
        <v/>
      </c>
    </row>
    <row r="617">
      <c r="R617">
        <f>IFERROR(XLOOKUP(XLOOKUP(D617,tblReleaseChanges[Change_ID],tblReleaseChanges[Oracle_Severity],""),tblSeverityMap[Severity_Text],tblSeverityMap[Score],0),0)</f>
        <v/>
      </c>
      <c r="T617">
        <f>ROUND((M617*0.25)+(N617*0.20)+(O617*0.15)+(P617*0.15)+(Q617*0.10)+(R617*0.10)+(S617*0.05),2)</f>
        <v/>
      </c>
      <c r="U617">
        <f>IF(T617&gt;=4.25,"Critical",IF(T617&gt;=3.5,"High",IF(T617&gt;=2,"Medium","Low")))</f>
        <v/>
      </c>
    </row>
    <row r="618">
      <c r="R618">
        <f>IFERROR(XLOOKUP(XLOOKUP(D618,tblReleaseChanges[Change_ID],tblReleaseChanges[Oracle_Severity],""),tblSeverityMap[Severity_Text],tblSeverityMap[Score],0),0)</f>
        <v/>
      </c>
      <c r="T618">
        <f>ROUND((M618*0.25)+(N618*0.20)+(O618*0.15)+(P618*0.15)+(Q618*0.10)+(R618*0.10)+(S618*0.05),2)</f>
        <v/>
      </c>
      <c r="U618">
        <f>IF(T618&gt;=4.25,"Critical",IF(T618&gt;=3.5,"High",IF(T618&gt;=2,"Medium","Low")))</f>
        <v/>
      </c>
    </row>
    <row r="619">
      <c r="R619">
        <f>IFERROR(XLOOKUP(XLOOKUP(D619,tblReleaseChanges[Change_ID],tblReleaseChanges[Oracle_Severity],""),tblSeverityMap[Severity_Text],tblSeverityMap[Score],0),0)</f>
        <v/>
      </c>
      <c r="T619">
        <f>ROUND((M619*0.25)+(N619*0.20)+(O619*0.15)+(P619*0.15)+(Q619*0.10)+(R619*0.10)+(S619*0.05),2)</f>
        <v/>
      </c>
      <c r="U619">
        <f>IF(T619&gt;=4.25,"Critical",IF(T619&gt;=3.5,"High",IF(T619&gt;=2,"Medium","Low")))</f>
        <v/>
      </c>
    </row>
    <row r="620">
      <c r="R620">
        <f>IFERROR(XLOOKUP(XLOOKUP(D620,tblReleaseChanges[Change_ID],tblReleaseChanges[Oracle_Severity],""),tblSeverityMap[Severity_Text],tblSeverityMap[Score],0),0)</f>
        <v/>
      </c>
      <c r="T620">
        <f>ROUND((M620*0.25)+(N620*0.20)+(O620*0.15)+(P620*0.15)+(Q620*0.10)+(R620*0.10)+(S620*0.05),2)</f>
        <v/>
      </c>
      <c r="U620">
        <f>IF(T620&gt;=4.25,"Critical",IF(T620&gt;=3.5,"High",IF(T620&gt;=2,"Medium","Low")))</f>
        <v/>
      </c>
    </row>
    <row r="621">
      <c r="R621">
        <f>IFERROR(XLOOKUP(XLOOKUP(D621,tblReleaseChanges[Change_ID],tblReleaseChanges[Oracle_Severity],""),tblSeverityMap[Severity_Text],tblSeverityMap[Score],0),0)</f>
        <v/>
      </c>
      <c r="T621">
        <f>ROUND((M621*0.25)+(N621*0.20)+(O621*0.15)+(P621*0.15)+(Q621*0.10)+(R621*0.10)+(S621*0.05),2)</f>
        <v/>
      </c>
      <c r="U621">
        <f>IF(T621&gt;=4.25,"Critical",IF(T621&gt;=3.5,"High",IF(T621&gt;=2,"Medium","Low")))</f>
        <v/>
      </c>
    </row>
    <row r="622">
      <c r="R622">
        <f>IFERROR(XLOOKUP(XLOOKUP(D622,tblReleaseChanges[Change_ID],tblReleaseChanges[Oracle_Severity],""),tblSeverityMap[Severity_Text],tblSeverityMap[Score],0),0)</f>
        <v/>
      </c>
      <c r="T622">
        <f>ROUND((M622*0.25)+(N622*0.20)+(O622*0.15)+(P622*0.15)+(Q622*0.10)+(R622*0.10)+(S622*0.05),2)</f>
        <v/>
      </c>
      <c r="U622">
        <f>IF(T622&gt;=4.25,"Critical",IF(T622&gt;=3.5,"High",IF(T622&gt;=2,"Medium","Low")))</f>
        <v/>
      </c>
    </row>
    <row r="623">
      <c r="R623">
        <f>IFERROR(XLOOKUP(XLOOKUP(D623,tblReleaseChanges[Change_ID],tblReleaseChanges[Oracle_Severity],""),tblSeverityMap[Severity_Text],tblSeverityMap[Score],0),0)</f>
        <v/>
      </c>
      <c r="T623">
        <f>ROUND((M623*0.25)+(N623*0.20)+(O623*0.15)+(P623*0.15)+(Q623*0.10)+(R623*0.10)+(S623*0.05),2)</f>
        <v/>
      </c>
      <c r="U623">
        <f>IF(T623&gt;=4.25,"Critical",IF(T623&gt;=3.5,"High",IF(T623&gt;=2,"Medium","Low")))</f>
        <v/>
      </c>
    </row>
    <row r="624">
      <c r="R624">
        <f>IFERROR(XLOOKUP(XLOOKUP(D624,tblReleaseChanges[Change_ID],tblReleaseChanges[Oracle_Severity],""),tblSeverityMap[Severity_Text],tblSeverityMap[Score],0),0)</f>
        <v/>
      </c>
      <c r="T624">
        <f>ROUND((M624*0.25)+(N624*0.20)+(O624*0.15)+(P624*0.15)+(Q624*0.10)+(R624*0.10)+(S624*0.05),2)</f>
        <v/>
      </c>
      <c r="U624">
        <f>IF(T624&gt;=4.25,"Critical",IF(T624&gt;=3.5,"High",IF(T624&gt;=2,"Medium","Low")))</f>
        <v/>
      </c>
    </row>
    <row r="625">
      <c r="R625">
        <f>IFERROR(XLOOKUP(XLOOKUP(D625,tblReleaseChanges[Change_ID],tblReleaseChanges[Oracle_Severity],""),tblSeverityMap[Severity_Text],tblSeverityMap[Score],0),0)</f>
        <v/>
      </c>
      <c r="T625">
        <f>ROUND((M625*0.25)+(N625*0.20)+(O625*0.15)+(P625*0.15)+(Q625*0.10)+(R625*0.10)+(S625*0.05),2)</f>
        <v/>
      </c>
      <c r="U625">
        <f>IF(T625&gt;=4.25,"Critical",IF(T625&gt;=3.5,"High",IF(T625&gt;=2,"Medium","Low")))</f>
        <v/>
      </c>
    </row>
    <row r="626">
      <c r="R626">
        <f>IFERROR(XLOOKUP(XLOOKUP(D626,tblReleaseChanges[Change_ID],tblReleaseChanges[Oracle_Severity],""),tblSeverityMap[Severity_Text],tblSeverityMap[Score],0),0)</f>
        <v/>
      </c>
      <c r="T626">
        <f>ROUND((M626*0.25)+(N626*0.20)+(O626*0.15)+(P626*0.15)+(Q626*0.10)+(R626*0.10)+(S626*0.05),2)</f>
        <v/>
      </c>
      <c r="U626">
        <f>IF(T626&gt;=4.25,"Critical",IF(T626&gt;=3.5,"High",IF(T626&gt;=2,"Medium","Low")))</f>
        <v/>
      </c>
    </row>
    <row r="627">
      <c r="R627">
        <f>IFERROR(XLOOKUP(XLOOKUP(D627,tblReleaseChanges[Change_ID],tblReleaseChanges[Oracle_Severity],""),tblSeverityMap[Severity_Text],tblSeverityMap[Score],0),0)</f>
        <v/>
      </c>
      <c r="T627">
        <f>ROUND((M627*0.25)+(N627*0.20)+(O627*0.15)+(P627*0.15)+(Q627*0.10)+(R627*0.10)+(S627*0.05),2)</f>
        <v/>
      </c>
      <c r="U627">
        <f>IF(T627&gt;=4.25,"Critical",IF(T627&gt;=3.5,"High",IF(T627&gt;=2,"Medium","Low")))</f>
        <v/>
      </c>
    </row>
    <row r="628">
      <c r="R628">
        <f>IFERROR(XLOOKUP(XLOOKUP(D628,tblReleaseChanges[Change_ID],tblReleaseChanges[Oracle_Severity],""),tblSeverityMap[Severity_Text],tblSeverityMap[Score],0),0)</f>
        <v/>
      </c>
      <c r="T628">
        <f>ROUND((M628*0.25)+(N628*0.20)+(O628*0.15)+(P628*0.15)+(Q628*0.10)+(R628*0.10)+(S628*0.05),2)</f>
        <v/>
      </c>
      <c r="U628">
        <f>IF(T628&gt;=4.25,"Critical",IF(T628&gt;=3.5,"High",IF(T628&gt;=2,"Medium","Low")))</f>
        <v/>
      </c>
    </row>
    <row r="629">
      <c r="R629">
        <f>IFERROR(XLOOKUP(XLOOKUP(D629,tblReleaseChanges[Change_ID],tblReleaseChanges[Oracle_Severity],""),tblSeverityMap[Severity_Text],tblSeverityMap[Score],0),0)</f>
        <v/>
      </c>
      <c r="T629">
        <f>ROUND((M629*0.25)+(N629*0.20)+(O629*0.15)+(P629*0.15)+(Q629*0.10)+(R629*0.10)+(S629*0.05),2)</f>
        <v/>
      </c>
      <c r="U629">
        <f>IF(T629&gt;=4.25,"Critical",IF(T629&gt;=3.5,"High",IF(T629&gt;=2,"Medium","Low")))</f>
        <v/>
      </c>
    </row>
    <row r="630">
      <c r="R630">
        <f>IFERROR(XLOOKUP(XLOOKUP(D630,tblReleaseChanges[Change_ID],tblReleaseChanges[Oracle_Severity],""),tblSeverityMap[Severity_Text],tblSeverityMap[Score],0),0)</f>
        <v/>
      </c>
      <c r="T630">
        <f>ROUND((M630*0.25)+(N630*0.20)+(O630*0.15)+(P630*0.15)+(Q630*0.10)+(R630*0.10)+(S630*0.05),2)</f>
        <v/>
      </c>
      <c r="U630">
        <f>IF(T630&gt;=4.25,"Critical",IF(T630&gt;=3.5,"High",IF(T630&gt;=2,"Medium","Low")))</f>
        <v/>
      </c>
    </row>
    <row r="631">
      <c r="R631">
        <f>IFERROR(XLOOKUP(XLOOKUP(D631,tblReleaseChanges[Change_ID],tblReleaseChanges[Oracle_Severity],""),tblSeverityMap[Severity_Text],tblSeverityMap[Score],0),0)</f>
        <v/>
      </c>
      <c r="T631">
        <f>ROUND((M631*0.25)+(N631*0.20)+(O631*0.15)+(P631*0.15)+(Q631*0.10)+(R631*0.10)+(S631*0.05),2)</f>
        <v/>
      </c>
      <c r="U631">
        <f>IF(T631&gt;=4.25,"Critical",IF(T631&gt;=3.5,"High",IF(T631&gt;=2,"Medium","Low")))</f>
        <v/>
      </c>
    </row>
    <row r="632">
      <c r="R632">
        <f>IFERROR(XLOOKUP(XLOOKUP(D632,tblReleaseChanges[Change_ID],tblReleaseChanges[Oracle_Severity],""),tblSeverityMap[Severity_Text],tblSeverityMap[Score],0),0)</f>
        <v/>
      </c>
      <c r="T632">
        <f>ROUND((M632*0.25)+(N632*0.20)+(O632*0.15)+(P632*0.15)+(Q632*0.10)+(R632*0.10)+(S632*0.05),2)</f>
        <v/>
      </c>
      <c r="U632">
        <f>IF(T632&gt;=4.25,"Critical",IF(T632&gt;=3.5,"High",IF(T632&gt;=2,"Medium","Low")))</f>
        <v/>
      </c>
    </row>
    <row r="633">
      <c r="R633">
        <f>IFERROR(XLOOKUP(XLOOKUP(D633,tblReleaseChanges[Change_ID],tblReleaseChanges[Oracle_Severity],""),tblSeverityMap[Severity_Text],tblSeverityMap[Score],0),0)</f>
        <v/>
      </c>
      <c r="T633">
        <f>ROUND((M633*0.25)+(N633*0.20)+(O633*0.15)+(P633*0.15)+(Q633*0.10)+(R633*0.10)+(S633*0.05),2)</f>
        <v/>
      </c>
      <c r="U633">
        <f>IF(T633&gt;=4.25,"Critical",IF(T633&gt;=3.5,"High",IF(T633&gt;=2,"Medium","Low")))</f>
        <v/>
      </c>
    </row>
    <row r="634">
      <c r="R634">
        <f>IFERROR(XLOOKUP(XLOOKUP(D634,tblReleaseChanges[Change_ID],tblReleaseChanges[Oracle_Severity],""),tblSeverityMap[Severity_Text],tblSeverityMap[Score],0),0)</f>
        <v/>
      </c>
      <c r="T634">
        <f>ROUND((M634*0.25)+(N634*0.20)+(O634*0.15)+(P634*0.15)+(Q634*0.10)+(R634*0.10)+(S634*0.05),2)</f>
        <v/>
      </c>
      <c r="U634">
        <f>IF(T634&gt;=4.25,"Critical",IF(T634&gt;=3.5,"High",IF(T634&gt;=2,"Medium","Low")))</f>
        <v/>
      </c>
    </row>
    <row r="635">
      <c r="R635">
        <f>IFERROR(XLOOKUP(XLOOKUP(D635,tblReleaseChanges[Change_ID],tblReleaseChanges[Oracle_Severity],""),tblSeverityMap[Severity_Text],tblSeverityMap[Score],0),0)</f>
        <v/>
      </c>
      <c r="T635">
        <f>ROUND((M635*0.25)+(N635*0.20)+(O635*0.15)+(P635*0.15)+(Q635*0.10)+(R635*0.10)+(S635*0.05),2)</f>
        <v/>
      </c>
      <c r="U635">
        <f>IF(T635&gt;=4.25,"Critical",IF(T635&gt;=3.5,"High",IF(T635&gt;=2,"Medium","Low")))</f>
        <v/>
      </c>
    </row>
    <row r="636">
      <c r="R636">
        <f>IFERROR(XLOOKUP(XLOOKUP(D636,tblReleaseChanges[Change_ID],tblReleaseChanges[Oracle_Severity],""),tblSeverityMap[Severity_Text],tblSeverityMap[Score],0),0)</f>
        <v/>
      </c>
      <c r="T636">
        <f>ROUND((M636*0.25)+(N636*0.20)+(O636*0.15)+(P636*0.15)+(Q636*0.10)+(R636*0.10)+(S636*0.05),2)</f>
        <v/>
      </c>
      <c r="U636">
        <f>IF(T636&gt;=4.25,"Critical",IF(T636&gt;=3.5,"High",IF(T636&gt;=2,"Medium","Low")))</f>
        <v/>
      </c>
    </row>
    <row r="637">
      <c r="R637">
        <f>IFERROR(XLOOKUP(XLOOKUP(D637,tblReleaseChanges[Change_ID],tblReleaseChanges[Oracle_Severity],""),tblSeverityMap[Severity_Text],tblSeverityMap[Score],0),0)</f>
        <v/>
      </c>
      <c r="T637">
        <f>ROUND((M637*0.25)+(N637*0.20)+(O637*0.15)+(P637*0.15)+(Q637*0.10)+(R637*0.10)+(S637*0.05),2)</f>
        <v/>
      </c>
      <c r="U637">
        <f>IF(T637&gt;=4.25,"Critical",IF(T637&gt;=3.5,"High",IF(T637&gt;=2,"Medium","Low")))</f>
        <v/>
      </c>
    </row>
    <row r="638">
      <c r="R638">
        <f>IFERROR(XLOOKUP(XLOOKUP(D638,tblReleaseChanges[Change_ID],tblReleaseChanges[Oracle_Severity],""),tblSeverityMap[Severity_Text],tblSeverityMap[Score],0),0)</f>
        <v/>
      </c>
      <c r="T638">
        <f>ROUND((M638*0.25)+(N638*0.20)+(O638*0.15)+(P638*0.15)+(Q638*0.10)+(R638*0.10)+(S638*0.05),2)</f>
        <v/>
      </c>
      <c r="U638">
        <f>IF(T638&gt;=4.25,"Critical",IF(T638&gt;=3.5,"High",IF(T638&gt;=2,"Medium","Low")))</f>
        <v/>
      </c>
    </row>
    <row r="639">
      <c r="R639">
        <f>IFERROR(XLOOKUP(XLOOKUP(D639,tblReleaseChanges[Change_ID],tblReleaseChanges[Oracle_Severity],""),tblSeverityMap[Severity_Text],tblSeverityMap[Score],0),0)</f>
        <v/>
      </c>
      <c r="T639">
        <f>ROUND((M639*0.25)+(N639*0.20)+(O639*0.15)+(P639*0.15)+(Q639*0.10)+(R639*0.10)+(S639*0.05),2)</f>
        <v/>
      </c>
      <c r="U639">
        <f>IF(T639&gt;=4.25,"Critical",IF(T639&gt;=3.5,"High",IF(T639&gt;=2,"Medium","Low")))</f>
        <v/>
      </c>
    </row>
    <row r="640">
      <c r="R640">
        <f>IFERROR(XLOOKUP(XLOOKUP(D640,tblReleaseChanges[Change_ID],tblReleaseChanges[Oracle_Severity],""),tblSeverityMap[Severity_Text],tblSeverityMap[Score],0),0)</f>
        <v/>
      </c>
      <c r="T640">
        <f>ROUND((M640*0.25)+(N640*0.20)+(O640*0.15)+(P640*0.15)+(Q640*0.10)+(R640*0.10)+(S640*0.05),2)</f>
        <v/>
      </c>
      <c r="U640">
        <f>IF(T640&gt;=4.25,"Critical",IF(T640&gt;=3.5,"High",IF(T640&gt;=2,"Medium","Low")))</f>
        <v/>
      </c>
    </row>
    <row r="641">
      <c r="R641">
        <f>IFERROR(XLOOKUP(XLOOKUP(D641,tblReleaseChanges[Change_ID],tblReleaseChanges[Oracle_Severity],""),tblSeverityMap[Severity_Text],tblSeverityMap[Score],0),0)</f>
        <v/>
      </c>
      <c r="T641">
        <f>ROUND((M641*0.25)+(N641*0.20)+(O641*0.15)+(P641*0.15)+(Q641*0.10)+(R641*0.10)+(S641*0.05),2)</f>
        <v/>
      </c>
      <c r="U641">
        <f>IF(T641&gt;=4.25,"Critical",IF(T641&gt;=3.5,"High",IF(T641&gt;=2,"Medium","Low")))</f>
        <v/>
      </c>
    </row>
    <row r="642">
      <c r="R642">
        <f>IFERROR(XLOOKUP(XLOOKUP(D642,tblReleaseChanges[Change_ID],tblReleaseChanges[Oracle_Severity],""),tblSeverityMap[Severity_Text],tblSeverityMap[Score],0),0)</f>
        <v/>
      </c>
      <c r="T642">
        <f>ROUND((M642*0.25)+(N642*0.20)+(O642*0.15)+(P642*0.15)+(Q642*0.10)+(R642*0.10)+(S642*0.05),2)</f>
        <v/>
      </c>
      <c r="U642">
        <f>IF(T642&gt;=4.25,"Critical",IF(T642&gt;=3.5,"High",IF(T642&gt;=2,"Medium","Low")))</f>
        <v/>
      </c>
    </row>
    <row r="643">
      <c r="R643">
        <f>IFERROR(XLOOKUP(XLOOKUP(D643,tblReleaseChanges[Change_ID],tblReleaseChanges[Oracle_Severity],""),tblSeverityMap[Severity_Text],tblSeverityMap[Score],0),0)</f>
        <v/>
      </c>
      <c r="T643">
        <f>ROUND((M643*0.25)+(N643*0.20)+(O643*0.15)+(P643*0.15)+(Q643*0.10)+(R643*0.10)+(S643*0.05),2)</f>
        <v/>
      </c>
      <c r="U643">
        <f>IF(T643&gt;=4.25,"Critical",IF(T643&gt;=3.5,"High",IF(T643&gt;=2,"Medium","Low")))</f>
        <v/>
      </c>
    </row>
    <row r="644">
      <c r="R644">
        <f>IFERROR(XLOOKUP(XLOOKUP(D644,tblReleaseChanges[Change_ID],tblReleaseChanges[Oracle_Severity],""),tblSeverityMap[Severity_Text],tblSeverityMap[Score],0),0)</f>
        <v/>
      </c>
      <c r="T644">
        <f>ROUND((M644*0.25)+(N644*0.20)+(O644*0.15)+(P644*0.15)+(Q644*0.10)+(R644*0.10)+(S644*0.05),2)</f>
        <v/>
      </c>
      <c r="U644">
        <f>IF(T644&gt;=4.25,"Critical",IF(T644&gt;=3.5,"High",IF(T644&gt;=2,"Medium","Low")))</f>
        <v/>
      </c>
    </row>
    <row r="645">
      <c r="R645">
        <f>IFERROR(XLOOKUP(XLOOKUP(D645,tblReleaseChanges[Change_ID],tblReleaseChanges[Oracle_Severity],""),tblSeverityMap[Severity_Text],tblSeverityMap[Score],0),0)</f>
        <v/>
      </c>
      <c r="T645">
        <f>ROUND((M645*0.25)+(N645*0.20)+(O645*0.15)+(P645*0.15)+(Q645*0.10)+(R645*0.10)+(S645*0.05),2)</f>
        <v/>
      </c>
      <c r="U645">
        <f>IF(T645&gt;=4.25,"Critical",IF(T645&gt;=3.5,"High",IF(T645&gt;=2,"Medium","Low")))</f>
        <v/>
      </c>
    </row>
    <row r="646">
      <c r="R646">
        <f>IFERROR(XLOOKUP(XLOOKUP(D646,tblReleaseChanges[Change_ID],tblReleaseChanges[Oracle_Severity],""),tblSeverityMap[Severity_Text],tblSeverityMap[Score],0),0)</f>
        <v/>
      </c>
      <c r="T646">
        <f>ROUND((M646*0.25)+(N646*0.20)+(O646*0.15)+(P646*0.15)+(Q646*0.10)+(R646*0.10)+(S646*0.05),2)</f>
        <v/>
      </c>
      <c r="U646">
        <f>IF(T646&gt;=4.25,"Critical",IF(T646&gt;=3.5,"High",IF(T646&gt;=2,"Medium","Low")))</f>
        <v/>
      </c>
    </row>
    <row r="647">
      <c r="R647">
        <f>IFERROR(XLOOKUP(XLOOKUP(D647,tblReleaseChanges[Change_ID],tblReleaseChanges[Oracle_Severity],""),tblSeverityMap[Severity_Text],tblSeverityMap[Score],0),0)</f>
        <v/>
      </c>
      <c r="T647">
        <f>ROUND((M647*0.25)+(N647*0.20)+(O647*0.15)+(P647*0.15)+(Q647*0.10)+(R647*0.10)+(S647*0.05),2)</f>
        <v/>
      </c>
      <c r="U647">
        <f>IF(T647&gt;=4.25,"Critical",IF(T647&gt;=3.5,"High",IF(T647&gt;=2,"Medium","Low")))</f>
        <v/>
      </c>
    </row>
    <row r="648">
      <c r="R648">
        <f>IFERROR(XLOOKUP(XLOOKUP(D648,tblReleaseChanges[Change_ID],tblReleaseChanges[Oracle_Severity],""),tblSeverityMap[Severity_Text],tblSeverityMap[Score],0),0)</f>
        <v/>
      </c>
      <c r="T648">
        <f>ROUND((M648*0.25)+(N648*0.20)+(O648*0.15)+(P648*0.15)+(Q648*0.10)+(R648*0.10)+(S648*0.05),2)</f>
        <v/>
      </c>
      <c r="U648">
        <f>IF(T648&gt;=4.25,"Critical",IF(T648&gt;=3.5,"High",IF(T648&gt;=2,"Medium","Low")))</f>
        <v/>
      </c>
    </row>
    <row r="649">
      <c r="R649">
        <f>IFERROR(XLOOKUP(XLOOKUP(D649,tblReleaseChanges[Change_ID],tblReleaseChanges[Oracle_Severity],""),tblSeverityMap[Severity_Text],tblSeverityMap[Score],0),0)</f>
        <v/>
      </c>
      <c r="T649">
        <f>ROUND((M649*0.25)+(N649*0.20)+(O649*0.15)+(P649*0.15)+(Q649*0.10)+(R649*0.10)+(S649*0.05),2)</f>
        <v/>
      </c>
      <c r="U649">
        <f>IF(T649&gt;=4.25,"Critical",IF(T649&gt;=3.5,"High",IF(T649&gt;=2,"Medium","Low")))</f>
        <v/>
      </c>
    </row>
    <row r="650">
      <c r="R650">
        <f>IFERROR(XLOOKUP(XLOOKUP(D650,tblReleaseChanges[Change_ID],tblReleaseChanges[Oracle_Severity],""),tblSeverityMap[Severity_Text],tblSeverityMap[Score],0),0)</f>
        <v/>
      </c>
      <c r="T650">
        <f>ROUND((M650*0.25)+(N650*0.20)+(O650*0.15)+(P650*0.15)+(Q650*0.10)+(R650*0.10)+(S650*0.05),2)</f>
        <v/>
      </c>
      <c r="U650">
        <f>IF(T650&gt;=4.25,"Critical",IF(T650&gt;=3.5,"High",IF(T650&gt;=2,"Medium","Low")))</f>
        <v/>
      </c>
    </row>
    <row r="651">
      <c r="R651">
        <f>IFERROR(XLOOKUP(XLOOKUP(D651,tblReleaseChanges[Change_ID],tblReleaseChanges[Oracle_Severity],""),tblSeverityMap[Severity_Text],tblSeverityMap[Score],0),0)</f>
        <v/>
      </c>
      <c r="T651">
        <f>ROUND((M651*0.25)+(N651*0.20)+(O651*0.15)+(P651*0.15)+(Q651*0.10)+(R651*0.10)+(S651*0.05),2)</f>
        <v/>
      </c>
      <c r="U651">
        <f>IF(T651&gt;=4.25,"Critical",IF(T651&gt;=3.5,"High",IF(T651&gt;=2,"Medium","Low")))</f>
        <v/>
      </c>
    </row>
    <row r="652">
      <c r="R652">
        <f>IFERROR(XLOOKUP(XLOOKUP(D652,tblReleaseChanges[Change_ID],tblReleaseChanges[Oracle_Severity],""),tblSeverityMap[Severity_Text],tblSeverityMap[Score],0),0)</f>
        <v/>
      </c>
      <c r="T652">
        <f>ROUND((M652*0.25)+(N652*0.20)+(O652*0.15)+(P652*0.15)+(Q652*0.10)+(R652*0.10)+(S652*0.05),2)</f>
        <v/>
      </c>
      <c r="U652">
        <f>IF(T652&gt;=4.25,"Critical",IF(T652&gt;=3.5,"High",IF(T652&gt;=2,"Medium","Low")))</f>
        <v/>
      </c>
    </row>
    <row r="653">
      <c r="R653">
        <f>IFERROR(XLOOKUP(XLOOKUP(D653,tblReleaseChanges[Change_ID],tblReleaseChanges[Oracle_Severity],""),tblSeverityMap[Severity_Text],tblSeverityMap[Score],0),0)</f>
        <v/>
      </c>
      <c r="T653">
        <f>ROUND((M653*0.25)+(N653*0.20)+(O653*0.15)+(P653*0.15)+(Q653*0.10)+(R653*0.10)+(S653*0.05),2)</f>
        <v/>
      </c>
      <c r="U653">
        <f>IF(T653&gt;=4.25,"Critical",IF(T653&gt;=3.5,"High",IF(T653&gt;=2,"Medium","Low")))</f>
        <v/>
      </c>
    </row>
    <row r="654">
      <c r="R654">
        <f>IFERROR(XLOOKUP(XLOOKUP(D654,tblReleaseChanges[Change_ID],tblReleaseChanges[Oracle_Severity],""),tblSeverityMap[Severity_Text],tblSeverityMap[Score],0),0)</f>
        <v/>
      </c>
      <c r="T654">
        <f>ROUND((M654*0.25)+(N654*0.20)+(O654*0.15)+(P654*0.15)+(Q654*0.10)+(R654*0.10)+(S654*0.05),2)</f>
        <v/>
      </c>
      <c r="U654">
        <f>IF(T654&gt;=4.25,"Critical",IF(T654&gt;=3.5,"High",IF(T654&gt;=2,"Medium","Low")))</f>
        <v/>
      </c>
    </row>
    <row r="655">
      <c r="R655">
        <f>IFERROR(XLOOKUP(XLOOKUP(D655,tblReleaseChanges[Change_ID],tblReleaseChanges[Oracle_Severity],""),tblSeverityMap[Severity_Text],tblSeverityMap[Score],0),0)</f>
        <v/>
      </c>
      <c r="T655">
        <f>ROUND((M655*0.25)+(N655*0.20)+(O655*0.15)+(P655*0.15)+(Q655*0.10)+(R655*0.10)+(S655*0.05),2)</f>
        <v/>
      </c>
      <c r="U655">
        <f>IF(T655&gt;=4.25,"Critical",IF(T655&gt;=3.5,"High",IF(T655&gt;=2,"Medium","Low")))</f>
        <v/>
      </c>
    </row>
    <row r="656">
      <c r="R656">
        <f>IFERROR(XLOOKUP(XLOOKUP(D656,tblReleaseChanges[Change_ID],tblReleaseChanges[Oracle_Severity],""),tblSeverityMap[Severity_Text],tblSeverityMap[Score],0),0)</f>
        <v/>
      </c>
      <c r="T656">
        <f>ROUND((M656*0.25)+(N656*0.20)+(O656*0.15)+(P656*0.15)+(Q656*0.10)+(R656*0.10)+(S656*0.05),2)</f>
        <v/>
      </c>
      <c r="U656">
        <f>IF(T656&gt;=4.25,"Critical",IF(T656&gt;=3.5,"High",IF(T656&gt;=2,"Medium","Low")))</f>
        <v/>
      </c>
    </row>
    <row r="657">
      <c r="R657">
        <f>IFERROR(XLOOKUP(XLOOKUP(D657,tblReleaseChanges[Change_ID],tblReleaseChanges[Oracle_Severity],""),tblSeverityMap[Severity_Text],tblSeverityMap[Score],0),0)</f>
        <v/>
      </c>
      <c r="T657">
        <f>ROUND((M657*0.25)+(N657*0.20)+(O657*0.15)+(P657*0.15)+(Q657*0.10)+(R657*0.10)+(S657*0.05),2)</f>
        <v/>
      </c>
      <c r="U657">
        <f>IF(T657&gt;=4.25,"Critical",IF(T657&gt;=3.5,"High",IF(T657&gt;=2,"Medium","Low")))</f>
        <v/>
      </c>
    </row>
    <row r="658">
      <c r="R658">
        <f>IFERROR(XLOOKUP(XLOOKUP(D658,tblReleaseChanges[Change_ID],tblReleaseChanges[Oracle_Severity],""),tblSeverityMap[Severity_Text],tblSeverityMap[Score],0),0)</f>
        <v/>
      </c>
      <c r="T658">
        <f>ROUND((M658*0.25)+(N658*0.20)+(O658*0.15)+(P658*0.15)+(Q658*0.10)+(R658*0.10)+(S658*0.05),2)</f>
        <v/>
      </c>
      <c r="U658">
        <f>IF(T658&gt;=4.25,"Critical",IF(T658&gt;=3.5,"High",IF(T658&gt;=2,"Medium","Low")))</f>
        <v/>
      </c>
    </row>
    <row r="659">
      <c r="R659">
        <f>IFERROR(XLOOKUP(XLOOKUP(D659,tblReleaseChanges[Change_ID],tblReleaseChanges[Oracle_Severity],""),tblSeverityMap[Severity_Text],tblSeverityMap[Score],0),0)</f>
        <v/>
      </c>
      <c r="T659">
        <f>ROUND((M659*0.25)+(N659*0.20)+(O659*0.15)+(P659*0.15)+(Q659*0.10)+(R659*0.10)+(S659*0.05),2)</f>
        <v/>
      </c>
      <c r="U659">
        <f>IF(T659&gt;=4.25,"Critical",IF(T659&gt;=3.5,"High",IF(T659&gt;=2,"Medium","Low")))</f>
        <v/>
      </c>
    </row>
    <row r="660">
      <c r="R660">
        <f>IFERROR(XLOOKUP(XLOOKUP(D660,tblReleaseChanges[Change_ID],tblReleaseChanges[Oracle_Severity],""),tblSeverityMap[Severity_Text],tblSeverityMap[Score],0),0)</f>
        <v/>
      </c>
      <c r="T660">
        <f>ROUND((M660*0.25)+(N660*0.20)+(O660*0.15)+(P660*0.15)+(Q660*0.10)+(R660*0.10)+(S660*0.05),2)</f>
        <v/>
      </c>
      <c r="U660">
        <f>IF(T660&gt;=4.25,"Critical",IF(T660&gt;=3.5,"High",IF(T660&gt;=2,"Medium","Low")))</f>
        <v/>
      </c>
    </row>
    <row r="661">
      <c r="R661">
        <f>IFERROR(XLOOKUP(XLOOKUP(D661,tblReleaseChanges[Change_ID],tblReleaseChanges[Oracle_Severity],""),tblSeverityMap[Severity_Text],tblSeverityMap[Score],0),0)</f>
        <v/>
      </c>
      <c r="T661">
        <f>ROUND((M661*0.25)+(N661*0.20)+(O661*0.15)+(P661*0.15)+(Q661*0.10)+(R661*0.10)+(S661*0.05),2)</f>
        <v/>
      </c>
      <c r="U661">
        <f>IF(T661&gt;=4.25,"Critical",IF(T661&gt;=3.5,"High",IF(T661&gt;=2,"Medium","Low")))</f>
        <v/>
      </c>
    </row>
    <row r="662">
      <c r="R662">
        <f>IFERROR(XLOOKUP(XLOOKUP(D662,tblReleaseChanges[Change_ID],tblReleaseChanges[Oracle_Severity],""),tblSeverityMap[Severity_Text],tblSeverityMap[Score],0),0)</f>
        <v/>
      </c>
      <c r="T662">
        <f>ROUND((M662*0.25)+(N662*0.20)+(O662*0.15)+(P662*0.15)+(Q662*0.10)+(R662*0.10)+(S662*0.05),2)</f>
        <v/>
      </c>
      <c r="U662">
        <f>IF(T662&gt;=4.25,"Critical",IF(T662&gt;=3.5,"High",IF(T662&gt;=2,"Medium","Low")))</f>
        <v/>
      </c>
    </row>
    <row r="663">
      <c r="R663">
        <f>IFERROR(XLOOKUP(XLOOKUP(D663,tblReleaseChanges[Change_ID],tblReleaseChanges[Oracle_Severity],""),tblSeverityMap[Severity_Text],tblSeverityMap[Score],0),0)</f>
        <v/>
      </c>
      <c r="T663">
        <f>ROUND((M663*0.25)+(N663*0.20)+(O663*0.15)+(P663*0.15)+(Q663*0.10)+(R663*0.10)+(S663*0.05),2)</f>
        <v/>
      </c>
      <c r="U663">
        <f>IF(T663&gt;=4.25,"Critical",IF(T663&gt;=3.5,"High",IF(T663&gt;=2,"Medium","Low")))</f>
        <v/>
      </c>
    </row>
    <row r="664">
      <c r="R664">
        <f>IFERROR(XLOOKUP(XLOOKUP(D664,tblReleaseChanges[Change_ID],tblReleaseChanges[Oracle_Severity],""),tblSeverityMap[Severity_Text],tblSeverityMap[Score],0),0)</f>
        <v/>
      </c>
      <c r="T664">
        <f>ROUND((M664*0.25)+(N664*0.20)+(O664*0.15)+(P664*0.15)+(Q664*0.10)+(R664*0.10)+(S664*0.05),2)</f>
        <v/>
      </c>
      <c r="U664">
        <f>IF(T664&gt;=4.25,"Critical",IF(T664&gt;=3.5,"High",IF(T664&gt;=2,"Medium","Low")))</f>
        <v/>
      </c>
    </row>
    <row r="665">
      <c r="R665">
        <f>IFERROR(XLOOKUP(XLOOKUP(D665,tblReleaseChanges[Change_ID],tblReleaseChanges[Oracle_Severity],""),tblSeverityMap[Severity_Text],tblSeverityMap[Score],0),0)</f>
        <v/>
      </c>
      <c r="T665">
        <f>ROUND((M665*0.25)+(N665*0.20)+(O665*0.15)+(P665*0.15)+(Q665*0.10)+(R665*0.10)+(S665*0.05),2)</f>
        <v/>
      </c>
      <c r="U665">
        <f>IF(T665&gt;=4.25,"Critical",IF(T665&gt;=3.5,"High",IF(T665&gt;=2,"Medium","Low")))</f>
        <v/>
      </c>
    </row>
    <row r="666">
      <c r="R666">
        <f>IFERROR(XLOOKUP(XLOOKUP(D666,tblReleaseChanges[Change_ID],tblReleaseChanges[Oracle_Severity],""),tblSeverityMap[Severity_Text],tblSeverityMap[Score],0),0)</f>
        <v/>
      </c>
      <c r="T666">
        <f>ROUND((M666*0.25)+(N666*0.20)+(O666*0.15)+(P666*0.15)+(Q666*0.10)+(R666*0.10)+(S666*0.05),2)</f>
        <v/>
      </c>
      <c r="U666">
        <f>IF(T666&gt;=4.25,"Critical",IF(T666&gt;=3.5,"High",IF(T666&gt;=2,"Medium","Low")))</f>
        <v/>
      </c>
    </row>
    <row r="667">
      <c r="R667">
        <f>IFERROR(XLOOKUP(XLOOKUP(D667,tblReleaseChanges[Change_ID],tblReleaseChanges[Oracle_Severity],""),tblSeverityMap[Severity_Text],tblSeverityMap[Score],0),0)</f>
        <v/>
      </c>
      <c r="T667">
        <f>ROUND((M667*0.25)+(N667*0.20)+(O667*0.15)+(P667*0.15)+(Q667*0.10)+(R667*0.10)+(S667*0.05),2)</f>
        <v/>
      </c>
      <c r="U667">
        <f>IF(T667&gt;=4.25,"Critical",IF(T667&gt;=3.5,"High",IF(T667&gt;=2,"Medium","Low")))</f>
        <v/>
      </c>
    </row>
    <row r="668">
      <c r="R668">
        <f>IFERROR(XLOOKUP(XLOOKUP(D668,tblReleaseChanges[Change_ID],tblReleaseChanges[Oracle_Severity],""),tblSeverityMap[Severity_Text],tblSeverityMap[Score],0),0)</f>
        <v/>
      </c>
      <c r="T668">
        <f>ROUND((M668*0.25)+(N668*0.20)+(O668*0.15)+(P668*0.15)+(Q668*0.10)+(R668*0.10)+(S668*0.05),2)</f>
        <v/>
      </c>
      <c r="U668">
        <f>IF(T668&gt;=4.25,"Critical",IF(T668&gt;=3.5,"High",IF(T668&gt;=2,"Medium","Low")))</f>
        <v/>
      </c>
    </row>
    <row r="669">
      <c r="R669">
        <f>IFERROR(XLOOKUP(XLOOKUP(D669,tblReleaseChanges[Change_ID],tblReleaseChanges[Oracle_Severity],""),tblSeverityMap[Severity_Text],tblSeverityMap[Score],0),0)</f>
        <v/>
      </c>
      <c r="T669">
        <f>ROUND((M669*0.25)+(N669*0.20)+(O669*0.15)+(P669*0.15)+(Q669*0.10)+(R669*0.10)+(S669*0.05),2)</f>
        <v/>
      </c>
      <c r="U669">
        <f>IF(T669&gt;=4.25,"Critical",IF(T669&gt;=3.5,"High",IF(T669&gt;=2,"Medium","Low")))</f>
        <v/>
      </c>
    </row>
    <row r="670">
      <c r="R670">
        <f>IFERROR(XLOOKUP(XLOOKUP(D670,tblReleaseChanges[Change_ID],tblReleaseChanges[Oracle_Severity],""),tblSeverityMap[Severity_Text],tblSeverityMap[Score],0),0)</f>
        <v/>
      </c>
      <c r="T670">
        <f>ROUND((M670*0.25)+(N670*0.20)+(O670*0.15)+(P670*0.15)+(Q670*0.10)+(R670*0.10)+(S670*0.05),2)</f>
        <v/>
      </c>
      <c r="U670">
        <f>IF(T670&gt;=4.25,"Critical",IF(T670&gt;=3.5,"High",IF(T670&gt;=2,"Medium","Low")))</f>
        <v/>
      </c>
    </row>
    <row r="671">
      <c r="R671">
        <f>IFERROR(XLOOKUP(XLOOKUP(D671,tblReleaseChanges[Change_ID],tblReleaseChanges[Oracle_Severity],""),tblSeverityMap[Severity_Text],tblSeverityMap[Score],0),0)</f>
        <v/>
      </c>
      <c r="T671">
        <f>ROUND((M671*0.25)+(N671*0.20)+(O671*0.15)+(P671*0.15)+(Q671*0.10)+(R671*0.10)+(S671*0.05),2)</f>
        <v/>
      </c>
      <c r="U671">
        <f>IF(T671&gt;=4.25,"Critical",IF(T671&gt;=3.5,"High",IF(T671&gt;=2,"Medium","Low")))</f>
        <v/>
      </c>
    </row>
    <row r="672">
      <c r="R672">
        <f>IFERROR(XLOOKUP(XLOOKUP(D672,tblReleaseChanges[Change_ID],tblReleaseChanges[Oracle_Severity],""),tblSeverityMap[Severity_Text],tblSeverityMap[Score],0),0)</f>
        <v/>
      </c>
      <c r="T672">
        <f>ROUND((M672*0.25)+(N672*0.20)+(O672*0.15)+(P672*0.15)+(Q672*0.10)+(R672*0.10)+(S672*0.05),2)</f>
        <v/>
      </c>
      <c r="U672">
        <f>IF(T672&gt;=4.25,"Critical",IF(T672&gt;=3.5,"High",IF(T672&gt;=2,"Medium","Low")))</f>
        <v/>
      </c>
    </row>
    <row r="673">
      <c r="R673">
        <f>IFERROR(XLOOKUP(XLOOKUP(D673,tblReleaseChanges[Change_ID],tblReleaseChanges[Oracle_Severity],""),tblSeverityMap[Severity_Text],tblSeverityMap[Score],0),0)</f>
        <v/>
      </c>
      <c r="T673">
        <f>ROUND((M673*0.25)+(N673*0.20)+(O673*0.15)+(P673*0.15)+(Q673*0.10)+(R673*0.10)+(S673*0.05),2)</f>
        <v/>
      </c>
      <c r="U673">
        <f>IF(T673&gt;=4.25,"Critical",IF(T673&gt;=3.5,"High",IF(T673&gt;=2,"Medium","Low")))</f>
        <v/>
      </c>
    </row>
    <row r="674">
      <c r="R674">
        <f>IFERROR(XLOOKUP(XLOOKUP(D674,tblReleaseChanges[Change_ID],tblReleaseChanges[Oracle_Severity],""),tblSeverityMap[Severity_Text],tblSeverityMap[Score],0),0)</f>
        <v/>
      </c>
      <c r="T674">
        <f>ROUND((M674*0.25)+(N674*0.20)+(O674*0.15)+(P674*0.15)+(Q674*0.10)+(R674*0.10)+(S674*0.05),2)</f>
        <v/>
      </c>
      <c r="U674">
        <f>IF(T674&gt;=4.25,"Critical",IF(T674&gt;=3.5,"High",IF(T674&gt;=2,"Medium","Low")))</f>
        <v/>
      </c>
    </row>
    <row r="675">
      <c r="R675">
        <f>IFERROR(XLOOKUP(XLOOKUP(D675,tblReleaseChanges[Change_ID],tblReleaseChanges[Oracle_Severity],""),tblSeverityMap[Severity_Text],tblSeverityMap[Score],0),0)</f>
        <v/>
      </c>
      <c r="T675">
        <f>ROUND((M675*0.25)+(N675*0.20)+(O675*0.15)+(P675*0.15)+(Q675*0.10)+(R675*0.10)+(S675*0.05),2)</f>
        <v/>
      </c>
      <c r="U675">
        <f>IF(T675&gt;=4.25,"Critical",IF(T675&gt;=3.5,"High",IF(T675&gt;=2,"Medium","Low")))</f>
        <v/>
      </c>
    </row>
    <row r="676">
      <c r="R676">
        <f>IFERROR(XLOOKUP(XLOOKUP(D676,tblReleaseChanges[Change_ID],tblReleaseChanges[Oracle_Severity],""),tblSeverityMap[Severity_Text],tblSeverityMap[Score],0),0)</f>
        <v/>
      </c>
      <c r="T676">
        <f>ROUND((M676*0.25)+(N676*0.20)+(O676*0.15)+(P676*0.15)+(Q676*0.10)+(R676*0.10)+(S676*0.05),2)</f>
        <v/>
      </c>
      <c r="U676">
        <f>IF(T676&gt;=4.25,"Critical",IF(T676&gt;=3.5,"High",IF(T676&gt;=2,"Medium","Low")))</f>
        <v/>
      </c>
    </row>
    <row r="677">
      <c r="R677">
        <f>IFERROR(XLOOKUP(XLOOKUP(D677,tblReleaseChanges[Change_ID],tblReleaseChanges[Oracle_Severity],""),tblSeverityMap[Severity_Text],tblSeverityMap[Score],0),0)</f>
        <v/>
      </c>
      <c r="T677">
        <f>ROUND((M677*0.25)+(N677*0.20)+(O677*0.15)+(P677*0.15)+(Q677*0.10)+(R677*0.10)+(S677*0.05),2)</f>
        <v/>
      </c>
      <c r="U677">
        <f>IF(T677&gt;=4.25,"Critical",IF(T677&gt;=3.5,"High",IF(T677&gt;=2,"Medium","Low")))</f>
        <v/>
      </c>
    </row>
    <row r="678">
      <c r="R678">
        <f>IFERROR(XLOOKUP(XLOOKUP(D678,tblReleaseChanges[Change_ID],tblReleaseChanges[Oracle_Severity],""),tblSeverityMap[Severity_Text],tblSeverityMap[Score],0),0)</f>
        <v/>
      </c>
      <c r="T678">
        <f>ROUND((M678*0.25)+(N678*0.20)+(O678*0.15)+(P678*0.15)+(Q678*0.10)+(R678*0.10)+(S678*0.05),2)</f>
        <v/>
      </c>
      <c r="U678">
        <f>IF(T678&gt;=4.25,"Critical",IF(T678&gt;=3.5,"High",IF(T678&gt;=2,"Medium","Low")))</f>
        <v/>
      </c>
    </row>
    <row r="679">
      <c r="R679">
        <f>IFERROR(XLOOKUP(XLOOKUP(D679,tblReleaseChanges[Change_ID],tblReleaseChanges[Oracle_Severity],""),tblSeverityMap[Severity_Text],tblSeverityMap[Score],0),0)</f>
        <v/>
      </c>
      <c r="T679">
        <f>ROUND((M679*0.25)+(N679*0.20)+(O679*0.15)+(P679*0.15)+(Q679*0.10)+(R679*0.10)+(S679*0.05),2)</f>
        <v/>
      </c>
      <c r="U679">
        <f>IF(T679&gt;=4.25,"Critical",IF(T679&gt;=3.5,"High",IF(T679&gt;=2,"Medium","Low")))</f>
        <v/>
      </c>
    </row>
    <row r="680">
      <c r="R680">
        <f>IFERROR(XLOOKUP(XLOOKUP(D680,tblReleaseChanges[Change_ID],tblReleaseChanges[Oracle_Severity],""),tblSeverityMap[Severity_Text],tblSeverityMap[Score],0),0)</f>
        <v/>
      </c>
      <c r="T680">
        <f>ROUND((M680*0.25)+(N680*0.20)+(O680*0.15)+(P680*0.15)+(Q680*0.10)+(R680*0.10)+(S680*0.05),2)</f>
        <v/>
      </c>
      <c r="U680">
        <f>IF(T680&gt;=4.25,"Critical",IF(T680&gt;=3.5,"High",IF(T680&gt;=2,"Medium","Low")))</f>
        <v/>
      </c>
    </row>
    <row r="681">
      <c r="R681">
        <f>IFERROR(XLOOKUP(XLOOKUP(D681,tblReleaseChanges[Change_ID],tblReleaseChanges[Oracle_Severity],""),tblSeverityMap[Severity_Text],tblSeverityMap[Score],0),0)</f>
        <v/>
      </c>
      <c r="T681">
        <f>ROUND((M681*0.25)+(N681*0.20)+(O681*0.15)+(P681*0.15)+(Q681*0.10)+(R681*0.10)+(S681*0.05),2)</f>
        <v/>
      </c>
      <c r="U681">
        <f>IF(T681&gt;=4.25,"Critical",IF(T681&gt;=3.5,"High",IF(T681&gt;=2,"Medium","Low")))</f>
        <v/>
      </c>
    </row>
    <row r="682">
      <c r="R682">
        <f>IFERROR(XLOOKUP(XLOOKUP(D682,tblReleaseChanges[Change_ID],tblReleaseChanges[Oracle_Severity],""),tblSeverityMap[Severity_Text],tblSeverityMap[Score],0),0)</f>
        <v/>
      </c>
      <c r="T682">
        <f>ROUND((M682*0.25)+(N682*0.20)+(O682*0.15)+(P682*0.15)+(Q682*0.10)+(R682*0.10)+(S682*0.05),2)</f>
        <v/>
      </c>
      <c r="U682">
        <f>IF(T682&gt;=4.25,"Critical",IF(T682&gt;=3.5,"High",IF(T682&gt;=2,"Medium","Low")))</f>
        <v/>
      </c>
    </row>
    <row r="683">
      <c r="R683">
        <f>IFERROR(XLOOKUP(XLOOKUP(D683,tblReleaseChanges[Change_ID],tblReleaseChanges[Oracle_Severity],""),tblSeverityMap[Severity_Text],tblSeverityMap[Score],0),0)</f>
        <v/>
      </c>
      <c r="T683">
        <f>ROUND((M683*0.25)+(N683*0.20)+(O683*0.15)+(P683*0.15)+(Q683*0.10)+(R683*0.10)+(S683*0.05),2)</f>
        <v/>
      </c>
      <c r="U683">
        <f>IF(T683&gt;=4.25,"Critical",IF(T683&gt;=3.5,"High",IF(T683&gt;=2,"Medium","Low")))</f>
        <v/>
      </c>
    </row>
    <row r="684">
      <c r="R684">
        <f>IFERROR(XLOOKUP(XLOOKUP(D684,tblReleaseChanges[Change_ID],tblReleaseChanges[Oracle_Severity],""),tblSeverityMap[Severity_Text],tblSeverityMap[Score],0),0)</f>
        <v/>
      </c>
      <c r="T684">
        <f>ROUND((M684*0.25)+(N684*0.20)+(O684*0.15)+(P684*0.15)+(Q684*0.10)+(R684*0.10)+(S684*0.05),2)</f>
        <v/>
      </c>
      <c r="U684">
        <f>IF(T684&gt;=4.25,"Critical",IF(T684&gt;=3.5,"High",IF(T684&gt;=2,"Medium","Low")))</f>
        <v/>
      </c>
    </row>
    <row r="685">
      <c r="R685">
        <f>IFERROR(XLOOKUP(XLOOKUP(D685,tblReleaseChanges[Change_ID],tblReleaseChanges[Oracle_Severity],""),tblSeverityMap[Severity_Text],tblSeverityMap[Score],0),0)</f>
        <v/>
      </c>
      <c r="T685">
        <f>ROUND((M685*0.25)+(N685*0.20)+(O685*0.15)+(P685*0.15)+(Q685*0.10)+(R685*0.10)+(S685*0.05),2)</f>
        <v/>
      </c>
      <c r="U685">
        <f>IF(T685&gt;=4.25,"Critical",IF(T685&gt;=3.5,"High",IF(T685&gt;=2,"Medium","Low")))</f>
        <v/>
      </c>
    </row>
    <row r="686">
      <c r="R686">
        <f>IFERROR(XLOOKUP(XLOOKUP(D686,tblReleaseChanges[Change_ID],tblReleaseChanges[Oracle_Severity],""),tblSeverityMap[Severity_Text],tblSeverityMap[Score],0),0)</f>
        <v/>
      </c>
      <c r="T686">
        <f>ROUND((M686*0.25)+(N686*0.20)+(O686*0.15)+(P686*0.15)+(Q686*0.10)+(R686*0.10)+(S686*0.05),2)</f>
        <v/>
      </c>
      <c r="U686">
        <f>IF(T686&gt;=4.25,"Critical",IF(T686&gt;=3.5,"High",IF(T686&gt;=2,"Medium","Low")))</f>
        <v/>
      </c>
    </row>
    <row r="687">
      <c r="R687">
        <f>IFERROR(XLOOKUP(XLOOKUP(D687,tblReleaseChanges[Change_ID],tblReleaseChanges[Oracle_Severity],""),tblSeverityMap[Severity_Text],tblSeverityMap[Score],0),0)</f>
        <v/>
      </c>
      <c r="T687">
        <f>ROUND((M687*0.25)+(N687*0.20)+(O687*0.15)+(P687*0.15)+(Q687*0.10)+(R687*0.10)+(S687*0.05),2)</f>
        <v/>
      </c>
      <c r="U687">
        <f>IF(T687&gt;=4.25,"Critical",IF(T687&gt;=3.5,"High",IF(T687&gt;=2,"Medium","Low")))</f>
        <v/>
      </c>
    </row>
    <row r="688">
      <c r="R688">
        <f>IFERROR(XLOOKUP(XLOOKUP(D688,tblReleaseChanges[Change_ID],tblReleaseChanges[Oracle_Severity],""),tblSeverityMap[Severity_Text],tblSeverityMap[Score],0),0)</f>
        <v/>
      </c>
      <c r="T688">
        <f>ROUND((M688*0.25)+(N688*0.20)+(O688*0.15)+(P688*0.15)+(Q688*0.10)+(R688*0.10)+(S688*0.05),2)</f>
        <v/>
      </c>
      <c r="U688">
        <f>IF(T688&gt;=4.25,"Critical",IF(T688&gt;=3.5,"High",IF(T688&gt;=2,"Medium","Low")))</f>
        <v/>
      </c>
    </row>
    <row r="689">
      <c r="R689">
        <f>IFERROR(XLOOKUP(XLOOKUP(D689,tblReleaseChanges[Change_ID],tblReleaseChanges[Oracle_Severity],""),tblSeverityMap[Severity_Text],tblSeverityMap[Score],0),0)</f>
        <v/>
      </c>
      <c r="T689">
        <f>ROUND((M689*0.25)+(N689*0.20)+(O689*0.15)+(P689*0.15)+(Q689*0.10)+(R689*0.10)+(S689*0.05),2)</f>
        <v/>
      </c>
      <c r="U689">
        <f>IF(T689&gt;=4.25,"Critical",IF(T689&gt;=3.5,"High",IF(T689&gt;=2,"Medium","Low")))</f>
        <v/>
      </c>
    </row>
    <row r="690">
      <c r="R690">
        <f>IFERROR(XLOOKUP(XLOOKUP(D690,tblReleaseChanges[Change_ID],tblReleaseChanges[Oracle_Severity],""),tblSeverityMap[Severity_Text],tblSeverityMap[Score],0),0)</f>
        <v/>
      </c>
      <c r="T690">
        <f>ROUND((M690*0.25)+(N690*0.20)+(O690*0.15)+(P690*0.15)+(Q690*0.10)+(R690*0.10)+(S690*0.05),2)</f>
        <v/>
      </c>
      <c r="U690">
        <f>IF(T690&gt;=4.25,"Critical",IF(T690&gt;=3.5,"High",IF(T690&gt;=2,"Medium","Low")))</f>
        <v/>
      </c>
    </row>
    <row r="691">
      <c r="R691">
        <f>IFERROR(XLOOKUP(XLOOKUP(D691,tblReleaseChanges[Change_ID],tblReleaseChanges[Oracle_Severity],""),tblSeverityMap[Severity_Text],tblSeverityMap[Score],0),0)</f>
        <v/>
      </c>
      <c r="T691">
        <f>ROUND((M691*0.25)+(N691*0.20)+(O691*0.15)+(P691*0.15)+(Q691*0.10)+(R691*0.10)+(S691*0.05),2)</f>
        <v/>
      </c>
      <c r="U691">
        <f>IF(T691&gt;=4.25,"Critical",IF(T691&gt;=3.5,"High",IF(T691&gt;=2,"Medium","Low")))</f>
        <v/>
      </c>
    </row>
    <row r="692">
      <c r="R692">
        <f>IFERROR(XLOOKUP(XLOOKUP(D692,tblReleaseChanges[Change_ID],tblReleaseChanges[Oracle_Severity],""),tblSeverityMap[Severity_Text],tblSeverityMap[Score],0),0)</f>
        <v/>
      </c>
      <c r="T692">
        <f>ROUND((M692*0.25)+(N692*0.20)+(O692*0.15)+(P692*0.15)+(Q692*0.10)+(R692*0.10)+(S692*0.05),2)</f>
        <v/>
      </c>
      <c r="U692">
        <f>IF(T692&gt;=4.25,"Critical",IF(T692&gt;=3.5,"High",IF(T692&gt;=2,"Medium","Low")))</f>
        <v/>
      </c>
    </row>
    <row r="693">
      <c r="R693">
        <f>IFERROR(XLOOKUP(XLOOKUP(D693,tblReleaseChanges[Change_ID],tblReleaseChanges[Oracle_Severity],""),tblSeverityMap[Severity_Text],tblSeverityMap[Score],0),0)</f>
        <v/>
      </c>
      <c r="T693">
        <f>ROUND((M693*0.25)+(N693*0.20)+(O693*0.15)+(P693*0.15)+(Q693*0.10)+(R693*0.10)+(S693*0.05),2)</f>
        <v/>
      </c>
      <c r="U693">
        <f>IF(T693&gt;=4.25,"Critical",IF(T693&gt;=3.5,"High",IF(T693&gt;=2,"Medium","Low")))</f>
        <v/>
      </c>
    </row>
    <row r="694">
      <c r="R694">
        <f>IFERROR(XLOOKUP(XLOOKUP(D694,tblReleaseChanges[Change_ID],tblReleaseChanges[Oracle_Severity],""),tblSeverityMap[Severity_Text],tblSeverityMap[Score],0),0)</f>
        <v/>
      </c>
      <c r="T694">
        <f>ROUND((M694*0.25)+(N694*0.20)+(O694*0.15)+(P694*0.15)+(Q694*0.10)+(R694*0.10)+(S694*0.05),2)</f>
        <v/>
      </c>
      <c r="U694">
        <f>IF(T694&gt;=4.25,"Critical",IF(T694&gt;=3.5,"High",IF(T694&gt;=2,"Medium","Low")))</f>
        <v/>
      </c>
    </row>
    <row r="695">
      <c r="R695">
        <f>IFERROR(XLOOKUP(XLOOKUP(D695,tblReleaseChanges[Change_ID],tblReleaseChanges[Oracle_Severity],""),tblSeverityMap[Severity_Text],tblSeverityMap[Score],0),0)</f>
        <v/>
      </c>
      <c r="T695">
        <f>ROUND((M695*0.25)+(N695*0.20)+(O695*0.15)+(P695*0.15)+(Q695*0.10)+(R695*0.10)+(S695*0.05),2)</f>
        <v/>
      </c>
      <c r="U695">
        <f>IF(T695&gt;=4.25,"Critical",IF(T695&gt;=3.5,"High",IF(T695&gt;=2,"Medium","Low")))</f>
        <v/>
      </c>
    </row>
    <row r="696">
      <c r="R696">
        <f>IFERROR(XLOOKUP(XLOOKUP(D696,tblReleaseChanges[Change_ID],tblReleaseChanges[Oracle_Severity],""),tblSeverityMap[Severity_Text],tblSeverityMap[Score],0),0)</f>
        <v/>
      </c>
      <c r="T696">
        <f>ROUND((M696*0.25)+(N696*0.20)+(O696*0.15)+(P696*0.15)+(Q696*0.10)+(R696*0.10)+(S696*0.05),2)</f>
        <v/>
      </c>
      <c r="U696">
        <f>IF(T696&gt;=4.25,"Critical",IF(T696&gt;=3.5,"High",IF(T696&gt;=2,"Medium","Low")))</f>
        <v/>
      </c>
    </row>
    <row r="697">
      <c r="R697">
        <f>IFERROR(XLOOKUP(XLOOKUP(D697,tblReleaseChanges[Change_ID],tblReleaseChanges[Oracle_Severity],""),tblSeverityMap[Severity_Text],tblSeverityMap[Score],0),0)</f>
        <v/>
      </c>
      <c r="T697">
        <f>ROUND((M697*0.25)+(N697*0.20)+(O697*0.15)+(P697*0.15)+(Q697*0.10)+(R697*0.10)+(S697*0.05),2)</f>
        <v/>
      </c>
      <c r="U697">
        <f>IF(T697&gt;=4.25,"Critical",IF(T697&gt;=3.5,"High",IF(T697&gt;=2,"Medium","Low")))</f>
        <v/>
      </c>
    </row>
    <row r="698">
      <c r="R698">
        <f>IFERROR(XLOOKUP(XLOOKUP(D698,tblReleaseChanges[Change_ID],tblReleaseChanges[Oracle_Severity],""),tblSeverityMap[Severity_Text],tblSeverityMap[Score],0),0)</f>
        <v/>
      </c>
      <c r="T698">
        <f>ROUND((M698*0.25)+(N698*0.20)+(O698*0.15)+(P698*0.15)+(Q698*0.10)+(R698*0.10)+(S698*0.05),2)</f>
        <v/>
      </c>
      <c r="U698">
        <f>IF(T698&gt;=4.25,"Critical",IF(T698&gt;=3.5,"High",IF(T698&gt;=2,"Medium","Low")))</f>
        <v/>
      </c>
    </row>
    <row r="699">
      <c r="R699">
        <f>IFERROR(XLOOKUP(XLOOKUP(D699,tblReleaseChanges[Change_ID],tblReleaseChanges[Oracle_Severity],""),tblSeverityMap[Severity_Text],tblSeverityMap[Score],0),0)</f>
        <v/>
      </c>
      <c r="T699">
        <f>ROUND((M699*0.25)+(N699*0.20)+(O699*0.15)+(P699*0.15)+(Q699*0.10)+(R699*0.10)+(S699*0.05),2)</f>
        <v/>
      </c>
      <c r="U699">
        <f>IF(T699&gt;=4.25,"Critical",IF(T699&gt;=3.5,"High",IF(T699&gt;=2,"Medium","Low")))</f>
        <v/>
      </c>
    </row>
    <row r="700">
      <c r="R700">
        <f>IFERROR(XLOOKUP(XLOOKUP(D700,tblReleaseChanges[Change_ID],tblReleaseChanges[Oracle_Severity],""),tblSeverityMap[Severity_Text],tblSeverityMap[Score],0),0)</f>
        <v/>
      </c>
      <c r="T700">
        <f>ROUND((M700*0.25)+(N700*0.20)+(O700*0.15)+(P700*0.15)+(Q700*0.10)+(R700*0.10)+(S700*0.05),2)</f>
        <v/>
      </c>
      <c r="U700">
        <f>IF(T700&gt;=4.25,"Critical",IF(T700&gt;=3.5,"High",IF(T700&gt;=2,"Medium","Low")))</f>
        <v/>
      </c>
    </row>
    <row r="701">
      <c r="R701">
        <f>IFERROR(XLOOKUP(XLOOKUP(D701,tblReleaseChanges[Change_ID],tblReleaseChanges[Oracle_Severity],""),tblSeverityMap[Severity_Text],tblSeverityMap[Score],0),0)</f>
        <v/>
      </c>
      <c r="T701">
        <f>ROUND((M701*0.25)+(N701*0.20)+(O701*0.15)+(P701*0.15)+(Q701*0.10)+(R701*0.10)+(S701*0.05),2)</f>
        <v/>
      </c>
      <c r="U701">
        <f>IF(T701&gt;=4.25,"Critical",IF(T701&gt;=3.5,"High",IF(T701&gt;=2,"Medium","Low")))</f>
        <v/>
      </c>
    </row>
    <row r="702">
      <c r="R702">
        <f>IFERROR(XLOOKUP(XLOOKUP(D702,tblReleaseChanges[Change_ID],tblReleaseChanges[Oracle_Severity],""),tblSeverityMap[Severity_Text],tblSeverityMap[Score],0),0)</f>
        <v/>
      </c>
      <c r="T702">
        <f>ROUND((M702*0.25)+(N702*0.20)+(O702*0.15)+(P702*0.15)+(Q702*0.10)+(R702*0.10)+(S702*0.05),2)</f>
        <v/>
      </c>
      <c r="U702">
        <f>IF(T702&gt;=4.25,"Critical",IF(T702&gt;=3.5,"High",IF(T702&gt;=2,"Medium","Low")))</f>
        <v/>
      </c>
    </row>
    <row r="703">
      <c r="R703">
        <f>IFERROR(XLOOKUP(XLOOKUP(D703,tblReleaseChanges[Change_ID],tblReleaseChanges[Oracle_Severity],""),tblSeverityMap[Severity_Text],tblSeverityMap[Score],0),0)</f>
        <v/>
      </c>
      <c r="T703">
        <f>ROUND((M703*0.25)+(N703*0.20)+(O703*0.15)+(P703*0.15)+(Q703*0.10)+(R703*0.10)+(S703*0.05),2)</f>
        <v/>
      </c>
      <c r="U703">
        <f>IF(T703&gt;=4.25,"Critical",IF(T703&gt;=3.5,"High",IF(T703&gt;=2,"Medium","Low")))</f>
        <v/>
      </c>
    </row>
    <row r="704">
      <c r="R704">
        <f>IFERROR(XLOOKUP(XLOOKUP(D704,tblReleaseChanges[Change_ID],tblReleaseChanges[Oracle_Severity],""),tblSeverityMap[Severity_Text],tblSeverityMap[Score],0),0)</f>
        <v/>
      </c>
      <c r="T704">
        <f>ROUND((M704*0.25)+(N704*0.20)+(O704*0.15)+(P704*0.15)+(Q704*0.10)+(R704*0.10)+(S704*0.05),2)</f>
        <v/>
      </c>
      <c r="U704">
        <f>IF(T704&gt;=4.25,"Critical",IF(T704&gt;=3.5,"High",IF(T704&gt;=2,"Medium","Low")))</f>
        <v/>
      </c>
    </row>
    <row r="705">
      <c r="R705">
        <f>IFERROR(XLOOKUP(XLOOKUP(D705,tblReleaseChanges[Change_ID],tblReleaseChanges[Oracle_Severity],""),tblSeverityMap[Severity_Text],tblSeverityMap[Score],0),0)</f>
        <v/>
      </c>
      <c r="T705">
        <f>ROUND((M705*0.25)+(N705*0.20)+(O705*0.15)+(P705*0.15)+(Q705*0.10)+(R705*0.10)+(S705*0.05),2)</f>
        <v/>
      </c>
      <c r="U705">
        <f>IF(T705&gt;=4.25,"Critical",IF(T705&gt;=3.5,"High",IF(T705&gt;=2,"Medium","Low")))</f>
        <v/>
      </c>
    </row>
    <row r="706">
      <c r="R706">
        <f>IFERROR(XLOOKUP(XLOOKUP(D706,tblReleaseChanges[Change_ID],tblReleaseChanges[Oracle_Severity],""),tblSeverityMap[Severity_Text],tblSeverityMap[Score],0),0)</f>
        <v/>
      </c>
      <c r="T706">
        <f>ROUND((M706*0.25)+(N706*0.20)+(O706*0.15)+(P706*0.15)+(Q706*0.10)+(R706*0.10)+(S706*0.05),2)</f>
        <v/>
      </c>
      <c r="U706">
        <f>IF(T706&gt;=4.25,"Critical",IF(T706&gt;=3.5,"High",IF(T706&gt;=2,"Medium","Low")))</f>
        <v/>
      </c>
    </row>
    <row r="707">
      <c r="R707">
        <f>IFERROR(XLOOKUP(XLOOKUP(D707,tblReleaseChanges[Change_ID],tblReleaseChanges[Oracle_Severity],""),tblSeverityMap[Severity_Text],tblSeverityMap[Score],0),0)</f>
        <v/>
      </c>
      <c r="T707">
        <f>ROUND((M707*0.25)+(N707*0.20)+(O707*0.15)+(P707*0.15)+(Q707*0.10)+(R707*0.10)+(S707*0.05),2)</f>
        <v/>
      </c>
      <c r="U707">
        <f>IF(T707&gt;=4.25,"Critical",IF(T707&gt;=3.5,"High",IF(T707&gt;=2,"Medium","Low")))</f>
        <v/>
      </c>
    </row>
    <row r="708">
      <c r="R708">
        <f>IFERROR(XLOOKUP(XLOOKUP(D708,tblReleaseChanges[Change_ID],tblReleaseChanges[Oracle_Severity],""),tblSeverityMap[Severity_Text],tblSeverityMap[Score],0),0)</f>
        <v/>
      </c>
      <c r="T708">
        <f>ROUND((M708*0.25)+(N708*0.20)+(O708*0.15)+(P708*0.15)+(Q708*0.10)+(R708*0.10)+(S708*0.05),2)</f>
        <v/>
      </c>
      <c r="U708">
        <f>IF(T708&gt;=4.25,"Critical",IF(T708&gt;=3.5,"High",IF(T708&gt;=2,"Medium","Low")))</f>
        <v/>
      </c>
    </row>
    <row r="709">
      <c r="R709">
        <f>IFERROR(XLOOKUP(XLOOKUP(D709,tblReleaseChanges[Change_ID],tblReleaseChanges[Oracle_Severity],""),tblSeverityMap[Severity_Text],tblSeverityMap[Score],0),0)</f>
        <v/>
      </c>
      <c r="T709">
        <f>ROUND((M709*0.25)+(N709*0.20)+(O709*0.15)+(P709*0.15)+(Q709*0.10)+(R709*0.10)+(S709*0.05),2)</f>
        <v/>
      </c>
      <c r="U709">
        <f>IF(T709&gt;=4.25,"Critical",IF(T709&gt;=3.5,"High",IF(T709&gt;=2,"Medium","Low")))</f>
        <v/>
      </c>
    </row>
    <row r="710">
      <c r="R710">
        <f>IFERROR(XLOOKUP(XLOOKUP(D710,tblReleaseChanges[Change_ID],tblReleaseChanges[Oracle_Severity],""),tblSeverityMap[Severity_Text],tblSeverityMap[Score],0),0)</f>
        <v/>
      </c>
      <c r="T710">
        <f>ROUND((M710*0.25)+(N710*0.20)+(O710*0.15)+(P710*0.15)+(Q710*0.10)+(R710*0.10)+(S710*0.05),2)</f>
        <v/>
      </c>
      <c r="U710">
        <f>IF(T710&gt;=4.25,"Critical",IF(T710&gt;=3.5,"High",IF(T710&gt;=2,"Medium","Low")))</f>
        <v/>
      </c>
    </row>
    <row r="711">
      <c r="R711">
        <f>IFERROR(XLOOKUP(XLOOKUP(D711,tblReleaseChanges[Change_ID],tblReleaseChanges[Oracle_Severity],""),tblSeverityMap[Severity_Text],tblSeverityMap[Score],0),0)</f>
        <v/>
      </c>
      <c r="T711">
        <f>ROUND((M711*0.25)+(N711*0.20)+(O711*0.15)+(P711*0.15)+(Q711*0.10)+(R711*0.10)+(S711*0.05),2)</f>
        <v/>
      </c>
      <c r="U711">
        <f>IF(T711&gt;=4.25,"Critical",IF(T711&gt;=3.5,"High",IF(T711&gt;=2,"Medium","Low")))</f>
        <v/>
      </c>
    </row>
    <row r="712">
      <c r="R712">
        <f>IFERROR(XLOOKUP(XLOOKUP(D712,tblReleaseChanges[Change_ID],tblReleaseChanges[Oracle_Severity],""),tblSeverityMap[Severity_Text],tblSeverityMap[Score],0),0)</f>
        <v/>
      </c>
      <c r="T712">
        <f>ROUND((M712*0.25)+(N712*0.20)+(O712*0.15)+(P712*0.15)+(Q712*0.10)+(R712*0.10)+(S712*0.05),2)</f>
        <v/>
      </c>
      <c r="U712">
        <f>IF(T712&gt;=4.25,"Critical",IF(T712&gt;=3.5,"High",IF(T712&gt;=2,"Medium","Low")))</f>
        <v/>
      </c>
    </row>
    <row r="713">
      <c r="R713">
        <f>IFERROR(XLOOKUP(XLOOKUP(D713,tblReleaseChanges[Change_ID],tblReleaseChanges[Oracle_Severity],""),tblSeverityMap[Severity_Text],tblSeverityMap[Score],0),0)</f>
        <v/>
      </c>
      <c r="T713">
        <f>ROUND((M713*0.25)+(N713*0.20)+(O713*0.15)+(P713*0.15)+(Q713*0.10)+(R713*0.10)+(S713*0.05),2)</f>
        <v/>
      </c>
      <c r="U713">
        <f>IF(T713&gt;=4.25,"Critical",IF(T713&gt;=3.5,"High",IF(T713&gt;=2,"Medium","Low")))</f>
        <v/>
      </c>
    </row>
    <row r="714">
      <c r="R714">
        <f>IFERROR(XLOOKUP(XLOOKUP(D714,tblReleaseChanges[Change_ID],tblReleaseChanges[Oracle_Severity],""),tblSeverityMap[Severity_Text],tblSeverityMap[Score],0),0)</f>
        <v/>
      </c>
      <c r="T714">
        <f>ROUND((M714*0.25)+(N714*0.20)+(O714*0.15)+(P714*0.15)+(Q714*0.10)+(R714*0.10)+(S714*0.05),2)</f>
        <v/>
      </c>
      <c r="U714">
        <f>IF(T714&gt;=4.25,"Critical",IF(T714&gt;=3.5,"High",IF(T714&gt;=2,"Medium","Low")))</f>
        <v/>
      </c>
    </row>
    <row r="715">
      <c r="R715">
        <f>IFERROR(XLOOKUP(XLOOKUP(D715,tblReleaseChanges[Change_ID],tblReleaseChanges[Oracle_Severity],""),tblSeverityMap[Severity_Text],tblSeverityMap[Score],0),0)</f>
        <v/>
      </c>
      <c r="T715">
        <f>ROUND((M715*0.25)+(N715*0.20)+(O715*0.15)+(P715*0.15)+(Q715*0.10)+(R715*0.10)+(S715*0.05),2)</f>
        <v/>
      </c>
      <c r="U715">
        <f>IF(T715&gt;=4.25,"Critical",IF(T715&gt;=3.5,"High",IF(T715&gt;=2,"Medium","Low")))</f>
        <v/>
      </c>
    </row>
    <row r="716">
      <c r="R716">
        <f>IFERROR(XLOOKUP(XLOOKUP(D716,tblReleaseChanges[Change_ID],tblReleaseChanges[Oracle_Severity],""),tblSeverityMap[Severity_Text],tblSeverityMap[Score],0),0)</f>
        <v/>
      </c>
      <c r="T716">
        <f>ROUND((M716*0.25)+(N716*0.20)+(O716*0.15)+(P716*0.15)+(Q716*0.10)+(R716*0.10)+(S716*0.05),2)</f>
        <v/>
      </c>
      <c r="U716">
        <f>IF(T716&gt;=4.25,"Critical",IF(T716&gt;=3.5,"High",IF(T716&gt;=2,"Medium","Low")))</f>
        <v/>
      </c>
    </row>
    <row r="717">
      <c r="R717">
        <f>IFERROR(XLOOKUP(XLOOKUP(D717,tblReleaseChanges[Change_ID],tblReleaseChanges[Oracle_Severity],""),tblSeverityMap[Severity_Text],tblSeverityMap[Score],0),0)</f>
        <v/>
      </c>
      <c r="T717">
        <f>ROUND((M717*0.25)+(N717*0.20)+(O717*0.15)+(P717*0.15)+(Q717*0.10)+(R717*0.10)+(S717*0.05),2)</f>
        <v/>
      </c>
      <c r="U717">
        <f>IF(T717&gt;=4.25,"Critical",IF(T717&gt;=3.5,"High",IF(T717&gt;=2,"Medium","Low")))</f>
        <v/>
      </c>
    </row>
    <row r="718">
      <c r="R718">
        <f>IFERROR(XLOOKUP(XLOOKUP(D718,tblReleaseChanges[Change_ID],tblReleaseChanges[Oracle_Severity],""),tblSeverityMap[Severity_Text],tblSeverityMap[Score],0),0)</f>
        <v/>
      </c>
      <c r="T718">
        <f>ROUND((M718*0.25)+(N718*0.20)+(O718*0.15)+(P718*0.15)+(Q718*0.10)+(R718*0.10)+(S718*0.05),2)</f>
        <v/>
      </c>
      <c r="U718">
        <f>IF(T718&gt;=4.25,"Critical",IF(T718&gt;=3.5,"High",IF(T718&gt;=2,"Medium","Low")))</f>
        <v/>
      </c>
    </row>
    <row r="719">
      <c r="R719">
        <f>IFERROR(XLOOKUP(XLOOKUP(D719,tblReleaseChanges[Change_ID],tblReleaseChanges[Oracle_Severity],""),tblSeverityMap[Severity_Text],tblSeverityMap[Score],0),0)</f>
        <v/>
      </c>
      <c r="T719">
        <f>ROUND((M719*0.25)+(N719*0.20)+(O719*0.15)+(P719*0.15)+(Q719*0.10)+(R719*0.10)+(S719*0.05),2)</f>
        <v/>
      </c>
      <c r="U719">
        <f>IF(T719&gt;=4.25,"Critical",IF(T719&gt;=3.5,"High",IF(T719&gt;=2,"Medium","Low")))</f>
        <v/>
      </c>
    </row>
    <row r="720">
      <c r="R720">
        <f>IFERROR(XLOOKUP(XLOOKUP(D720,tblReleaseChanges[Change_ID],tblReleaseChanges[Oracle_Severity],""),tblSeverityMap[Severity_Text],tblSeverityMap[Score],0),0)</f>
        <v/>
      </c>
      <c r="T720">
        <f>ROUND((M720*0.25)+(N720*0.20)+(O720*0.15)+(P720*0.15)+(Q720*0.10)+(R720*0.10)+(S720*0.05),2)</f>
        <v/>
      </c>
      <c r="U720">
        <f>IF(T720&gt;=4.25,"Critical",IF(T720&gt;=3.5,"High",IF(T720&gt;=2,"Medium","Low")))</f>
        <v/>
      </c>
    </row>
    <row r="721">
      <c r="R721">
        <f>IFERROR(XLOOKUP(XLOOKUP(D721,tblReleaseChanges[Change_ID],tblReleaseChanges[Oracle_Severity],""),tblSeverityMap[Severity_Text],tblSeverityMap[Score],0),0)</f>
        <v/>
      </c>
      <c r="T721">
        <f>ROUND((M721*0.25)+(N721*0.20)+(O721*0.15)+(P721*0.15)+(Q721*0.10)+(R721*0.10)+(S721*0.05),2)</f>
        <v/>
      </c>
      <c r="U721">
        <f>IF(T721&gt;=4.25,"Critical",IF(T721&gt;=3.5,"High",IF(T721&gt;=2,"Medium","Low")))</f>
        <v/>
      </c>
    </row>
    <row r="722">
      <c r="R722">
        <f>IFERROR(XLOOKUP(XLOOKUP(D722,tblReleaseChanges[Change_ID],tblReleaseChanges[Oracle_Severity],""),tblSeverityMap[Severity_Text],tblSeverityMap[Score],0),0)</f>
        <v/>
      </c>
      <c r="T722">
        <f>ROUND((M722*0.25)+(N722*0.20)+(O722*0.15)+(P722*0.15)+(Q722*0.10)+(R722*0.10)+(S722*0.05),2)</f>
        <v/>
      </c>
      <c r="U722">
        <f>IF(T722&gt;=4.25,"Critical",IF(T722&gt;=3.5,"High",IF(T722&gt;=2,"Medium","Low")))</f>
        <v/>
      </c>
    </row>
    <row r="723">
      <c r="R723">
        <f>IFERROR(XLOOKUP(XLOOKUP(D723,tblReleaseChanges[Change_ID],tblReleaseChanges[Oracle_Severity],""),tblSeverityMap[Severity_Text],tblSeverityMap[Score],0),0)</f>
        <v/>
      </c>
      <c r="T723">
        <f>ROUND((M723*0.25)+(N723*0.20)+(O723*0.15)+(P723*0.15)+(Q723*0.10)+(R723*0.10)+(S723*0.05),2)</f>
        <v/>
      </c>
      <c r="U723">
        <f>IF(T723&gt;=4.25,"Critical",IF(T723&gt;=3.5,"High",IF(T723&gt;=2,"Medium","Low")))</f>
        <v/>
      </c>
    </row>
    <row r="724">
      <c r="R724">
        <f>IFERROR(XLOOKUP(XLOOKUP(D724,tblReleaseChanges[Change_ID],tblReleaseChanges[Oracle_Severity],""),tblSeverityMap[Severity_Text],tblSeverityMap[Score],0),0)</f>
        <v/>
      </c>
      <c r="T724">
        <f>ROUND((M724*0.25)+(N724*0.20)+(O724*0.15)+(P724*0.15)+(Q724*0.10)+(R724*0.10)+(S724*0.05),2)</f>
        <v/>
      </c>
      <c r="U724">
        <f>IF(T724&gt;=4.25,"Critical",IF(T724&gt;=3.5,"High",IF(T724&gt;=2,"Medium","Low")))</f>
        <v/>
      </c>
    </row>
    <row r="725">
      <c r="R725">
        <f>IFERROR(XLOOKUP(XLOOKUP(D725,tblReleaseChanges[Change_ID],tblReleaseChanges[Oracle_Severity],""),tblSeverityMap[Severity_Text],tblSeverityMap[Score],0),0)</f>
        <v/>
      </c>
      <c r="T725">
        <f>ROUND((M725*0.25)+(N725*0.20)+(O725*0.15)+(P725*0.15)+(Q725*0.10)+(R725*0.10)+(S725*0.05),2)</f>
        <v/>
      </c>
      <c r="U725">
        <f>IF(T725&gt;=4.25,"Critical",IF(T725&gt;=3.5,"High",IF(T725&gt;=2,"Medium","Low")))</f>
        <v/>
      </c>
    </row>
    <row r="726">
      <c r="R726">
        <f>IFERROR(XLOOKUP(XLOOKUP(D726,tblReleaseChanges[Change_ID],tblReleaseChanges[Oracle_Severity],""),tblSeverityMap[Severity_Text],tblSeverityMap[Score],0),0)</f>
        <v/>
      </c>
      <c r="T726">
        <f>ROUND((M726*0.25)+(N726*0.20)+(O726*0.15)+(P726*0.15)+(Q726*0.10)+(R726*0.10)+(S726*0.05),2)</f>
        <v/>
      </c>
      <c r="U726">
        <f>IF(T726&gt;=4.25,"Critical",IF(T726&gt;=3.5,"High",IF(T726&gt;=2,"Medium","Low")))</f>
        <v/>
      </c>
    </row>
    <row r="727">
      <c r="R727">
        <f>IFERROR(XLOOKUP(XLOOKUP(D727,tblReleaseChanges[Change_ID],tblReleaseChanges[Oracle_Severity],""),tblSeverityMap[Severity_Text],tblSeverityMap[Score],0),0)</f>
        <v/>
      </c>
      <c r="T727">
        <f>ROUND((M727*0.25)+(N727*0.20)+(O727*0.15)+(P727*0.15)+(Q727*0.10)+(R727*0.10)+(S727*0.05),2)</f>
        <v/>
      </c>
      <c r="U727">
        <f>IF(T727&gt;=4.25,"Critical",IF(T727&gt;=3.5,"High",IF(T727&gt;=2,"Medium","Low")))</f>
        <v/>
      </c>
    </row>
    <row r="728">
      <c r="R728">
        <f>IFERROR(XLOOKUP(XLOOKUP(D728,tblReleaseChanges[Change_ID],tblReleaseChanges[Oracle_Severity],""),tblSeverityMap[Severity_Text],tblSeverityMap[Score],0),0)</f>
        <v/>
      </c>
      <c r="T728">
        <f>ROUND((M728*0.25)+(N728*0.20)+(O728*0.15)+(P728*0.15)+(Q728*0.10)+(R728*0.10)+(S728*0.05),2)</f>
        <v/>
      </c>
      <c r="U728">
        <f>IF(T728&gt;=4.25,"Critical",IF(T728&gt;=3.5,"High",IF(T728&gt;=2,"Medium","Low")))</f>
        <v/>
      </c>
    </row>
    <row r="729">
      <c r="R729">
        <f>IFERROR(XLOOKUP(XLOOKUP(D729,tblReleaseChanges[Change_ID],tblReleaseChanges[Oracle_Severity],""),tblSeverityMap[Severity_Text],tblSeverityMap[Score],0),0)</f>
        <v/>
      </c>
      <c r="T729">
        <f>ROUND((M729*0.25)+(N729*0.20)+(O729*0.15)+(P729*0.15)+(Q729*0.10)+(R729*0.10)+(S729*0.05),2)</f>
        <v/>
      </c>
      <c r="U729">
        <f>IF(T729&gt;=4.25,"Critical",IF(T729&gt;=3.5,"High",IF(T729&gt;=2,"Medium","Low")))</f>
        <v/>
      </c>
    </row>
    <row r="730">
      <c r="R730">
        <f>IFERROR(XLOOKUP(XLOOKUP(D730,tblReleaseChanges[Change_ID],tblReleaseChanges[Oracle_Severity],""),tblSeverityMap[Severity_Text],tblSeverityMap[Score],0),0)</f>
        <v/>
      </c>
      <c r="T730">
        <f>ROUND((M730*0.25)+(N730*0.20)+(O730*0.15)+(P730*0.15)+(Q730*0.10)+(R730*0.10)+(S730*0.05),2)</f>
        <v/>
      </c>
      <c r="U730">
        <f>IF(T730&gt;=4.25,"Critical",IF(T730&gt;=3.5,"High",IF(T730&gt;=2,"Medium","Low")))</f>
        <v/>
      </c>
    </row>
    <row r="731">
      <c r="R731">
        <f>IFERROR(XLOOKUP(XLOOKUP(D731,tblReleaseChanges[Change_ID],tblReleaseChanges[Oracle_Severity],""),tblSeverityMap[Severity_Text],tblSeverityMap[Score],0),0)</f>
        <v/>
      </c>
      <c r="T731">
        <f>ROUND((M731*0.25)+(N731*0.20)+(O731*0.15)+(P731*0.15)+(Q731*0.10)+(R731*0.10)+(S731*0.05),2)</f>
        <v/>
      </c>
      <c r="U731">
        <f>IF(T731&gt;=4.25,"Critical",IF(T731&gt;=3.5,"High",IF(T731&gt;=2,"Medium","Low")))</f>
        <v/>
      </c>
    </row>
    <row r="732">
      <c r="R732">
        <f>IFERROR(XLOOKUP(XLOOKUP(D732,tblReleaseChanges[Change_ID],tblReleaseChanges[Oracle_Severity],""),tblSeverityMap[Severity_Text],tblSeverityMap[Score],0),0)</f>
        <v/>
      </c>
      <c r="T732">
        <f>ROUND((M732*0.25)+(N732*0.20)+(O732*0.15)+(P732*0.15)+(Q732*0.10)+(R732*0.10)+(S732*0.05),2)</f>
        <v/>
      </c>
      <c r="U732">
        <f>IF(T732&gt;=4.25,"Critical",IF(T732&gt;=3.5,"High",IF(T732&gt;=2,"Medium","Low")))</f>
        <v/>
      </c>
    </row>
    <row r="733">
      <c r="R733">
        <f>IFERROR(XLOOKUP(XLOOKUP(D733,tblReleaseChanges[Change_ID],tblReleaseChanges[Oracle_Severity],""),tblSeverityMap[Severity_Text],tblSeverityMap[Score],0),0)</f>
        <v/>
      </c>
      <c r="T733">
        <f>ROUND((M733*0.25)+(N733*0.20)+(O733*0.15)+(P733*0.15)+(Q733*0.10)+(R733*0.10)+(S733*0.05),2)</f>
        <v/>
      </c>
      <c r="U733">
        <f>IF(T733&gt;=4.25,"Critical",IF(T733&gt;=3.5,"High",IF(T733&gt;=2,"Medium","Low")))</f>
        <v/>
      </c>
    </row>
    <row r="734">
      <c r="R734">
        <f>IFERROR(XLOOKUP(XLOOKUP(D734,tblReleaseChanges[Change_ID],tblReleaseChanges[Oracle_Severity],""),tblSeverityMap[Severity_Text],tblSeverityMap[Score],0),0)</f>
        <v/>
      </c>
      <c r="T734">
        <f>ROUND((M734*0.25)+(N734*0.20)+(O734*0.15)+(P734*0.15)+(Q734*0.10)+(R734*0.10)+(S734*0.05),2)</f>
        <v/>
      </c>
      <c r="U734">
        <f>IF(T734&gt;=4.25,"Critical",IF(T734&gt;=3.5,"High",IF(T734&gt;=2,"Medium","Low")))</f>
        <v/>
      </c>
    </row>
    <row r="735">
      <c r="R735">
        <f>IFERROR(XLOOKUP(XLOOKUP(D735,tblReleaseChanges[Change_ID],tblReleaseChanges[Oracle_Severity],""),tblSeverityMap[Severity_Text],tblSeverityMap[Score],0),0)</f>
        <v/>
      </c>
      <c r="T735">
        <f>ROUND((M735*0.25)+(N735*0.20)+(O735*0.15)+(P735*0.15)+(Q735*0.10)+(R735*0.10)+(S735*0.05),2)</f>
        <v/>
      </c>
      <c r="U735">
        <f>IF(T735&gt;=4.25,"Critical",IF(T735&gt;=3.5,"High",IF(T735&gt;=2,"Medium","Low")))</f>
        <v/>
      </c>
    </row>
    <row r="736">
      <c r="R736">
        <f>IFERROR(XLOOKUP(XLOOKUP(D736,tblReleaseChanges[Change_ID],tblReleaseChanges[Oracle_Severity],""),tblSeverityMap[Severity_Text],tblSeverityMap[Score],0),0)</f>
        <v/>
      </c>
      <c r="T736">
        <f>ROUND((M736*0.25)+(N736*0.20)+(O736*0.15)+(P736*0.15)+(Q736*0.10)+(R736*0.10)+(S736*0.05),2)</f>
        <v/>
      </c>
      <c r="U736">
        <f>IF(T736&gt;=4.25,"Critical",IF(T736&gt;=3.5,"High",IF(T736&gt;=2,"Medium","Low")))</f>
        <v/>
      </c>
    </row>
    <row r="737">
      <c r="R737">
        <f>IFERROR(XLOOKUP(XLOOKUP(D737,tblReleaseChanges[Change_ID],tblReleaseChanges[Oracle_Severity],""),tblSeverityMap[Severity_Text],tblSeverityMap[Score],0),0)</f>
        <v/>
      </c>
      <c r="T737">
        <f>ROUND((M737*0.25)+(N737*0.20)+(O737*0.15)+(P737*0.15)+(Q737*0.10)+(R737*0.10)+(S737*0.05),2)</f>
        <v/>
      </c>
      <c r="U737">
        <f>IF(T737&gt;=4.25,"Critical",IF(T737&gt;=3.5,"High",IF(T737&gt;=2,"Medium","Low")))</f>
        <v/>
      </c>
    </row>
    <row r="738">
      <c r="R738">
        <f>IFERROR(XLOOKUP(XLOOKUP(D738,tblReleaseChanges[Change_ID],tblReleaseChanges[Oracle_Severity],""),tblSeverityMap[Severity_Text],tblSeverityMap[Score],0),0)</f>
        <v/>
      </c>
      <c r="T738">
        <f>ROUND((M738*0.25)+(N738*0.20)+(O738*0.15)+(P738*0.15)+(Q738*0.10)+(R738*0.10)+(S738*0.05),2)</f>
        <v/>
      </c>
      <c r="U738">
        <f>IF(T738&gt;=4.25,"Critical",IF(T738&gt;=3.5,"High",IF(T738&gt;=2,"Medium","Low")))</f>
        <v/>
      </c>
    </row>
    <row r="739">
      <c r="R739">
        <f>IFERROR(XLOOKUP(XLOOKUP(D739,tblReleaseChanges[Change_ID],tblReleaseChanges[Oracle_Severity],""),tblSeverityMap[Severity_Text],tblSeverityMap[Score],0),0)</f>
        <v/>
      </c>
      <c r="T739">
        <f>ROUND((M739*0.25)+(N739*0.20)+(O739*0.15)+(P739*0.15)+(Q739*0.10)+(R739*0.10)+(S739*0.05),2)</f>
        <v/>
      </c>
      <c r="U739">
        <f>IF(T739&gt;=4.25,"Critical",IF(T739&gt;=3.5,"High",IF(T739&gt;=2,"Medium","Low")))</f>
        <v/>
      </c>
    </row>
    <row r="740">
      <c r="R740">
        <f>IFERROR(XLOOKUP(XLOOKUP(D740,tblReleaseChanges[Change_ID],tblReleaseChanges[Oracle_Severity],""),tblSeverityMap[Severity_Text],tblSeverityMap[Score],0),0)</f>
        <v/>
      </c>
      <c r="T740">
        <f>ROUND((M740*0.25)+(N740*0.20)+(O740*0.15)+(P740*0.15)+(Q740*0.10)+(R740*0.10)+(S740*0.05),2)</f>
        <v/>
      </c>
      <c r="U740">
        <f>IF(T740&gt;=4.25,"Critical",IF(T740&gt;=3.5,"High",IF(T740&gt;=2,"Medium","Low")))</f>
        <v/>
      </c>
    </row>
    <row r="741">
      <c r="R741">
        <f>IFERROR(XLOOKUP(XLOOKUP(D741,tblReleaseChanges[Change_ID],tblReleaseChanges[Oracle_Severity],""),tblSeverityMap[Severity_Text],tblSeverityMap[Score],0),0)</f>
        <v/>
      </c>
      <c r="T741">
        <f>ROUND((M741*0.25)+(N741*0.20)+(O741*0.15)+(P741*0.15)+(Q741*0.10)+(R741*0.10)+(S741*0.05),2)</f>
        <v/>
      </c>
      <c r="U741">
        <f>IF(T741&gt;=4.25,"Critical",IF(T741&gt;=3.5,"High",IF(T741&gt;=2,"Medium","Low")))</f>
        <v/>
      </c>
    </row>
    <row r="742">
      <c r="R742">
        <f>IFERROR(XLOOKUP(XLOOKUP(D742,tblReleaseChanges[Change_ID],tblReleaseChanges[Oracle_Severity],""),tblSeverityMap[Severity_Text],tblSeverityMap[Score],0),0)</f>
        <v/>
      </c>
      <c r="T742">
        <f>ROUND((M742*0.25)+(N742*0.20)+(O742*0.15)+(P742*0.15)+(Q742*0.10)+(R742*0.10)+(S742*0.05),2)</f>
        <v/>
      </c>
      <c r="U742">
        <f>IF(T742&gt;=4.25,"Critical",IF(T742&gt;=3.5,"High",IF(T742&gt;=2,"Medium","Low")))</f>
        <v/>
      </c>
    </row>
    <row r="743">
      <c r="R743">
        <f>IFERROR(XLOOKUP(XLOOKUP(D743,tblReleaseChanges[Change_ID],tblReleaseChanges[Oracle_Severity],""),tblSeverityMap[Severity_Text],tblSeverityMap[Score],0),0)</f>
        <v/>
      </c>
      <c r="T743">
        <f>ROUND((M743*0.25)+(N743*0.20)+(O743*0.15)+(P743*0.15)+(Q743*0.10)+(R743*0.10)+(S743*0.05),2)</f>
        <v/>
      </c>
      <c r="U743">
        <f>IF(T743&gt;=4.25,"Critical",IF(T743&gt;=3.5,"High",IF(T743&gt;=2,"Medium","Low")))</f>
        <v/>
      </c>
    </row>
    <row r="744">
      <c r="R744">
        <f>IFERROR(XLOOKUP(XLOOKUP(D744,tblReleaseChanges[Change_ID],tblReleaseChanges[Oracle_Severity],""),tblSeverityMap[Severity_Text],tblSeverityMap[Score],0),0)</f>
        <v/>
      </c>
      <c r="T744">
        <f>ROUND((M744*0.25)+(N744*0.20)+(O744*0.15)+(P744*0.15)+(Q744*0.10)+(R744*0.10)+(S744*0.05),2)</f>
        <v/>
      </c>
      <c r="U744">
        <f>IF(T744&gt;=4.25,"Critical",IF(T744&gt;=3.5,"High",IF(T744&gt;=2,"Medium","Low")))</f>
        <v/>
      </c>
    </row>
    <row r="745">
      <c r="R745">
        <f>IFERROR(XLOOKUP(XLOOKUP(D745,tblReleaseChanges[Change_ID],tblReleaseChanges[Oracle_Severity],""),tblSeverityMap[Severity_Text],tblSeverityMap[Score],0),0)</f>
        <v/>
      </c>
      <c r="T745">
        <f>ROUND((M745*0.25)+(N745*0.20)+(O745*0.15)+(P745*0.15)+(Q745*0.10)+(R745*0.10)+(S745*0.05),2)</f>
        <v/>
      </c>
      <c r="U745">
        <f>IF(T745&gt;=4.25,"Critical",IF(T745&gt;=3.5,"High",IF(T745&gt;=2,"Medium","Low")))</f>
        <v/>
      </c>
    </row>
    <row r="746">
      <c r="R746">
        <f>IFERROR(XLOOKUP(XLOOKUP(D746,tblReleaseChanges[Change_ID],tblReleaseChanges[Oracle_Severity],""),tblSeverityMap[Severity_Text],tblSeverityMap[Score],0),0)</f>
        <v/>
      </c>
      <c r="T746">
        <f>ROUND((M746*0.25)+(N746*0.20)+(O746*0.15)+(P746*0.15)+(Q746*0.10)+(R746*0.10)+(S746*0.05),2)</f>
        <v/>
      </c>
      <c r="U746">
        <f>IF(T746&gt;=4.25,"Critical",IF(T746&gt;=3.5,"High",IF(T746&gt;=2,"Medium","Low")))</f>
        <v/>
      </c>
    </row>
    <row r="747">
      <c r="R747">
        <f>IFERROR(XLOOKUP(XLOOKUP(D747,tblReleaseChanges[Change_ID],tblReleaseChanges[Oracle_Severity],""),tblSeverityMap[Severity_Text],tblSeverityMap[Score],0),0)</f>
        <v/>
      </c>
      <c r="T747">
        <f>ROUND((M747*0.25)+(N747*0.20)+(O747*0.15)+(P747*0.15)+(Q747*0.10)+(R747*0.10)+(S747*0.05),2)</f>
        <v/>
      </c>
      <c r="U747">
        <f>IF(T747&gt;=4.25,"Critical",IF(T747&gt;=3.5,"High",IF(T747&gt;=2,"Medium","Low")))</f>
        <v/>
      </c>
    </row>
    <row r="748">
      <c r="R748">
        <f>IFERROR(XLOOKUP(XLOOKUP(D748,tblReleaseChanges[Change_ID],tblReleaseChanges[Oracle_Severity],""),tblSeverityMap[Severity_Text],tblSeverityMap[Score],0),0)</f>
        <v/>
      </c>
      <c r="T748">
        <f>ROUND((M748*0.25)+(N748*0.20)+(O748*0.15)+(P748*0.15)+(Q748*0.10)+(R748*0.10)+(S748*0.05),2)</f>
        <v/>
      </c>
      <c r="U748">
        <f>IF(T748&gt;=4.25,"Critical",IF(T748&gt;=3.5,"High",IF(T748&gt;=2,"Medium","Low")))</f>
        <v/>
      </c>
    </row>
    <row r="749">
      <c r="R749">
        <f>IFERROR(XLOOKUP(XLOOKUP(D749,tblReleaseChanges[Change_ID],tblReleaseChanges[Oracle_Severity],""),tblSeverityMap[Severity_Text],tblSeverityMap[Score],0),0)</f>
        <v/>
      </c>
      <c r="T749">
        <f>ROUND((M749*0.25)+(N749*0.20)+(O749*0.15)+(P749*0.15)+(Q749*0.10)+(R749*0.10)+(S749*0.05),2)</f>
        <v/>
      </c>
      <c r="U749">
        <f>IF(T749&gt;=4.25,"Critical",IF(T749&gt;=3.5,"High",IF(T749&gt;=2,"Medium","Low")))</f>
        <v/>
      </c>
    </row>
    <row r="750">
      <c r="R750">
        <f>IFERROR(XLOOKUP(XLOOKUP(D750,tblReleaseChanges[Change_ID],tblReleaseChanges[Oracle_Severity],""),tblSeverityMap[Severity_Text],tblSeverityMap[Score],0),0)</f>
        <v/>
      </c>
      <c r="T750">
        <f>ROUND((M750*0.25)+(N750*0.20)+(O750*0.15)+(P750*0.15)+(Q750*0.10)+(R750*0.10)+(S750*0.05),2)</f>
        <v/>
      </c>
      <c r="U750">
        <f>IF(T750&gt;=4.25,"Critical",IF(T750&gt;=3.5,"High",IF(T750&gt;=2,"Medium","Low")))</f>
        <v/>
      </c>
    </row>
    <row r="751">
      <c r="R751">
        <f>IFERROR(XLOOKUP(XLOOKUP(D751,tblReleaseChanges[Change_ID],tblReleaseChanges[Oracle_Severity],""),tblSeverityMap[Severity_Text],tblSeverityMap[Score],0),0)</f>
        <v/>
      </c>
      <c r="T751">
        <f>ROUND((M751*0.25)+(N751*0.20)+(O751*0.15)+(P751*0.15)+(Q751*0.10)+(R751*0.10)+(S751*0.05),2)</f>
        <v/>
      </c>
      <c r="U751">
        <f>IF(T751&gt;=4.25,"Critical",IF(T751&gt;=3.5,"High",IF(T751&gt;=2,"Medium","Low")))</f>
        <v/>
      </c>
    </row>
    <row r="752">
      <c r="R752">
        <f>IFERROR(XLOOKUP(XLOOKUP(D752,tblReleaseChanges[Change_ID],tblReleaseChanges[Oracle_Severity],""),tblSeverityMap[Severity_Text],tblSeverityMap[Score],0),0)</f>
        <v/>
      </c>
      <c r="T752">
        <f>ROUND((M752*0.25)+(N752*0.20)+(O752*0.15)+(P752*0.15)+(Q752*0.10)+(R752*0.10)+(S752*0.05),2)</f>
        <v/>
      </c>
      <c r="U752">
        <f>IF(T752&gt;=4.25,"Critical",IF(T752&gt;=3.5,"High",IF(T752&gt;=2,"Medium","Low")))</f>
        <v/>
      </c>
    </row>
    <row r="753">
      <c r="R753">
        <f>IFERROR(XLOOKUP(XLOOKUP(D753,tblReleaseChanges[Change_ID],tblReleaseChanges[Oracle_Severity],""),tblSeverityMap[Severity_Text],tblSeverityMap[Score],0),0)</f>
        <v/>
      </c>
      <c r="T753">
        <f>ROUND((M753*0.25)+(N753*0.20)+(O753*0.15)+(P753*0.15)+(Q753*0.10)+(R753*0.10)+(S753*0.05),2)</f>
        <v/>
      </c>
      <c r="U753">
        <f>IF(T753&gt;=4.25,"Critical",IF(T753&gt;=3.5,"High",IF(T753&gt;=2,"Medium","Low")))</f>
        <v/>
      </c>
    </row>
    <row r="754">
      <c r="R754">
        <f>IFERROR(XLOOKUP(XLOOKUP(D754,tblReleaseChanges[Change_ID],tblReleaseChanges[Oracle_Severity],""),tblSeverityMap[Severity_Text],tblSeverityMap[Score],0),0)</f>
        <v/>
      </c>
      <c r="T754">
        <f>ROUND((M754*0.25)+(N754*0.20)+(O754*0.15)+(P754*0.15)+(Q754*0.10)+(R754*0.10)+(S754*0.05),2)</f>
        <v/>
      </c>
      <c r="U754">
        <f>IF(T754&gt;=4.25,"Critical",IF(T754&gt;=3.5,"High",IF(T754&gt;=2,"Medium","Low")))</f>
        <v/>
      </c>
    </row>
    <row r="755">
      <c r="R755">
        <f>IFERROR(XLOOKUP(XLOOKUP(D755,tblReleaseChanges[Change_ID],tblReleaseChanges[Oracle_Severity],""),tblSeverityMap[Severity_Text],tblSeverityMap[Score],0),0)</f>
        <v/>
      </c>
      <c r="T755">
        <f>ROUND((M755*0.25)+(N755*0.20)+(O755*0.15)+(P755*0.15)+(Q755*0.10)+(R755*0.10)+(S755*0.05),2)</f>
        <v/>
      </c>
      <c r="U755">
        <f>IF(T755&gt;=4.25,"Critical",IF(T755&gt;=3.5,"High",IF(T755&gt;=2,"Medium","Low")))</f>
        <v/>
      </c>
    </row>
    <row r="756">
      <c r="R756">
        <f>IFERROR(XLOOKUP(XLOOKUP(D756,tblReleaseChanges[Change_ID],tblReleaseChanges[Oracle_Severity],""),tblSeverityMap[Severity_Text],tblSeverityMap[Score],0),0)</f>
        <v/>
      </c>
      <c r="T756">
        <f>ROUND((M756*0.25)+(N756*0.20)+(O756*0.15)+(P756*0.15)+(Q756*0.10)+(R756*0.10)+(S756*0.05),2)</f>
        <v/>
      </c>
      <c r="U756">
        <f>IF(T756&gt;=4.25,"Critical",IF(T756&gt;=3.5,"High",IF(T756&gt;=2,"Medium","Low")))</f>
        <v/>
      </c>
    </row>
    <row r="757">
      <c r="R757">
        <f>IFERROR(XLOOKUP(XLOOKUP(D757,tblReleaseChanges[Change_ID],tblReleaseChanges[Oracle_Severity],""),tblSeverityMap[Severity_Text],tblSeverityMap[Score],0),0)</f>
        <v/>
      </c>
      <c r="T757">
        <f>ROUND((M757*0.25)+(N757*0.20)+(O757*0.15)+(P757*0.15)+(Q757*0.10)+(R757*0.10)+(S757*0.05),2)</f>
        <v/>
      </c>
      <c r="U757">
        <f>IF(T757&gt;=4.25,"Critical",IF(T757&gt;=3.5,"High",IF(T757&gt;=2,"Medium","Low")))</f>
        <v/>
      </c>
    </row>
    <row r="758">
      <c r="R758">
        <f>IFERROR(XLOOKUP(XLOOKUP(D758,tblReleaseChanges[Change_ID],tblReleaseChanges[Oracle_Severity],""),tblSeverityMap[Severity_Text],tblSeverityMap[Score],0),0)</f>
        <v/>
      </c>
      <c r="T758">
        <f>ROUND((M758*0.25)+(N758*0.20)+(O758*0.15)+(P758*0.15)+(Q758*0.10)+(R758*0.10)+(S758*0.05),2)</f>
        <v/>
      </c>
      <c r="U758">
        <f>IF(T758&gt;=4.25,"Critical",IF(T758&gt;=3.5,"High",IF(T758&gt;=2,"Medium","Low")))</f>
        <v/>
      </c>
    </row>
    <row r="759">
      <c r="R759">
        <f>IFERROR(XLOOKUP(XLOOKUP(D759,tblReleaseChanges[Change_ID],tblReleaseChanges[Oracle_Severity],""),tblSeverityMap[Severity_Text],tblSeverityMap[Score],0),0)</f>
        <v/>
      </c>
      <c r="T759">
        <f>ROUND((M759*0.25)+(N759*0.20)+(O759*0.15)+(P759*0.15)+(Q759*0.10)+(R759*0.10)+(S759*0.05),2)</f>
        <v/>
      </c>
      <c r="U759">
        <f>IF(T759&gt;=4.25,"Critical",IF(T759&gt;=3.5,"High",IF(T759&gt;=2,"Medium","Low")))</f>
        <v/>
      </c>
    </row>
    <row r="760">
      <c r="R760">
        <f>IFERROR(XLOOKUP(XLOOKUP(D760,tblReleaseChanges[Change_ID],tblReleaseChanges[Oracle_Severity],""),tblSeverityMap[Severity_Text],tblSeverityMap[Score],0),0)</f>
        <v/>
      </c>
      <c r="T760">
        <f>ROUND((M760*0.25)+(N760*0.20)+(O760*0.15)+(P760*0.15)+(Q760*0.10)+(R760*0.10)+(S760*0.05),2)</f>
        <v/>
      </c>
      <c r="U760">
        <f>IF(T760&gt;=4.25,"Critical",IF(T760&gt;=3.5,"High",IF(T760&gt;=2,"Medium","Low")))</f>
        <v/>
      </c>
    </row>
    <row r="761">
      <c r="R761">
        <f>IFERROR(XLOOKUP(XLOOKUP(D761,tblReleaseChanges[Change_ID],tblReleaseChanges[Oracle_Severity],""),tblSeverityMap[Severity_Text],tblSeverityMap[Score],0),0)</f>
        <v/>
      </c>
      <c r="T761">
        <f>ROUND((M761*0.25)+(N761*0.20)+(O761*0.15)+(P761*0.15)+(Q761*0.10)+(R761*0.10)+(S761*0.05),2)</f>
        <v/>
      </c>
      <c r="U761">
        <f>IF(T761&gt;=4.25,"Critical",IF(T761&gt;=3.5,"High",IF(T761&gt;=2,"Medium","Low")))</f>
        <v/>
      </c>
    </row>
    <row r="762">
      <c r="R762">
        <f>IFERROR(XLOOKUP(XLOOKUP(D762,tblReleaseChanges[Change_ID],tblReleaseChanges[Oracle_Severity],""),tblSeverityMap[Severity_Text],tblSeverityMap[Score],0),0)</f>
        <v/>
      </c>
      <c r="T762">
        <f>ROUND((M762*0.25)+(N762*0.20)+(O762*0.15)+(P762*0.15)+(Q762*0.10)+(R762*0.10)+(S762*0.05),2)</f>
        <v/>
      </c>
      <c r="U762">
        <f>IF(T762&gt;=4.25,"Critical",IF(T762&gt;=3.5,"High",IF(T762&gt;=2,"Medium","Low")))</f>
        <v/>
      </c>
    </row>
    <row r="763">
      <c r="R763">
        <f>IFERROR(XLOOKUP(XLOOKUP(D763,tblReleaseChanges[Change_ID],tblReleaseChanges[Oracle_Severity],""),tblSeverityMap[Severity_Text],tblSeverityMap[Score],0),0)</f>
        <v/>
      </c>
      <c r="T763">
        <f>ROUND((M763*0.25)+(N763*0.20)+(O763*0.15)+(P763*0.15)+(Q763*0.10)+(R763*0.10)+(S763*0.05),2)</f>
        <v/>
      </c>
      <c r="U763">
        <f>IF(T763&gt;=4.25,"Critical",IF(T763&gt;=3.5,"High",IF(T763&gt;=2,"Medium","Low")))</f>
        <v/>
      </c>
    </row>
    <row r="764">
      <c r="R764">
        <f>IFERROR(XLOOKUP(XLOOKUP(D764,tblReleaseChanges[Change_ID],tblReleaseChanges[Oracle_Severity],""),tblSeverityMap[Severity_Text],tblSeverityMap[Score],0),0)</f>
        <v/>
      </c>
      <c r="T764">
        <f>ROUND((M764*0.25)+(N764*0.20)+(O764*0.15)+(P764*0.15)+(Q764*0.10)+(R764*0.10)+(S764*0.05),2)</f>
        <v/>
      </c>
      <c r="U764">
        <f>IF(T764&gt;=4.25,"Critical",IF(T764&gt;=3.5,"High",IF(T764&gt;=2,"Medium","Low")))</f>
        <v/>
      </c>
    </row>
    <row r="765">
      <c r="R765">
        <f>IFERROR(XLOOKUP(XLOOKUP(D765,tblReleaseChanges[Change_ID],tblReleaseChanges[Oracle_Severity],""),tblSeverityMap[Severity_Text],tblSeverityMap[Score],0),0)</f>
        <v/>
      </c>
      <c r="T765">
        <f>ROUND((M765*0.25)+(N765*0.20)+(O765*0.15)+(P765*0.15)+(Q765*0.10)+(R765*0.10)+(S765*0.05),2)</f>
        <v/>
      </c>
      <c r="U765">
        <f>IF(T765&gt;=4.25,"Critical",IF(T765&gt;=3.5,"High",IF(T765&gt;=2,"Medium","Low")))</f>
        <v/>
      </c>
    </row>
    <row r="766">
      <c r="R766">
        <f>IFERROR(XLOOKUP(XLOOKUP(D766,tblReleaseChanges[Change_ID],tblReleaseChanges[Oracle_Severity],""),tblSeverityMap[Severity_Text],tblSeverityMap[Score],0),0)</f>
        <v/>
      </c>
      <c r="T766">
        <f>ROUND((M766*0.25)+(N766*0.20)+(O766*0.15)+(P766*0.15)+(Q766*0.10)+(R766*0.10)+(S766*0.05),2)</f>
        <v/>
      </c>
      <c r="U766">
        <f>IF(T766&gt;=4.25,"Critical",IF(T766&gt;=3.5,"High",IF(T766&gt;=2,"Medium","Low")))</f>
        <v/>
      </c>
    </row>
    <row r="767">
      <c r="R767">
        <f>IFERROR(XLOOKUP(XLOOKUP(D767,tblReleaseChanges[Change_ID],tblReleaseChanges[Oracle_Severity],""),tblSeverityMap[Severity_Text],tblSeverityMap[Score],0),0)</f>
        <v/>
      </c>
      <c r="T767">
        <f>ROUND((M767*0.25)+(N767*0.20)+(O767*0.15)+(P767*0.15)+(Q767*0.10)+(R767*0.10)+(S767*0.05),2)</f>
        <v/>
      </c>
      <c r="U767">
        <f>IF(T767&gt;=4.25,"Critical",IF(T767&gt;=3.5,"High",IF(T767&gt;=2,"Medium","Low")))</f>
        <v/>
      </c>
    </row>
    <row r="768">
      <c r="R768">
        <f>IFERROR(XLOOKUP(XLOOKUP(D768,tblReleaseChanges[Change_ID],tblReleaseChanges[Oracle_Severity],""),tblSeverityMap[Severity_Text],tblSeverityMap[Score],0),0)</f>
        <v/>
      </c>
      <c r="T768">
        <f>ROUND((M768*0.25)+(N768*0.20)+(O768*0.15)+(P768*0.15)+(Q768*0.10)+(R768*0.10)+(S768*0.05),2)</f>
        <v/>
      </c>
      <c r="U768">
        <f>IF(T768&gt;=4.25,"Critical",IF(T768&gt;=3.5,"High",IF(T768&gt;=2,"Medium","Low")))</f>
        <v/>
      </c>
    </row>
    <row r="769">
      <c r="R769">
        <f>IFERROR(XLOOKUP(XLOOKUP(D769,tblReleaseChanges[Change_ID],tblReleaseChanges[Oracle_Severity],""),tblSeverityMap[Severity_Text],tblSeverityMap[Score],0),0)</f>
        <v/>
      </c>
      <c r="T769">
        <f>ROUND((M769*0.25)+(N769*0.20)+(O769*0.15)+(P769*0.15)+(Q769*0.10)+(R769*0.10)+(S769*0.05),2)</f>
        <v/>
      </c>
      <c r="U769">
        <f>IF(T769&gt;=4.25,"Critical",IF(T769&gt;=3.5,"High",IF(T769&gt;=2,"Medium","Low")))</f>
        <v/>
      </c>
    </row>
    <row r="770">
      <c r="R770">
        <f>IFERROR(XLOOKUP(XLOOKUP(D770,tblReleaseChanges[Change_ID],tblReleaseChanges[Oracle_Severity],""),tblSeverityMap[Severity_Text],tblSeverityMap[Score],0),0)</f>
        <v/>
      </c>
      <c r="T770">
        <f>ROUND((M770*0.25)+(N770*0.20)+(O770*0.15)+(P770*0.15)+(Q770*0.10)+(R770*0.10)+(S770*0.05),2)</f>
        <v/>
      </c>
      <c r="U770">
        <f>IF(T770&gt;=4.25,"Critical",IF(T770&gt;=3.5,"High",IF(T770&gt;=2,"Medium","Low")))</f>
        <v/>
      </c>
    </row>
    <row r="771">
      <c r="R771">
        <f>IFERROR(XLOOKUP(XLOOKUP(D771,tblReleaseChanges[Change_ID],tblReleaseChanges[Oracle_Severity],""),tblSeverityMap[Severity_Text],tblSeverityMap[Score],0),0)</f>
        <v/>
      </c>
      <c r="T771">
        <f>ROUND((M771*0.25)+(N771*0.20)+(O771*0.15)+(P771*0.15)+(Q771*0.10)+(R771*0.10)+(S771*0.05),2)</f>
        <v/>
      </c>
      <c r="U771">
        <f>IF(T771&gt;=4.25,"Critical",IF(T771&gt;=3.5,"High",IF(T771&gt;=2,"Medium","Low")))</f>
        <v/>
      </c>
    </row>
    <row r="772">
      <c r="R772">
        <f>IFERROR(XLOOKUP(XLOOKUP(D772,tblReleaseChanges[Change_ID],tblReleaseChanges[Oracle_Severity],""),tblSeverityMap[Severity_Text],tblSeverityMap[Score],0),0)</f>
        <v/>
      </c>
      <c r="T772">
        <f>ROUND((M772*0.25)+(N772*0.20)+(O772*0.15)+(P772*0.15)+(Q772*0.10)+(R772*0.10)+(S772*0.05),2)</f>
        <v/>
      </c>
      <c r="U772">
        <f>IF(T772&gt;=4.25,"Critical",IF(T772&gt;=3.5,"High",IF(T772&gt;=2,"Medium","Low")))</f>
        <v/>
      </c>
    </row>
    <row r="773">
      <c r="R773">
        <f>IFERROR(XLOOKUP(XLOOKUP(D773,tblReleaseChanges[Change_ID],tblReleaseChanges[Oracle_Severity],""),tblSeverityMap[Severity_Text],tblSeverityMap[Score],0),0)</f>
        <v/>
      </c>
      <c r="T773">
        <f>ROUND((M773*0.25)+(N773*0.20)+(O773*0.15)+(P773*0.15)+(Q773*0.10)+(R773*0.10)+(S773*0.05),2)</f>
        <v/>
      </c>
      <c r="U773">
        <f>IF(T773&gt;=4.25,"Critical",IF(T773&gt;=3.5,"High",IF(T773&gt;=2,"Medium","Low")))</f>
        <v/>
      </c>
    </row>
    <row r="774">
      <c r="R774">
        <f>IFERROR(XLOOKUP(XLOOKUP(D774,tblReleaseChanges[Change_ID],tblReleaseChanges[Oracle_Severity],""),tblSeverityMap[Severity_Text],tblSeverityMap[Score],0),0)</f>
        <v/>
      </c>
      <c r="T774">
        <f>ROUND((M774*0.25)+(N774*0.20)+(O774*0.15)+(P774*0.15)+(Q774*0.10)+(R774*0.10)+(S774*0.05),2)</f>
        <v/>
      </c>
      <c r="U774">
        <f>IF(T774&gt;=4.25,"Critical",IF(T774&gt;=3.5,"High",IF(T774&gt;=2,"Medium","Low")))</f>
        <v/>
      </c>
    </row>
    <row r="775">
      <c r="R775">
        <f>IFERROR(XLOOKUP(XLOOKUP(D775,tblReleaseChanges[Change_ID],tblReleaseChanges[Oracle_Severity],""),tblSeverityMap[Severity_Text],tblSeverityMap[Score],0),0)</f>
        <v/>
      </c>
      <c r="T775">
        <f>ROUND((M775*0.25)+(N775*0.20)+(O775*0.15)+(P775*0.15)+(Q775*0.10)+(R775*0.10)+(S775*0.05),2)</f>
        <v/>
      </c>
      <c r="U775">
        <f>IF(T775&gt;=4.25,"Critical",IF(T775&gt;=3.5,"High",IF(T775&gt;=2,"Medium","Low")))</f>
        <v/>
      </c>
    </row>
    <row r="776">
      <c r="R776">
        <f>IFERROR(XLOOKUP(XLOOKUP(D776,tblReleaseChanges[Change_ID],tblReleaseChanges[Oracle_Severity],""),tblSeverityMap[Severity_Text],tblSeverityMap[Score],0),0)</f>
        <v/>
      </c>
      <c r="T776">
        <f>ROUND((M776*0.25)+(N776*0.20)+(O776*0.15)+(P776*0.15)+(Q776*0.10)+(R776*0.10)+(S776*0.05),2)</f>
        <v/>
      </c>
      <c r="U776">
        <f>IF(T776&gt;=4.25,"Critical",IF(T776&gt;=3.5,"High",IF(T776&gt;=2,"Medium","Low")))</f>
        <v/>
      </c>
    </row>
    <row r="777">
      <c r="R777">
        <f>IFERROR(XLOOKUP(XLOOKUP(D777,tblReleaseChanges[Change_ID],tblReleaseChanges[Oracle_Severity],""),tblSeverityMap[Severity_Text],tblSeverityMap[Score],0),0)</f>
        <v/>
      </c>
      <c r="T777">
        <f>ROUND((M777*0.25)+(N777*0.20)+(O777*0.15)+(P777*0.15)+(Q777*0.10)+(R777*0.10)+(S777*0.05),2)</f>
        <v/>
      </c>
      <c r="U777">
        <f>IF(T777&gt;=4.25,"Critical",IF(T777&gt;=3.5,"High",IF(T777&gt;=2,"Medium","Low")))</f>
        <v/>
      </c>
    </row>
    <row r="778">
      <c r="R778">
        <f>IFERROR(XLOOKUP(XLOOKUP(D778,tblReleaseChanges[Change_ID],tblReleaseChanges[Oracle_Severity],""),tblSeverityMap[Severity_Text],tblSeverityMap[Score],0),0)</f>
        <v/>
      </c>
      <c r="T778">
        <f>ROUND((M778*0.25)+(N778*0.20)+(O778*0.15)+(P778*0.15)+(Q778*0.10)+(R778*0.10)+(S778*0.05),2)</f>
        <v/>
      </c>
      <c r="U778">
        <f>IF(T778&gt;=4.25,"Critical",IF(T778&gt;=3.5,"High",IF(T778&gt;=2,"Medium","Low")))</f>
        <v/>
      </c>
    </row>
    <row r="779">
      <c r="R779">
        <f>IFERROR(XLOOKUP(XLOOKUP(D779,tblReleaseChanges[Change_ID],tblReleaseChanges[Oracle_Severity],""),tblSeverityMap[Severity_Text],tblSeverityMap[Score],0),0)</f>
        <v/>
      </c>
      <c r="T779">
        <f>ROUND((M779*0.25)+(N779*0.20)+(O779*0.15)+(P779*0.15)+(Q779*0.10)+(R779*0.10)+(S779*0.05),2)</f>
        <v/>
      </c>
      <c r="U779">
        <f>IF(T779&gt;=4.25,"Critical",IF(T779&gt;=3.5,"High",IF(T779&gt;=2,"Medium","Low")))</f>
        <v/>
      </c>
    </row>
    <row r="780">
      <c r="R780">
        <f>IFERROR(XLOOKUP(XLOOKUP(D780,tblReleaseChanges[Change_ID],tblReleaseChanges[Oracle_Severity],""),tblSeverityMap[Severity_Text],tblSeverityMap[Score],0),0)</f>
        <v/>
      </c>
      <c r="T780">
        <f>ROUND((M780*0.25)+(N780*0.20)+(O780*0.15)+(P780*0.15)+(Q780*0.10)+(R780*0.10)+(S780*0.05),2)</f>
        <v/>
      </c>
      <c r="U780">
        <f>IF(T780&gt;=4.25,"Critical",IF(T780&gt;=3.5,"High",IF(T780&gt;=2,"Medium","Low")))</f>
        <v/>
      </c>
    </row>
    <row r="781">
      <c r="R781">
        <f>IFERROR(XLOOKUP(XLOOKUP(D781,tblReleaseChanges[Change_ID],tblReleaseChanges[Oracle_Severity],""),tblSeverityMap[Severity_Text],tblSeverityMap[Score],0),0)</f>
        <v/>
      </c>
      <c r="T781">
        <f>ROUND((M781*0.25)+(N781*0.20)+(O781*0.15)+(P781*0.15)+(Q781*0.10)+(R781*0.10)+(S781*0.05),2)</f>
        <v/>
      </c>
      <c r="U781">
        <f>IF(T781&gt;=4.25,"Critical",IF(T781&gt;=3.5,"High",IF(T781&gt;=2,"Medium","Low")))</f>
        <v/>
      </c>
    </row>
    <row r="782">
      <c r="R782">
        <f>IFERROR(XLOOKUP(XLOOKUP(D782,tblReleaseChanges[Change_ID],tblReleaseChanges[Oracle_Severity],""),tblSeverityMap[Severity_Text],tblSeverityMap[Score],0),0)</f>
        <v/>
      </c>
      <c r="T782">
        <f>ROUND((M782*0.25)+(N782*0.20)+(O782*0.15)+(P782*0.15)+(Q782*0.10)+(R782*0.10)+(S782*0.05),2)</f>
        <v/>
      </c>
      <c r="U782">
        <f>IF(T782&gt;=4.25,"Critical",IF(T782&gt;=3.5,"High",IF(T782&gt;=2,"Medium","Low")))</f>
        <v/>
      </c>
    </row>
    <row r="783">
      <c r="R783">
        <f>IFERROR(XLOOKUP(XLOOKUP(D783,tblReleaseChanges[Change_ID],tblReleaseChanges[Oracle_Severity],""),tblSeverityMap[Severity_Text],tblSeverityMap[Score],0),0)</f>
        <v/>
      </c>
      <c r="T783">
        <f>ROUND((M783*0.25)+(N783*0.20)+(O783*0.15)+(P783*0.15)+(Q783*0.10)+(R783*0.10)+(S783*0.05),2)</f>
        <v/>
      </c>
      <c r="U783">
        <f>IF(T783&gt;=4.25,"Critical",IF(T783&gt;=3.5,"High",IF(T783&gt;=2,"Medium","Low")))</f>
        <v/>
      </c>
    </row>
    <row r="784">
      <c r="R784">
        <f>IFERROR(XLOOKUP(XLOOKUP(D784,tblReleaseChanges[Change_ID],tblReleaseChanges[Oracle_Severity],""),tblSeverityMap[Severity_Text],tblSeverityMap[Score],0),0)</f>
        <v/>
      </c>
      <c r="T784">
        <f>ROUND((M784*0.25)+(N784*0.20)+(O784*0.15)+(P784*0.15)+(Q784*0.10)+(R784*0.10)+(S784*0.05),2)</f>
        <v/>
      </c>
      <c r="U784">
        <f>IF(T784&gt;=4.25,"Critical",IF(T784&gt;=3.5,"High",IF(T784&gt;=2,"Medium","Low")))</f>
        <v/>
      </c>
    </row>
    <row r="785">
      <c r="R785">
        <f>IFERROR(XLOOKUP(XLOOKUP(D785,tblReleaseChanges[Change_ID],tblReleaseChanges[Oracle_Severity],""),tblSeverityMap[Severity_Text],tblSeverityMap[Score],0),0)</f>
        <v/>
      </c>
      <c r="T785">
        <f>ROUND((M785*0.25)+(N785*0.20)+(O785*0.15)+(P785*0.15)+(Q785*0.10)+(R785*0.10)+(S785*0.05),2)</f>
        <v/>
      </c>
      <c r="U785">
        <f>IF(T785&gt;=4.25,"Critical",IF(T785&gt;=3.5,"High",IF(T785&gt;=2,"Medium","Low")))</f>
        <v/>
      </c>
    </row>
    <row r="786">
      <c r="R786">
        <f>IFERROR(XLOOKUP(XLOOKUP(D786,tblReleaseChanges[Change_ID],tblReleaseChanges[Oracle_Severity],""),tblSeverityMap[Severity_Text],tblSeverityMap[Score],0),0)</f>
        <v/>
      </c>
      <c r="T786">
        <f>ROUND((M786*0.25)+(N786*0.20)+(O786*0.15)+(P786*0.15)+(Q786*0.10)+(R786*0.10)+(S786*0.05),2)</f>
        <v/>
      </c>
      <c r="U786">
        <f>IF(T786&gt;=4.25,"Critical",IF(T786&gt;=3.5,"High",IF(T786&gt;=2,"Medium","Low")))</f>
        <v/>
      </c>
    </row>
    <row r="787">
      <c r="R787">
        <f>IFERROR(XLOOKUP(XLOOKUP(D787,tblReleaseChanges[Change_ID],tblReleaseChanges[Oracle_Severity],""),tblSeverityMap[Severity_Text],tblSeverityMap[Score],0),0)</f>
        <v/>
      </c>
      <c r="T787">
        <f>ROUND((M787*0.25)+(N787*0.20)+(O787*0.15)+(P787*0.15)+(Q787*0.10)+(R787*0.10)+(S787*0.05),2)</f>
        <v/>
      </c>
      <c r="U787">
        <f>IF(T787&gt;=4.25,"Critical",IF(T787&gt;=3.5,"High",IF(T787&gt;=2,"Medium","Low")))</f>
        <v/>
      </c>
    </row>
    <row r="788">
      <c r="R788">
        <f>IFERROR(XLOOKUP(XLOOKUP(D788,tblReleaseChanges[Change_ID],tblReleaseChanges[Oracle_Severity],""),tblSeverityMap[Severity_Text],tblSeverityMap[Score],0),0)</f>
        <v/>
      </c>
      <c r="T788">
        <f>ROUND((M788*0.25)+(N788*0.20)+(O788*0.15)+(P788*0.15)+(Q788*0.10)+(R788*0.10)+(S788*0.05),2)</f>
        <v/>
      </c>
      <c r="U788">
        <f>IF(T788&gt;=4.25,"Critical",IF(T788&gt;=3.5,"High",IF(T788&gt;=2,"Medium","Low")))</f>
        <v/>
      </c>
    </row>
    <row r="789">
      <c r="R789">
        <f>IFERROR(XLOOKUP(XLOOKUP(D789,tblReleaseChanges[Change_ID],tblReleaseChanges[Oracle_Severity],""),tblSeverityMap[Severity_Text],tblSeverityMap[Score],0),0)</f>
        <v/>
      </c>
      <c r="T789">
        <f>ROUND((M789*0.25)+(N789*0.20)+(O789*0.15)+(P789*0.15)+(Q789*0.10)+(R789*0.10)+(S789*0.05),2)</f>
        <v/>
      </c>
      <c r="U789">
        <f>IF(T789&gt;=4.25,"Critical",IF(T789&gt;=3.5,"High",IF(T789&gt;=2,"Medium","Low")))</f>
        <v/>
      </c>
    </row>
    <row r="790">
      <c r="R790">
        <f>IFERROR(XLOOKUP(XLOOKUP(D790,tblReleaseChanges[Change_ID],tblReleaseChanges[Oracle_Severity],""),tblSeverityMap[Severity_Text],tblSeverityMap[Score],0),0)</f>
        <v/>
      </c>
      <c r="T790">
        <f>ROUND((M790*0.25)+(N790*0.20)+(O790*0.15)+(P790*0.15)+(Q790*0.10)+(R790*0.10)+(S790*0.05),2)</f>
        <v/>
      </c>
      <c r="U790">
        <f>IF(T790&gt;=4.25,"Critical",IF(T790&gt;=3.5,"High",IF(T790&gt;=2,"Medium","Low")))</f>
        <v/>
      </c>
    </row>
    <row r="791">
      <c r="R791">
        <f>IFERROR(XLOOKUP(XLOOKUP(D791,tblReleaseChanges[Change_ID],tblReleaseChanges[Oracle_Severity],""),tblSeverityMap[Severity_Text],tblSeverityMap[Score],0),0)</f>
        <v/>
      </c>
      <c r="T791">
        <f>ROUND((M791*0.25)+(N791*0.20)+(O791*0.15)+(P791*0.15)+(Q791*0.10)+(R791*0.10)+(S791*0.05),2)</f>
        <v/>
      </c>
      <c r="U791">
        <f>IF(T791&gt;=4.25,"Critical",IF(T791&gt;=3.5,"High",IF(T791&gt;=2,"Medium","Low")))</f>
        <v/>
      </c>
    </row>
    <row r="792">
      <c r="R792">
        <f>IFERROR(XLOOKUP(XLOOKUP(D792,tblReleaseChanges[Change_ID],tblReleaseChanges[Oracle_Severity],""),tblSeverityMap[Severity_Text],tblSeverityMap[Score],0),0)</f>
        <v/>
      </c>
      <c r="T792">
        <f>ROUND((M792*0.25)+(N792*0.20)+(O792*0.15)+(P792*0.15)+(Q792*0.10)+(R792*0.10)+(S792*0.05),2)</f>
        <v/>
      </c>
      <c r="U792">
        <f>IF(T792&gt;=4.25,"Critical",IF(T792&gt;=3.5,"High",IF(T792&gt;=2,"Medium","Low")))</f>
        <v/>
      </c>
    </row>
    <row r="793">
      <c r="R793">
        <f>IFERROR(XLOOKUP(XLOOKUP(D793,tblReleaseChanges[Change_ID],tblReleaseChanges[Oracle_Severity],""),tblSeverityMap[Severity_Text],tblSeverityMap[Score],0),0)</f>
        <v/>
      </c>
      <c r="T793">
        <f>ROUND((M793*0.25)+(N793*0.20)+(O793*0.15)+(P793*0.15)+(Q793*0.10)+(R793*0.10)+(S793*0.05),2)</f>
        <v/>
      </c>
      <c r="U793">
        <f>IF(T793&gt;=4.25,"Critical",IF(T793&gt;=3.5,"High",IF(T793&gt;=2,"Medium","Low")))</f>
        <v/>
      </c>
    </row>
    <row r="794">
      <c r="R794">
        <f>IFERROR(XLOOKUP(XLOOKUP(D794,tblReleaseChanges[Change_ID],tblReleaseChanges[Oracle_Severity],""),tblSeverityMap[Severity_Text],tblSeverityMap[Score],0),0)</f>
        <v/>
      </c>
      <c r="T794">
        <f>ROUND((M794*0.25)+(N794*0.20)+(O794*0.15)+(P794*0.15)+(Q794*0.10)+(R794*0.10)+(S794*0.05),2)</f>
        <v/>
      </c>
      <c r="U794">
        <f>IF(T794&gt;=4.25,"Critical",IF(T794&gt;=3.5,"High",IF(T794&gt;=2,"Medium","Low")))</f>
        <v/>
      </c>
    </row>
    <row r="795">
      <c r="R795">
        <f>IFERROR(XLOOKUP(XLOOKUP(D795,tblReleaseChanges[Change_ID],tblReleaseChanges[Oracle_Severity],""),tblSeverityMap[Severity_Text],tblSeverityMap[Score],0),0)</f>
        <v/>
      </c>
      <c r="T795">
        <f>ROUND((M795*0.25)+(N795*0.20)+(O795*0.15)+(P795*0.15)+(Q795*0.10)+(R795*0.10)+(S795*0.05),2)</f>
        <v/>
      </c>
      <c r="U795">
        <f>IF(T795&gt;=4.25,"Critical",IF(T795&gt;=3.5,"High",IF(T795&gt;=2,"Medium","Low")))</f>
        <v/>
      </c>
    </row>
    <row r="796">
      <c r="R796">
        <f>IFERROR(XLOOKUP(XLOOKUP(D796,tblReleaseChanges[Change_ID],tblReleaseChanges[Oracle_Severity],""),tblSeverityMap[Severity_Text],tblSeverityMap[Score],0),0)</f>
        <v/>
      </c>
      <c r="T796">
        <f>ROUND((M796*0.25)+(N796*0.20)+(O796*0.15)+(P796*0.15)+(Q796*0.10)+(R796*0.10)+(S796*0.05),2)</f>
        <v/>
      </c>
      <c r="U796">
        <f>IF(T796&gt;=4.25,"Critical",IF(T796&gt;=3.5,"High",IF(T796&gt;=2,"Medium","Low")))</f>
        <v/>
      </c>
    </row>
    <row r="797">
      <c r="R797">
        <f>IFERROR(XLOOKUP(XLOOKUP(D797,tblReleaseChanges[Change_ID],tblReleaseChanges[Oracle_Severity],""),tblSeverityMap[Severity_Text],tblSeverityMap[Score],0),0)</f>
        <v/>
      </c>
      <c r="T797">
        <f>ROUND((M797*0.25)+(N797*0.20)+(O797*0.15)+(P797*0.15)+(Q797*0.10)+(R797*0.10)+(S797*0.05),2)</f>
        <v/>
      </c>
      <c r="U797">
        <f>IF(T797&gt;=4.25,"Critical",IF(T797&gt;=3.5,"High",IF(T797&gt;=2,"Medium","Low")))</f>
        <v/>
      </c>
    </row>
    <row r="798">
      <c r="R798">
        <f>IFERROR(XLOOKUP(XLOOKUP(D798,tblReleaseChanges[Change_ID],tblReleaseChanges[Oracle_Severity],""),tblSeverityMap[Severity_Text],tblSeverityMap[Score],0),0)</f>
        <v/>
      </c>
      <c r="T798">
        <f>ROUND((M798*0.25)+(N798*0.20)+(O798*0.15)+(P798*0.15)+(Q798*0.10)+(R798*0.10)+(S798*0.05),2)</f>
        <v/>
      </c>
      <c r="U798">
        <f>IF(T798&gt;=4.25,"Critical",IF(T798&gt;=3.5,"High",IF(T798&gt;=2,"Medium","Low")))</f>
        <v/>
      </c>
    </row>
    <row r="799">
      <c r="R799">
        <f>IFERROR(XLOOKUP(XLOOKUP(D799,tblReleaseChanges[Change_ID],tblReleaseChanges[Oracle_Severity],""),tblSeverityMap[Severity_Text],tblSeverityMap[Score],0),0)</f>
        <v/>
      </c>
      <c r="T799">
        <f>ROUND((M799*0.25)+(N799*0.20)+(O799*0.15)+(P799*0.15)+(Q799*0.10)+(R799*0.10)+(S799*0.05),2)</f>
        <v/>
      </c>
      <c r="U799">
        <f>IF(T799&gt;=4.25,"Critical",IF(T799&gt;=3.5,"High",IF(T799&gt;=2,"Medium","Low")))</f>
        <v/>
      </c>
    </row>
    <row r="800">
      <c r="R800">
        <f>IFERROR(XLOOKUP(XLOOKUP(D800,tblReleaseChanges[Change_ID],tblReleaseChanges[Oracle_Severity],""),tblSeverityMap[Severity_Text],tblSeverityMap[Score],0),0)</f>
        <v/>
      </c>
      <c r="T800">
        <f>ROUND((M800*0.25)+(N800*0.20)+(O800*0.15)+(P800*0.15)+(Q800*0.10)+(R800*0.10)+(S800*0.05),2)</f>
        <v/>
      </c>
      <c r="U800">
        <f>IF(T800&gt;=4.25,"Critical",IF(T800&gt;=3.5,"High",IF(T800&gt;=2,"Medium","Low")))</f>
        <v/>
      </c>
    </row>
    <row r="801">
      <c r="R801">
        <f>IFERROR(XLOOKUP(XLOOKUP(D801,tblReleaseChanges[Change_ID],tblReleaseChanges[Oracle_Severity],""),tblSeverityMap[Severity_Text],tblSeverityMap[Score],0),0)</f>
        <v/>
      </c>
      <c r="T801">
        <f>ROUND((M801*0.25)+(N801*0.20)+(O801*0.15)+(P801*0.15)+(Q801*0.10)+(R801*0.10)+(S801*0.05),2)</f>
        <v/>
      </c>
      <c r="U801">
        <f>IF(T801&gt;=4.25,"Critical",IF(T801&gt;=3.5,"High",IF(T801&gt;=2,"Medium","Low")))</f>
        <v/>
      </c>
    </row>
    <row r="802">
      <c r="R802">
        <f>IFERROR(XLOOKUP(XLOOKUP(D802,tblReleaseChanges[Change_ID],tblReleaseChanges[Oracle_Severity],""),tblSeverityMap[Severity_Text],tblSeverityMap[Score],0),0)</f>
        <v/>
      </c>
      <c r="T802">
        <f>ROUND((M802*0.25)+(N802*0.20)+(O802*0.15)+(P802*0.15)+(Q802*0.10)+(R802*0.10)+(S802*0.05),2)</f>
        <v/>
      </c>
      <c r="U802">
        <f>IF(T802&gt;=4.25,"Critical",IF(T802&gt;=3.5,"High",IF(T802&gt;=2,"Medium","Low")))</f>
        <v/>
      </c>
    </row>
    <row r="803">
      <c r="R803">
        <f>IFERROR(XLOOKUP(XLOOKUP(D803,tblReleaseChanges[Change_ID],tblReleaseChanges[Oracle_Severity],""),tblSeverityMap[Severity_Text],tblSeverityMap[Score],0),0)</f>
        <v/>
      </c>
      <c r="T803">
        <f>ROUND((M803*0.25)+(N803*0.20)+(O803*0.15)+(P803*0.15)+(Q803*0.10)+(R803*0.10)+(S803*0.05),2)</f>
        <v/>
      </c>
      <c r="U803">
        <f>IF(T803&gt;=4.25,"Critical",IF(T803&gt;=3.5,"High",IF(T803&gt;=2,"Medium","Low")))</f>
        <v/>
      </c>
    </row>
    <row r="804">
      <c r="R804">
        <f>IFERROR(XLOOKUP(XLOOKUP(D804,tblReleaseChanges[Change_ID],tblReleaseChanges[Oracle_Severity],""),tblSeverityMap[Severity_Text],tblSeverityMap[Score],0),0)</f>
        <v/>
      </c>
      <c r="T804">
        <f>ROUND((M804*0.25)+(N804*0.20)+(O804*0.15)+(P804*0.15)+(Q804*0.10)+(R804*0.10)+(S804*0.05),2)</f>
        <v/>
      </c>
      <c r="U804">
        <f>IF(T804&gt;=4.25,"Critical",IF(T804&gt;=3.5,"High",IF(T804&gt;=2,"Medium","Low")))</f>
        <v/>
      </c>
    </row>
    <row r="805">
      <c r="R805">
        <f>IFERROR(XLOOKUP(XLOOKUP(D805,tblReleaseChanges[Change_ID],tblReleaseChanges[Oracle_Severity],""),tblSeverityMap[Severity_Text],tblSeverityMap[Score],0),0)</f>
        <v/>
      </c>
      <c r="T805">
        <f>ROUND((M805*0.25)+(N805*0.20)+(O805*0.15)+(P805*0.15)+(Q805*0.10)+(R805*0.10)+(S805*0.05),2)</f>
        <v/>
      </c>
      <c r="U805">
        <f>IF(T805&gt;=4.25,"Critical",IF(T805&gt;=3.5,"High",IF(T805&gt;=2,"Medium","Low")))</f>
        <v/>
      </c>
    </row>
    <row r="806">
      <c r="R806">
        <f>IFERROR(XLOOKUP(XLOOKUP(D806,tblReleaseChanges[Change_ID],tblReleaseChanges[Oracle_Severity],""),tblSeverityMap[Severity_Text],tblSeverityMap[Score],0),0)</f>
        <v/>
      </c>
      <c r="T806">
        <f>ROUND((M806*0.25)+(N806*0.20)+(O806*0.15)+(P806*0.15)+(Q806*0.10)+(R806*0.10)+(S806*0.05),2)</f>
        <v/>
      </c>
      <c r="U806">
        <f>IF(T806&gt;=4.25,"Critical",IF(T806&gt;=3.5,"High",IF(T806&gt;=2,"Medium","Low")))</f>
        <v/>
      </c>
    </row>
    <row r="807">
      <c r="R807">
        <f>IFERROR(XLOOKUP(XLOOKUP(D807,tblReleaseChanges[Change_ID],tblReleaseChanges[Oracle_Severity],""),tblSeverityMap[Severity_Text],tblSeverityMap[Score],0),0)</f>
        <v/>
      </c>
      <c r="T807">
        <f>ROUND((M807*0.25)+(N807*0.20)+(O807*0.15)+(P807*0.15)+(Q807*0.10)+(R807*0.10)+(S807*0.05),2)</f>
        <v/>
      </c>
      <c r="U807">
        <f>IF(T807&gt;=4.25,"Critical",IF(T807&gt;=3.5,"High",IF(T807&gt;=2,"Medium","Low")))</f>
        <v/>
      </c>
    </row>
    <row r="808">
      <c r="R808">
        <f>IFERROR(XLOOKUP(XLOOKUP(D808,tblReleaseChanges[Change_ID],tblReleaseChanges[Oracle_Severity],""),tblSeverityMap[Severity_Text],tblSeverityMap[Score],0),0)</f>
        <v/>
      </c>
      <c r="T808">
        <f>ROUND((M808*0.25)+(N808*0.20)+(O808*0.15)+(P808*0.15)+(Q808*0.10)+(R808*0.10)+(S808*0.05),2)</f>
        <v/>
      </c>
      <c r="U808">
        <f>IF(T808&gt;=4.25,"Critical",IF(T808&gt;=3.5,"High",IF(T808&gt;=2,"Medium","Low")))</f>
        <v/>
      </c>
    </row>
    <row r="809">
      <c r="R809">
        <f>IFERROR(XLOOKUP(XLOOKUP(D809,tblReleaseChanges[Change_ID],tblReleaseChanges[Oracle_Severity],""),tblSeverityMap[Severity_Text],tblSeverityMap[Score],0),0)</f>
        <v/>
      </c>
      <c r="T809">
        <f>ROUND((M809*0.25)+(N809*0.20)+(O809*0.15)+(P809*0.15)+(Q809*0.10)+(R809*0.10)+(S809*0.05),2)</f>
        <v/>
      </c>
      <c r="U809">
        <f>IF(T809&gt;=4.25,"Critical",IF(T809&gt;=3.5,"High",IF(T809&gt;=2,"Medium","Low")))</f>
        <v/>
      </c>
    </row>
    <row r="810">
      <c r="R810">
        <f>IFERROR(XLOOKUP(XLOOKUP(D810,tblReleaseChanges[Change_ID],tblReleaseChanges[Oracle_Severity],""),tblSeverityMap[Severity_Text],tblSeverityMap[Score],0),0)</f>
        <v/>
      </c>
      <c r="T810">
        <f>ROUND((M810*0.25)+(N810*0.20)+(O810*0.15)+(P810*0.15)+(Q810*0.10)+(R810*0.10)+(S810*0.05),2)</f>
        <v/>
      </c>
      <c r="U810">
        <f>IF(T810&gt;=4.25,"Critical",IF(T810&gt;=3.5,"High",IF(T810&gt;=2,"Medium","Low")))</f>
        <v/>
      </c>
    </row>
    <row r="811">
      <c r="R811">
        <f>IFERROR(XLOOKUP(XLOOKUP(D811,tblReleaseChanges[Change_ID],tblReleaseChanges[Oracle_Severity],""),tblSeverityMap[Severity_Text],tblSeverityMap[Score],0),0)</f>
        <v/>
      </c>
      <c r="T811">
        <f>ROUND((M811*0.25)+(N811*0.20)+(O811*0.15)+(P811*0.15)+(Q811*0.10)+(R811*0.10)+(S811*0.05),2)</f>
        <v/>
      </c>
      <c r="U811">
        <f>IF(T811&gt;=4.25,"Critical",IF(T811&gt;=3.5,"High",IF(T811&gt;=2,"Medium","Low")))</f>
        <v/>
      </c>
    </row>
    <row r="812">
      <c r="R812">
        <f>IFERROR(XLOOKUP(XLOOKUP(D812,tblReleaseChanges[Change_ID],tblReleaseChanges[Oracle_Severity],""),tblSeverityMap[Severity_Text],tblSeverityMap[Score],0),0)</f>
        <v/>
      </c>
      <c r="T812">
        <f>ROUND((M812*0.25)+(N812*0.20)+(O812*0.15)+(P812*0.15)+(Q812*0.10)+(R812*0.10)+(S812*0.05),2)</f>
        <v/>
      </c>
      <c r="U812">
        <f>IF(T812&gt;=4.25,"Critical",IF(T812&gt;=3.5,"High",IF(T812&gt;=2,"Medium","Low")))</f>
        <v/>
      </c>
    </row>
    <row r="813">
      <c r="R813">
        <f>IFERROR(XLOOKUP(XLOOKUP(D813,tblReleaseChanges[Change_ID],tblReleaseChanges[Oracle_Severity],""),tblSeverityMap[Severity_Text],tblSeverityMap[Score],0),0)</f>
        <v/>
      </c>
      <c r="T813">
        <f>ROUND((M813*0.25)+(N813*0.20)+(O813*0.15)+(P813*0.15)+(Q813*0.10)+(R813*0.10)+(S813*0.05),2)</f>
        <v/>
      </c>
      <c r="U813">
        <f>IF(T813&gt;=4.25,"Critical",IF(T813&gt;=3.5,"High",IF(T813&gt;=2,"Medium","Low")))</f>
        <v/>
      </c>
    </row>
    <row r="814">
      <c r="R814">
        <f>IFERROR(XLOOKUP(XLOOKUP(D814,tblReleaseChanges[Change_ID],tblReleaseChanges[Oracle_Severity],""),tblSeverityMap[Severity_Text],tblSeverityMap[Score],0),0)</f>
        <v/>
      </c>
      <c r="T814">
        <f>ROUND((M814*0.25)+(N814*0.20)+(O814*0.15)+(P814*0.15)+(Q814*0.10)+(R814*0.10)+(S814*0.05),2)</f>
        <v/>
      </c>
      <c r="U814">
        <f>IF(T814&gt;=4.25,"Critical",IF(T814&gt;=3.5,"High",IF(T814&gt;=2,"Medium","Low")))</f>
        <v/>
      </c>
    </row>
    <row r="815">
      <c r="R815">
        <f>IFERROR(XLOOKUP(XLOOKUP(D815,tblReleaseChanges[Change_ID],tblReleaseChanges[Oracle_Severity],""),tblSeverityMap[Severity_Text],tblSeverityMap[Score],0),0)</f>
        <v/>
      </c>
      <c r="T815">
        <f>ROUND((M815*0.25)+(N815*0.20)+(O815*0.15)+(P815*0.15)+(Q815*0.10)+(R815*0.10)+(S815*0.05),2)</f>
        <v/>
      </c>
      <c r="U815">
        <f>IF(T815&gt;=4.25,"Critical",IF(T815&gt;=3.5,"High",IF(T815&gt;=2,"Medium","Low")))</f>
        <v/>
      </c>
    </row>
    <row r="816">
      <c r="R816">
        <f>IFERROR(XLOOKUP(XLOOKUP(D816,tblReleaseChanges[Change_ID],tblReleaseChanges[Oracle_Severity],""),tblSeverityMap[Severity_Text],tblSeverityMap[Score],0),0)</f>
        <v/>
      </c>
      <c r="T816">
        <f>ROUND((M816*0.25)+(N816*0.20)+(O816*0.15)+(P816*0.15)+(Q816*0.10)+(R816*0.10)+(S816*0.05),2)</f>
        <v/>
      </c>
      <c r="U816">
        <f>IF(T816&gt;=4.25,"Critical",IF(T816&gt;=3.5,"High",IF(T816&gt;=2,"Medium","Low")))</f>
        <v/>
      </c>
    </row>
    <row r="817">
      <c r="R817">
        <f>IFERROR(XLOOKUP(XLOOKUP(D817,tblReleaseChanges[Change_ID],tblReleaseChanges[Oracle_Severity],""),tblSeverityMap[Severity_Text],tblSeverityMap[Score],0),0)</f>
        <v/>
      </c>
      <c r="T817">
        <f>ROUND((M817*0.25)+(N817*0.20)+(O817*0.15)+(P817*0.15)+(Q817*0.10)+(R817*0.10)+(S817*0.05),2)</f>
        <v/>
      </c>
      <c r="U817">
        <f>IF(T817&gt;=4.25,"Critical",IF(T817&gt;=3.5,"High",IF(T817&gt;=2,"Medium","Low")))</f>
        <v/>
      </c>
    </row>
    <row r="818">
      <c r="R818">
        <f>IFERROR(XLOOKUP(XLOOKUP(D818,tblReleaseChanges[Change_ID],tblReleaseChanges[Oracle_Severity],""),tblSeverityMap[Severity_Text],tblSeverityMap[Score],0),0)</f>
        <v/>
      </c>
      <c r="T818">
        <f>ROUND((M818*0.25)+(N818*0.20)+(O818*0.15)+(P818*0.15)+(Q818*0.10)+(R818*0.10)+(S818*0.05),2)</f>
        <v/>
      </c>
      <c r="U818">
        <f>IF(T818&gt;=4.25,"Critical",IF(T818&gt;=3.5,"High",IF(T818&gt;=2,"Medium","Low")))</f>
        <v/>
      </c>
    </row>
    <row r="819">
      <c r="R819">
        <f>IFERROR(XLOOKUP(XLOOKUP(D819,tblReleaseChanges[Change_ID],tblReleaseChanges[Oracle_Severity],""),tblSeverityMap[Severity_Text],tblSeverityMap[Score],0),0)</f>
        <v/>
      </c>
      <c r="T819">
        <f>ROUND((M819*0.25)+(N819*0.20)+(O819*0.15)+(P819*0.15)+(Q819*0.10)+(R819*0.10)+(S819*0.05),2)</f>
        <v/>
      </c>
      <c r="U819">
        <f>IF(T819&gt;=4.25,"Critical",IF(T819&gt;=3.5,"High",IF(T819&gt;=2,"Medium","Low")))</f>
        <v/>
      </c>
    </row>
    <row r="820">
      <c r="R820">
        <f>IFERROR(XLOOKUP(XLOOKUP(D820,tblReleaseChanges[Change_ID],tblReleaseChanges[Oracle_Severity],""),tblSeverityMap[Severity_Text],tblSeverityMap[Score],0),0)</f>
        <v/>
      </c>
      <c r="T820">
        <f>ROUND((M820*0.25)+(N820*0.20)+(O820*0.15)+(P820*0.15)+(Q820*0.10)+(R820*0.10)+(S820*0.05),2)</f>
        <v/>
      </c>
      <c r="U820">
        <f>IF(T820&gt;=4.25,"Critical",IF(T820&gt;=3.5,"High",IF(T820&gt;=2,"Medium","Low")))</f>
        <v/>
      </c>
    </row>
    <row r="821">
      <c r="R821">
        <f>IFERROR(XLOOKUP(XLOOKUP(D821,tblReleaseChanges[Change_ID],tblReleaseChanges[Oracle_Severity],""),tblSeverityMap[Severity_Text],tblSeverityMap[Score],0),0)</f>
        <v/>
      </c>
      <c r="T821">
        <f>ROUND((M821*0.25)+(N821*0.20)+(O821*0.15)+(P821*0.15)+(Q821*0.10)+(R821*0.10)+(S821*0.05),2)</f>
        <v/>
      </c>
      <c r="U821">
        <f>IF(T821&gt;=4.25,"Critical",IF(T821&gt;=3.5,"High",IF(T821&gt;=2,"Medium","Low")))</f>
        <v/>
      </c>
    </row>
    <row r="822">
      <c r="R822">
        <f>IFERROR(XLOOKUP(XLOOKUP(D822,tblReleaseChanges[Change_ID],tblReleaseChanges[Oracle_Severity],""),tblSeverityMap[Severity_Text],tblSeverityMap[Score],0),0)</f>
        <v/>
      </c>
      <c r="T822">
        <f>ROUND((M822*0.25)+(N822*0.20)+(O822*0.15)+(P822*0.15)+(Q822*0.10)+(R822*0.10)+(S822*0.05),2)</f>
        <v/>
      </c>
      <c r="U822">
        <f>IF(T822&gt;=4.25,"Critical",IF(T822&gt;=3.5,"High",IF(T822&gt;=2,"Medium","Low")))</f>
        <v/>
      </c>
    </row>
    <row r="823">
      <c r="R823">
        <f>IFERROR(XLOOKUP(XLOOKUP(D823,tblReleaseChanges[Change_ID],tblReleaseChanges[Oracle_Severity],""),tblSeverityMap[Severity_Text],tblSeverityMap[Score],0),0)</f>
        <v/>
      </c>
      <c r="T823">
        <f>ROUND((M823*0.25)+(N823*0.20)+(O823*0.15)+(P823*0.15)+(Q823*0.10)+(R823*0.10)+(S823*0.05),2)</f>
        <v/>
      </c>
      <c r="U823">
        <f>IF(T823&gt;=4.25,"Critical",IF(T823&gt;=3.5,"High",IF(T823&gt;=2,"Medium","Low")))</f>
        <v/>
      </c>
    </row>
    <row r="824">
      <c r="R824">
        <f>IFERROR(XLOOKUP(XLOOKUP(D824,tblReleaseChanges[Change_ID],tblReleaseChanges[Oracle_Severity],""),tblSeverityMap[Severity_Text],tblSeverityMap[Score],0),0)</f>
        <v/>
      </c>
      <c r="T824">
        <f>ROUND((M824*0.25)+(N824*0.20)+(O824*0.15)+(P824*0.15)+(Q824*0.10)+(R824*0.10)+(S824*0.05),2)</f>
        <v/>
      </c>
      <c r="U824">
        <f>IF(T824&gt;=4.25,"Critical",IF(T824&gt;=3.5,"High",IF(T824&gt;=2,"Medium","Low")))</f>
        <v/>
      </c>
    </row>
    <row r="825">
      <c r="R825">
        <f>IFERROR(XLOOKUP(XLOOKUP(D825,tblReleaseChanges[Change_ID],tblReleaseChanges[Oracle_Severity],""),tblSeverityMap[Severity_Text],tblSeverityMap[Score],0),0)</f>
        <v/>
      </c>
      <c r="T825">
        <f>ROUND((M825*0.25)+(N825*0.20)+(O825*0.15)+(P825*0.15)+(Q825*0.10)+(R825*0.10)+(S825*0.05),2)</f>
        <v/>
      </c>
      <c r="U825">
        <f>IF(T825&gt;=4.25,"Critical",IF(T825&gt;=3.5,"High",IF(T825&gt;=2,"Medium","Low")))</f>
        <v/>
      </c>
    </row>
    <row r="826">
      <c r="R826">
        <f>IFERROR(XLOOKUP(XLOOKUP(D826,tblReleaseChanges[Change_ID],tblReleaseChanges[Oracle_Severity],""),tblSeverityMap[Severity_Text],tblSeverityMap[Score],0),0)</f>
        <v/>
      </c>
      <c r="T826">
        <f>ROUND((M826*0.25)+(N826*0.20)+(O826*0.15)+(P826*0.15)+(Q826*0.10)+(R826*0.10)+(S826*0.05),2)</f>
        <v/>
      </c>
      <c r="U826">
        <f>IF(T826&gt;=4.25,"Critical",IF(T826&gt;=3.5,"High",IF(T826&gt;=2,"Medium","Low")))</f>
        <v/>
      </c>
    </row>
    <row r="827">
      <c r="R827">
        <f>IFERROR(XLOOKUP(XLOOKUP(D827,tblReleaseChanges[Change_ID],tblReleaseChanges[Oracle_Severity],""),tblSeverityMap[Severity_Text],tblSeverityMap[Score],0),0)</f>
        <v/>
      </c>
      <c r="T827">
        <f>ROUND((M827*0.25)+(N827*0.20)+(O827*0.15)+(P827*0.15)+(Q827*0.10)+(R827*0.10)+(S827*0.05),2)</f>
        <v/>
      </c>
      <c r="U827">
        <f>IF(T827&gt;=4.25,"Critical",IF(T827&gt;=3.5,"High",IF(T827&gt;=2,"Medium","Low")))</f>
        <v/>
      </c>
    </row>
    <row r="828">
      <c r="R828">
        <f>IFERROR(XLOOKUP(XLOOKUP(D828,tblReleaseChanges[Change_ID],tblReleaseChanges[Oracle_Severity],""),tblSeverityMap[Severity_Text],tblSeverityMap[Score],0),0)</f>
        <v/>
      </c>
      <c r="T828">
        <f>ROUND((M828*0.25)+(N828*0.20)+(O828*0.15)+(P828*0.15)+(Q828*0.10)+(R828*0.10)+(S828*0.05),2)</f>
        <v/>
      </c>
      <c r="U828">
        <f>IF(T828&gt;=4.25,"Critical",IF(T828&gt;=3.5,"High",IF(T828&gt;=2,"Medium","Low")))</f>
        <v/>
      </c>
    </row>
    <row r="829">
      <c r="R829">
        <f>IFERROR(XLOOKUP(XLOOKUP(D829,tblReleaseChanges[Change_ID],tblReleaseChanges[Oracle_Severity],""),tblSeverityMap[Severity_Text],tblSeverityMap[Score],0),0)</f>
        <v/>
      </c>
      <c r="T829">
        <f>ROUND((M829*0.25)+(N829*0.20)+(O829*0.15)+(P829*0.15)+(Q829*0.10)+(R829*0.10)+(S829*0.05),2)</f>
        <v/>
      </c>
      <c r="U829">
        <f>IF(T829&gt;=4.25,"Critical",IF(T829&gt;=3.5,"High",IF(T829&gt;=2,"Medium","Low")))</f>
        <v/>
      </c>
    </row>
    <row r="830">
      <c r="R830">
        <f>IFERROR(XLOOKUP(XLOOKUP(D830,tblReleaseChanges[Change_ID],tblReleaseChanges[Oracle_Severity],""),tblSeverityMap[Severity_Text],tblSeverityMap[Score],0),0)</f>
        <v/>
      </c>
      <c r="T830">
        <f>ROUND((M830*0.25)+(N830*0.20)+(O830*0.15)+(P830*0.15)+(Q830*0.10)+(R830*0.10)+(S830*0.05),2)</f>
        <v/>
      </c>
      <c r="U830">
        <f>IF(T830&gt;=4.25,"Critical",IF(T830&gt;=3.5,"High",IF(T830&gt;=2,"Medium","Low")))</f>
        <v/>
      </c>
    </row>
    <row r="831">
      <c r="R831">
        <f>IFERROR(XLOOKUP(XLOOKUP(D831,tblReleaseChanges[Change_ID],tblReleaseChanges[Oracle_Severity],""),tblSeverityMap[Severity_Text],tblSeverityMap[Score],0),0)</f>
        <v/>
      </c>
      <c r="T831">
        <f>ROUND((M831*0.25)+(N831*0.20)+(O831*0.15)+(P831*0.15)+(Q831*0.10)+(R831*0.10)+(S831*0.05),2)</f>
        <v/>
      </c>
      <c r="U831">
        <f>IF(T831&gt;=4.25,"Critical",IF(T831&gt;=3.5,"High",IF(T831&gt;=2,"Medium","Low")))</f>
        <v/>
      </c>
    </row>
    <row r="832">
      <c r="R832">
        <f>IFERROR(XLOOKUP(XLOOKUP(D832,tblReleaseChanges[Change_ID],tblReleaseChanges[Oracle_Severity],""),tblSeverityMap[Severity_Text],tblSeverityMap[Score],0),0)</f>
        <v/>
      </c>
      <c r="T832">
        <f>ROUND((M832*0.25)+(N832*0.20)+(O832*0.15)+(P832*0.15)+(Q832*0.10)+(R832*0.10)+(S832*0.05),2)</f>
        <v/>
      </c>
      <c r="U832">
        <f>IF(T832&gt;=4.25,"Critical",IF(T832&gt;=3.5,"High",IF(T832&gt;=2,"Medium","Low")))</f>
        <v/>
      </c>
    </row>
    <row r="833">
      <c r="R833">
        <f>IFERROR(XLOOKUP(XLOOKUP(D833,tblReleaseChanges[Change_ID],tblReleaseChanges[Oracle_Severity],""),tblSeverityMap[Severity_Text],tblSeverityMap[Score],0),0)</f>
        <v/>
      </c>
      <c r="T833">
        <f>ROUND((M833*0.25)+(N833*0.20)+(O833*0.15)+(P833*0.15)+(Q833*0.10)+(R833*0.10)+(S833*0.05),2)</f>
        <v/>
      </c>
      <c r="U833">
        <f>IF(T833&gt;=4.25,"Critical",IF(T833&gt;=3.5,"High",IF(T833&gt;=2,"Medium","Low")))</f>
        <v/>
      </c>
    </row>
    <row r="834">
      <c r="R834">
        <f>IFERROR(XLOOKUP(XLOOKUP(D834,tblReleaseChanges[Change_ID],tblReleaseChanges[Oracle_Severity],""),tblSeverityMap[Severity_Text],tblSeverityMap[Score],0),0)</f>
        <v/>
      </c>
      <c r="T834">
        <f>ROUND((M834*0.25)+(N834*0.20)+(O834*0.15)+(P834*0.15)+(Q834*0.10)+(R834*0.10)+(S834*0.05),2)</f>
        <v/>
      </c>
      <c r="U834">
        <f>IF(T834&gt;=4.25,"Critical",IF(T834&gt;=3.5,"High",IF(T834&gt;=2,"Medium","Low")))</f>
        <v/>
      </c>
    </row>
    <row r="835">
      <c r="R835">
        <f>IFERROR(XLOOKUP(XLOOKUP(D835,tblReleaseChanges[Change_ID],tblReleaseChanges[Oracle_Severity],""),tblSeverityMap[Severity_Text],tblSeverityMap[Score],0),0)</f>
        <v/>
      </c>
      <c r="T835">
        <f>ROUND((M835*0.25)+(N835*0.20)+(O835*0.15)+(P835*0.15)+(Q835*0.10)+(R835*0.10)+(S835*0.05),2)</f>
        <v/>
      </c>
      <c r="U835">
        <f>IF(T835&gt;=4.25,"Critical",IF(T835&gt;=3.5,"High",IF(T835&gt;=2,"Medium","Low")))</f>
        <v/>
      </c>
    </row>
    <row r="836">
      <c r="R836">
        <f>IFERROR(XLOOKUP(XLOOKUP(D836,tblReleaseChanges[Change_ID],tblReleaseChanges[Oracle_Severity],""),tblSeverityMap[Severity_Text],tblSeverityMap[Score],0),0)</f>
        <v/>
      </c>
      <c r="T836">
        <f>ROUND((M836*0.25)+(N836*0.20)+(O836*0.15)+(P836*0.15)+(Q836*0.10)+(R836*0.10)+(S836*0.05),2)</f>
        <v/>
      </c>
      <c r="U836">
        <f>IF(T836&gt;=4.25,"Critical",IF(T836&gt;=3.5,"High",IF(T836&gt;=2,"Medium","Low")))</f>
        <v/>
      </c>
    </row>
    <row r="837">
      <c r="R837">
        <f>IFERROR(XLOOKUP(XLOOKUP(D837,tblReleaseChanges[Change_ID],tblReleaseChanges[Oracle_Severity],""),tblSeverityMap[Severity_Text],tblSeverityMap[Score],0),0)</f>
        <v/>
      </c>
      <c r="T837">
        <f>ROUND((M837*0.25)+(N837*0.20)+(O837*0.15)+(P837*0.15)+(Q837*0.10)+(R837*0.10)+(S837*0.05),2)</f>
        <v/>
      </c>
      <c r="U837">
        <f>IF(T837&gt;=4.25,"Critical",IF(T837&gt;=3.5,"High",IF(T837&gt;=2,"Medium","Low")))</f>
        <v/>
      </c>
    </row>
    <row r="838">
      <c r="R838">
        <f>IFERROR(XLOOKUP(XLOOKUP(D838,tblReleaseChanges[Change_ID],tblReleaseChanges[Oracle_Severity],""),tblSeverityMap[Severity_Text],tblSeverityMap[Score],0),0)</f>
        <v/>
      </c>
      <c r="T838">
        <f>ROUND((M838*0.25)+(N838*0.20)+(O838*0.15)+(P838*0.15)+(Q838*0.10)+(R838*0.10)+(S838*0.05),2)</f>
        <v/>
      </c>
      <c r="U838">
        <f>IF(T838&gt;=4.25,"Critical",IF(T838&gt;=3.5,"High",IF(T838&gt;=2,"Medium","Low")))</f>
        <v/>
      </c>
    </row>
    <row r="839">
      <c r="R839">
        <f>IFERROR(XLOOKUP(XLOOKUP(D839,tblReleaseChanges[Change_ID],tblReleaseChanges[Oracle_Severity],""),tblSeverityMap[Severity_Text],tblSeverityMap[Score],0),0)</f>
        <v/>
      </c>
      <c r="T839">
        <f>ROUND((M839*0.25)+(N839*0.20)+(O839*0.15)+(P839*0.15)+(Q839*0.10)+(R839*0.10)+(S839*0.05),2)</f>
        <v/>
      </c>
      <c r="U839">
        <f>IF(T839&gt;=4.25,"Critical",IF(T839&gt;=3.5,"High",IF(T839&gt;=2,"Medium","Low")))</f>
        <v/>
      </c>
    </row>
    <row r="840">
      <c r="R840">
        <f>IFERROR(XLOOKUP(XLOOKUP(D840,tblReleaseChanges[Change_ID],tblReleaseChanges[Oracle_Severity],""),tblSeverityMap[Severity_Text],tblSeverityMap[Score],0),0)</f>
        <v/>
      </c>
      <c r="T840">
        <f>ROUND((M840*0.25)+(N840*0.20)+(O840*0.15)+(P840*0.15)+(Q840*0.10)+(R840*0.10)+(S840*0.05),2)</f>
        <v/>
      </c>
      <c r="U840">
        <f>IF(T840&gt;=4.25,"Critical",IF(T840&gt;=3.5,"High",IF(T840&gt;=2,"Medium","Low")))</f>
        <v/>
      </c>
    </row>
    <row r="841">
      <c r="R841">
        <f>IFERROR(XLOOKUP(XLOOKUP(D841,tblReleaseChanges[Change_ID],tblReleaseChanges[Oracle_Severity],""),tblSeverityMap[Severity_Text],tblSeverityMap[Score],0),0)</f>
        <v/>
      </c>
      <c r="T841">
        <f>ROUND((M841*0.25)+(N841*0.20)+(O841*0.15)+(P841*0.15)+(Q841*0.10)+(R841*0.10)+(S841*0.05),2)</f>
        <v/>
      </c>
      <c r="U841">
        <f>IF(T841&gt;=4.25,"Critical",IF(T841&gt;=3.5,"High",IF(T841&gt;=2,"Medium","Low")))</f>
        <v/>
      </c>
    </row>
    <row r="842">
      <c r="R842">
        <f>IFERROR(XLOOKUP(XLOOKUP(D842,tblReleaseChanges[Change_ID],tblReleaseChanges[Oracle_Severity],""),tblSeverityMap[Severity_Text],tblSeverityMap[Score],0),0)</f>
        <v/>
      </c>
      <c r="T842">
        <f>ROUND((M842*0.25)+(N842*0.20)+(O842*0.15)+(P842*0.15)+(Q842*0.10)+(R842*0.10)+(S842*0.05),2)</f>
        <v/>
      </c>
      <c r="U842">
        <f>IF(T842&gt;=4.25,"Critical",IF(T842&gt;=3.5,"High",IF(T842&gt;=2,"Medium","Low")))</f>
        <v/>
      </c>
    </row>
    <row r="843">
      <c r="R843">
        <f>IFERROR(XLOOKUP(XLOOKUP(D843,tblReleaseChanges[Change_ID],tblReleaseChanges[Oracle_Severity],""),tblSeverityMap[Severity_Text],tblSeverityMap[Score],0),0)</f>
        <v/>
      </c>
      <c r="T843">
        <f>ROUND((M843*0.25)+(N843*0.20)+(O843*0.15)+(P843*0.15)+(Q843*0.10)+(R843*0.10)+(S843*0.05),2)</f>
        <v/>
      </c>
      <c r="U843">
        <f>IF(T843&gt;=4.25,"Critical",IF(T843&gt;=3.5,"High",IF(T843&gt;=2,"Medium","Low")))</f>
        <v/>
      </c>
    </row>
    <row r="844">
      <c r="R844">
        <f>IFERROR(XLOOKUP(XLOOKUP(D844,tblReleaseChanges[Change_ID],tblReleaseChanges[Oracle_Severity],""),tblSeverityMap[Severity_Text],tblSeverityMap[Score],0),0)</f>
        <v/>
      </c>
      <c r="T844">
        <f>ROUND((M844*0.25)+(N844*0.20)+(O844*0.15)+(P844*0.15)+(Q844*0.10)+(R844*0.10)+(S844*0.05),2)</f>
        <v/>
      </c>
      <c r="U844">
        <f>IF(T844&gt;=4.25,"Critical",IF(T844&gt;=3.5,"High",IF(T844&gt;=2,"Medium","Low")))</f>
        <v/>
      </c>
    </row>
    <row r="845">
      <c r="R845">
        <f>IFERROR(XLOOKUP(XLOOKUP(D845,tblReleaseChanges[Change_ID],tblReleaseChanges[Oracle_Severity],""),tblSeverityMap[Severity_Text],tblSeverityMap[Score],0),0)</f>
        <v/>
      </c>
      <c r="T845">
        <f>ROUND((M845*0.25)+(N845*0.20)+(O845*0.15)+(P845*0.15)+(Q845*0.10)+(R845*0.10)+(S845*0.05),2)</f>
        <v/>
      </c>
      <c r="U845">
        <f>IF(T845&gt;=4.25,"Critical",IF(T845&gt;=3.5,"High",IF(T845&gt;=2,"Medium","Low")))</f>
        <v/>
      </c>
    </row>
    <row r="846">
      <c r="R846">
        <f>IFERROR(XLOOKUP(XLOOKUP(D846,tblReleaseChanges[Change_ID],tblReleaseChanges[Oracle_Severity],""),tblSeverityMap[Severity_Text],tblSeverityMap[Score],0),0)</f>
        <v/>
      </c>
      <c r="T846">
        <f>ROUND((M846*0.25)+(N846*0.20)+(O846*0.15)+(P846*0.15)+(Q846*0.10)+(R846*0.10)+(S846*0.05),2)</f>
        <v/>
      </c>
      <c r="U846">
        <f>IF(T846&gt;=4.25,"Critical",IF(T846&gt;=3.5,"High",IF(T846&gt;=2,"Medium","Low")))</f>
        <v/>
      </c>
    </row>
    <row r="847">
      <c r="R847">
        <f>IFERROR(XLOOKUP(XLOOKUP(D847,tblReleaseChanges[Change_ID],tblReleaseChanges[Oracle_Severity],""),tblSeverityMap[Severity_Text],tblSeverityMap[Score],0),0)</f>
        <v/>
      </c>
      <c r="T847">
        <f>ROUND((M847*0.25)+(N847*0.20)+(O847*0.15)+(P847*0.15)+(Q847*0.10)+(R847*0.10)+(S847*0.05),2)</f>
        <v/>
      </c>
      <c r="U847">
        <f>IF(T847&gt;=4.25,"Critical",IF(T847&gt;=3.5,"High",IF(T847&gt;=2,"Medium","Low")))</f>
        <v/>
      </c>
    </row>
    <row r="848">
      <c r="R848">
        <f>IFERROR(XLOOKUP(XLOOKUP(D848,tblReleaseChanges[Change_ID],tblReleaseChanges[Oracle_Severity],""),tblSeverityMap[Severity_Text],tblSeverityMap[Score],0),0)</f>
        <v/>
      </c>
      <c r="T848">
        <f>ROUND((M848*0.25)+(N848*0.20)+(O848*0.15)+(P848*0.15)+(Q848*0.10)+(R848*0.10)+(S848*0.05),2)</f>
        <v/>
      </c>
      <c r="U848">
        <f>IF(T848&gt;=4.25,"Critical",IF(T848&gt;=3.5,"High",IF(T848&gt;=2,"Medium","Low")))</f>
        <v/>
      </c>
    </row>
    <row r="849">
      <c r="R849">
        <f>IFERROR(XLOOKUP(XLOOKUP(D849,tblReleaseChanges[Change_ID],tblReleaseChanges[Oracle_Severity],""),tblSeverityMap[Severity_Text],tblSeverityMap[Score],0),0)</f>
        <v/>
      </c>
      <c r="T849">
        <f>ROUND((M849*0.25)+(N849*0.20)+(O849*0.15)+(P849*0.15)+(Q849*0.10)+(R849*0.10)+(S849*0.05),2)</f>
        <v/>
      </c>
      <c r="U849">
        <f>IF(T849&gt;=4.25,"Critical",IF(T849&gt;=3.5,"High",IF(T849&gt;=2,"Medium","Low")))</f>
        <v/>
      </c>
    </row>
    <row r="850">
      <c r="R850">
        <f>IFERROR(XLOOKUP(XLOOKUP(D850,tblReleaseChanges[Change_ID],tblReleaseChanges[Oracle_Severity],""),tblSeverityMap[Severity_Text],tblSeverityMap[Score],0),0)</f>
        <v/>
      </c>
      <c r="T850">
        <f>ROUND((M850*0.25)+(N850*0.20)+(O850*0.15)+(P850*0.15)+(Q850*0.10)+(R850*0.10)+(S850*0.05),2)</f>
        <v/>
      </c>
      <c r="U850">
        <f>IF(T850&gt;=4.25,"Critical",IF(T850&gt;=3.5,"High",IF(T850&gt;=2,"Medium","Low")))</f>
        <v/>
      </c>
    </row>
    <row r="851">
      <c r="R851">
        <f>IFERROR(XLOOKUP(XLOOKUP(D851,tblReleaseChanges[Change_ID],tblReleaseChanges[Oracle_Severity],""),tblSeverityMap[Severity_Text],tblSeverityMap[Score],0),0)</f>
        <v/>
      </c>
      <c r="T851">
        <f>ROUND((M851*0.25)+(N851*0.20)+(O851*0.15)+(P851*0.15)+(Q851*0.10)+(R851*0.10)+(S851*0.05),2)</f>
        <v/>
      </c>
      <c r="U851">
        <f>IF(T851&gt;=4.25,"Critical",IF(T851&gt;=3.5,"High",IF(T851&gt;=2,"Medium","Low")))</f>
        <v/>
      </c>
    </row>
    <row r="852">
      <c r="R852">
        <f>IFERROR(XLOOKUP(XLOOKUP(D852,tblReleaseChanges[Change_ID],tblReleaseChanges[Oracle_Severity],""),tblSeverityMap[Severity_Text],tblSeverityMap[Score],0),0)</f>
        <v/>
      </c>
      <c r="T852">
        <f>ROUND((M852*0.25)+(N852*0.20)+(O852*0.15)+(P852*0.15)+(Q852*0.10)+(R852*0.10)+(S852*0.05),2)</f>
        <v/>
      </c>
      <c r="U852">
        <f>IF(T852&gt;=4.25,"Critical",IF(T852&gt;=3.5,"High",IF(T852&gt;=2,"Medium","Low")))</f>
        <v/>
      </c>
    </row>
    <row r="853">
      <c r="R853">
        <f>IFERROR(XLOOKUP(XLOOKUP(D853,tblReleaseChanges[Change_ID],tblReleaseChanges[Oracle_Severity],""),tblSeverityMap[Severity_Text],tblSeverityMap[Score],0),0)</f>
        <v/>
      </c>
      <c r="T853">
        <f>ROUND((M853*0.25)+(N853*0.20)+(O853*0.15)+(P853*0.15)+(Q853*0.10)+(R853*0.10)+(S853*0.05),2)</f>
        <v/>
      </c>
      <c r="U853">
        <f>IF(T853&gt;=4.25,"Critical",IF(T853&gt;=3.5,"High",IF(T853&gt;=2,"Medium","Low")))</f>
        <v/>
      </c>
    </row>
    <row r="854">
      <c r="R854">
        <f>IFERROR(XLOOKUP(XLOOKUP(D854,tblReleaseChanges[Change_ID],tblReleaseChanges[Oracle_Severity],""),tblSeverityMap[Severity_Text],tblSeverityMap[Score],0),0)</f>
        <v/>
      </c>
      <c r="T854">
        <f>ROUND((M854*0.25)+(N854*0.20)+(O854*0.15)+(P854*0.15)+(Q854*0.10)+(R854*0.10)+(S854*0.05),2)</f>
        <v/>
      </c>
      <c r="U854">
        <f>IF(T854&gt;=4.25,"Critical",IF(T854&gt;=3.5,"High",IF(T854&gt;=2,"Medium","Low")))</f>
        <v/>
      </c>
    </row>
    <row r="855">
      <c r="R855">
        <f>IFERROR(XLOOKUP(XLOOKUP(D855,tblReleaseChanges[Change_ID],tblReleaseChanges[Oracle_Severity],""),tblSeverityMap[Severity_Text],tblSeverityMap[Score],0),0)</f>
        <v/>
      </c>
      <c r="T855">
        <f>ROUND((M855*0.25)+(N855*0.20)+(O855*0.15)+(P855*0.15)+(Q855*0.10)+(R855*0.10)+(S855*0.05),2)</f>
        <v/>
      </c>
      <c r="U855">
        <f>IF(T855&gt;=4.25,"Critical",IF(T855&gt;=3.5,"High",IF(T855&gt;=2,"Medium","Low")))</f>
        <v/>
      </c>
    </row>
    <row r="856">
      <c r="R856">
        <f>IFERROR(XLOOKUP(XLOOKUP(D856,tblReleaseChanges[Change_ID],tblReleaseChanges[Oracle_Severity],""),tblSeverityMap[Severity_Text],tblSeverityMap[Score],0),0)</f>
        <v/>
      </c>
      <c r="T856">
        <f>ROUND((M856*0.25)+(N856*0.20)+(O856*0.15)+(P856*0.15)+(Q856*0.10)+(R856*0.10)+(S856*0.05),2)</f>
        <v/>
      </c>
      <c r="U856">
        <f>IF(T856&gt;=4.25,"Critical",IF(T856&gt;=3.5,"High",IF(T856&gt;=2,"Medium","Low")))</f>
        <v/>
      </c>
    </row>
    <row r="857">
      <c r="R857">
        <f>IFERROR(XLOOKUP(XLOOKUP(D857,tblReleaseChanges[Change_ID],tblReleaseChanges[Oracle_Severity],""),tblSeverityMap[Severity_Text],tblSeverityMap[Score],0),0)</f>
        <v/>
      </c>
      <c r="T857">
        <f>ROUND((M857*0.25)+(N857*0.20)+(O857*0.15)+(P857*0.15)+(Q857*0.10)+(R857*0.10)+(S857*0.05),2)</f>
        <v/>
      </c>
      <c r="U857">
        <f>IF(T857&gt;=4.25,"Critical",IF(T857&gt;=3.5,"High",IF(T857&gt;=2,"Medium","Low")))</f>
        <v/>
      </c>
    </row>
    <row r="858">
      <c r="R858">
        <f>IFERROR(XLOOKUP(XLOOKUP(D858,tblReleaseChanges[Change_ID],tblReleaseChanges[Oracle_Severity],""),tblSeverityMap[Severity_Text],tblSeverityMap[Score],0),0)</f>
        <v/>
      </c>
      <c r="T858">
        <f>ROUND((M858*0.25)+(N858*0.20)+(O858*0.15)+(P858*0.15)+(Q858*0.10)+(R858*0.10)+(S858*0.05),2)</f>
        <v/>
      </c>
      <c r="U858">
        <f>IF(T858&gt;=4.25,"Critical",IF(T858&gt;=3.5,"High",IF(T858&gt;=2,"Medium","Low")))</f>
        <v/>
      </c>
    </row>
    <row r="859">
      <c r="R859">
        <f>IFERROR(XLOOKUP(XLOOKUP(D859,tblReleaseChanges[Change_ID],tblReleaseChanges[Oracle_Severity],""),tblSeverityMap[Severity_Text],tblSeverityMap[Score],0),0)</f>
        <v/>
      </c>
      <c r="T859">
        <f>ROUND((M859*0.25)+(N859*0.20)+(O859*0.15)+(P859*0.15)+(Q859*0.10)+(R859*0.10)+(S859*0.05),2)</f>
        <v/>
      </c>
      <c r="U859">
        <f>IF(T859&gt;=4.25,"Critical",IF(T859&gt;=3.5,"High",IF(T859&gt;=2,"Medium","Low")))</f>
        <v/>
      </c>
    </row>
    <row r="860">
      <c r="R860">
        <f>IFERROR(XLOOKUP(XLOOKUP(D860,tblReleaseChanges[Change_ID],tblReleaseChanges[Oracle_Severity],""),tblSeverityMap[Severity_Text],tblSeverityMap[Score],0),0)</f>
        <v/>
      </c>
      <c r="T860">
        <f>ROUND((M860*0.25)+(N860*0.20)+(O860*0.15)+(P860*0.15)+(Q860*0.10)+(R860*0.10)+(S860*0.05),2)</f>
        <v/>
      </c>
      <c r="U860">
        <f>IF(T860&gt;=4.25,"Critical",IF(T860&gt;=3.5,"High",IF(T860&gt;=2,"Medium","Low")))</f>
        <v/>
      </c>
    </row>
    <row r="861">
      <c r="R861">
        <f>IFERROR(XLOOKUP(XLOOKUP(D861,tblReleaseChanges[Change_ID],tblReleaseChanges[Oracle_Severity],""),tblSeverityMap[Severity_Text],tblSeverityMap[Score],0),0)</f>
        <v/>
      </c>
      <c r="T861">
        <f>ROUND((M861*0.25)+(N861*0.20)+(O861*0.15)+(P861*0.15)+(Q861*0.10)+(R861*0.10)+(S861*0.05),2)</f>
        <v/>
      </c>
      <c r="U861">
        <f>IF(T861&gt;=4.25,"Critical",IF(T861&gt;=3.5,"High",IF(T861&gt;=2,"Medium","Low")))</f>
        <v/>
      </c>
    </row>
    <row r="862">
      <c r="R862">
        <f>IFERROR(XLOOKUP(XLOOKUP(D862,tblReleaseChanges[Change_ID],tblReleaseChanges[Oracle_Severity],""),tblSeverityMap[Severity_Text],tblSeverityMap[Score],0),0)</f>
        <v/>
      </c>
      <c r="T862">
        <f>ROUND((M862*0.25)+(N862*0.20)+(O862*0.15)+(P862*0.15)+(Q862*0.10)+(R862*0.10)+(S862*0.05),2)</f>
        <v/>
      </c>
      <c r="U862">
        <f>IF(T862&gt;=4.25,"Critical",IF(T862&gt;=3.5,"High",IF(T862&gt;=2,"Medium","Low")))</f>
        <v/>
      </c>
    </row>
    <row r="863">
      <c r="R863">
        <f>IFERROR(XLOOKUP(XLOOKUP(D863,tblReleaseChanges[Change_ID],tblReleaseChanges[Oracle_Severity],""),tblSeverityMap[Severity_Text],tblSeverityMap[Score],0),0)</f>
        <v/>
      </c>
      <c r="T863">
        <f>ROUND((M863*0.25)+(N863*0.20)+(O863*0.15)+(P863*0.15)+(Q863*0.10)+(R863*0.10)+(S863*0.05),2)</f>
        <v/>
      </c>
      <c r="U863">
        <f>IF(T863&gt;=4.25,"Critical",IF(T863&gt;=3.5,"High",IF(T863&gt;=2,"Medium","Low")))</f>
        <v/>
      </c>
    </row>
    <row r="864">
      <c r="R864">
        <f>IFERROR(XLOOKUP(XLOOKUP(D864,tblReleaseChanges[Change_ID],tblReleaseChanges[Oracle_Severity],""),tblSeverityMap[Severity_Text],tblSeverityMap[Score],0),0)</f>
        <v/>
      </c>
      <c r="T864">
        <f>ROUND((M864*0.25)+(N864*0.20)+(O864*0.15)+(P864*0.15)+(Q864*0.10)+(R864*0.10)+(S864*0.05),2)</f>
        <v/>
      </c>
      <c r="U864">
        <f>IF(T864&gt;=4.25,"Critical",IF(T864&gt;=3.5,"High",IF(T864&gt;=2,"Medium","Low")))</f>
        <v/>
      </c>
    </row>
    <row r="865">
      <c r="R865">
        <f>IFERROR(XLOOKUP(XLOOKUP(D865,tblReleaseChanges[Change_ID],tblReleaseChanges[Oracle_Severity],""),tblSeverityMap[Severity_Text],tblSeverityMap[Score],0),0)</f>
        <v/>
      </c>
      <c r="T865">
        <f>ROUND((M865*0.25)+(N865*0.20)+(O865*0.15)+(P865*0.15)+(Q865*0.10)+(R865*0.10)+(S865*0.05),2)</f>
        <v/>
      </c>
      <c r="U865">
        <f>IF(T865&gt;=4.25,"Critical",IF(T865&gt;=3.5,"High",IF(T865&gt;=2,"Medium","Low")))</f>
        <v/>
      </c>
    </row>
    <row r="866">
      <c r="R866">
        <f>IFERROR(XLOOKUP(XLOOKUP(D866,tblReleaseChanges[Change_ID],tblReleaseChanges[Oracle_Severity],""),tblSeverityMap[Severity_Text],tblSeverityMap[Score],0),0)</f>
        <v/>
      </c>
      <c r="T866">
        <f>ROUND((M866*0.25)+(N866*0.20)+(O866*0.15)+(P866*0.15)+(Q866*0.10)+(R866*0.10)+(S866*0.05),2)</f>
        <v/>
      </c>
      <c r="U866">
        <f>IF(T866&gt;=4.25,"Critical",IF(T866&gt;=3.5,"High",IF(T866&gt;=2,"Medium","Low")))</f>
        <v/>
      </c>
    </row>
    <row r="867">
      <c r="R867">
        <f>IFERROR(XLOOKUP(XLOOKUP(D867,tblReleaseChanges[Change_ID],tblReleaseChanges[Oracle_Severity],""),tblSeverityMap[Severity_Text],tblSeverityMap[Score],0),0)</f>
        <v/>
      </c>
      <c r="T867">
        <f>ROUND((M867*0.25)+(N867*0.20)+(O867*0.15)+(P867*0.15)+(Q867*0.10)+(R867*0.10)+(S867*0.05),2)</f>
        <v/>
      </c>
      <c r="U867">
        <f>IF(T867&gt;=4.25,"Critical",IF(T867&gt;=3.5,"High",IF(T867&gt;=2,"Medium","Low")))</f>
        <v/>
      </c>
    </row>
    <row r="868">
      <c r="R868">
        <f>IFERROR(XLOOKUP(XLOOKUP(D868,tblReleaseChanges[Change_ID],tblReleaseChanges[Oracle_Severity],""),tblSeverityMap[Severity_Text],tblSeverityMap[Score],0),0)</f>
        <v/>
      </c>
      <c r="T868">
        <f>ROUND((M868*0.25)+(N868*0.20)+(O868*0.15)+(P868*0.15)+(Q868*0.10)+(R868*0.10)+(S868*0.05),2)</f>
        <v/>
      </c>
      <c r="U868">
        <f>IF(T868&gt;=4.25,"Critical",IF(T868&gt;=3.5,"High",IF(T868&gt;=2,"Medium","Low")))</f>
        <v/>
      </c>
    </row>
    <row r="869">
      <c r="R869">
        <f>IFERROR(XLOOKUP(XLOOKUP(D869,tblReleaseChanges[Change_ID],tblReleaseChanges[Oracle_Severity],""),tblSeverityMap[Severity_Text],tblSeverityMap[Score],0),0)</f>
        <v/>
      </c>
      <c r="T869">
        <f>ROUND((M869*0.25)+(N869*0.20)+(O869*0.15)+(P869*0.15)+(Q869*0.10)+(R869*0.10)+(S869*0.05),2)</f>
        <v/>
      </c>
      <c r="U869">
        <f>IF(T869&gt;=4.25,"Critical",IF(T869&gt;=3.5,"High",IF(T869&gt;=2,"Medium","Low")))</f>
        <v/>
      </c>
    </row>
    <row r="870">
      <c r="R870">
        <f>IFERROR(XLOOKUP(XLOOKUP(D870,tblReleaseChanges[Change_ID],tblReleaseChanges[Oracle_Severity],""),tblSeverityMap[Severity_Text],tblSeverityMap[Score],0),0)</f>
        <v/>
      </c>
      <c r="T870">
        <f>ROUND((M870*0.25)+(N870*0.20)+(O870*0.15)+(P870*0.15)+(Q870*0.10)+(R870*0.10)+(S870*0.05),2)</f>
        <v/>
      </c>
      <c r="U870">
        <f>IF(T870&gt;=4.25,"Critical",IF(T870&gt;=3.5,"High",IF(T870&gt;=2,"Medium","Low")))</f>
        <v/>
      </c>
    </row>
    <row r="871">
      <c r="R871">
        <f>IFERROR(XLOOKUP(XLOOKUP(D871,tblReleaseChanges[Change_ID],tblReleaseChanges[Oracle_Severity],""),tblSeverityMap[Severity_Text],tblSeverityMap[Score],0),0)</f>
        <v/>
      </c>
      <c r="T871">
        <f>ROUND((M871*0.25)+(N871*0.20)+(O871*0.15)+(P871*0.15)+(Q871*0.10)+(R871*0.10)+(S871*0.05),2)</f>
        <v/>
      </c>
      <c r="U871">
        <f>IF(T871&gt;=4.25,"Critical",IF(T871&gt;=3.5,"High",IF(T871&gt;=2,"Medium","Low")))</f>
        <v/>
      </c>
    </row>
    <row r="872">
      <c r="R872">
        <f>IFERROR(XLOOKUP(XLOOKUP(D872,tblReleaseChanges[Change_ID],tblReleaseChanges[Oracle_Severity],""),tblSeverityMap[Severity_Text],tblSeverityMap[Score],0),0)</f>
        <v/>
      </c>
      <c r="T872">
        <f>ROUND((M872*0.25)+(N872*0.20)+(O872*0.15)+(P872*0.15)+(Q872*0.10)+(R872*0.10)+(S872*0.05),2)</f>
        <v/>
      </c>
      <c r="U872">
        <f>IF(T872&gt;=4.25,"Critical",IF(T872&gt;=3.5,"High",IF(T872&gt;=2,"Medium","Low")))</f>
        <v/>
      </c>
    </row>
    <row r="873">
      <c r="R873">
        <f>IFERROR(XLOOKUP(XLOOKUP(D873,tblReleaseChanges[Change_ID],tblReleaseChanges[Oracle_Severity],""),tblSeverityMap[Severity_Text],tblSeverityMap[Score],0),0)</f>
        <v/>
      </c>
      <c r="T873">
        <f>ROUND((M873*0.25)+(N873*0.20)+(O873*0.15)+(P873*0.15)+(Q873*0.10)+(R873*0.10)+(S873*0.05),2)</f>
        <v/>
      </c>
      <c r="U873">
        <f>IF(T873&gt;=4.25,"Critical",IF(T873&gt;=3.5,"High",IF(T873&gt;=2,"Medium","Low")))</f>
        <v/>
      </c>
    </row>
    <row r="874">
      <c r="R874">
        <f>IFERROR(XLOOKUP(XLOOKUP(D874,tblReleaseChanges[Change_ID],tblReleaseChanges[Oracle_Severity],""),tblSeverityMap[Severity_Text],tblSeverityMap[Score],0),0)</f>
        <v/>
      </c>
      <c r="T874">
        <f>ROUND((M874*0.25)+(N874*0.20)+(O874*0.15)+(P874*0.15)+(Q874*0.10)+(R874*0.10)+(S874*0.05),2)</f>
        <v/>
      </c>
      <c r="U874">
        <f>IF(T874&gt;=4.25,"Critical",IF(T874&gt;=3.5,"High",IF(T874&gt;=2,"Medium","Low")))</f>
        <v/>
      </c>
    </row>
    <row r="875">
      <c r="R875">
        <f>IFERROR(XLOOKUP(XLOOKUP(D875,tblReleaseChanges[Change_ID],tblReleaseChanges[Oracle_Severity],""),tblSeverityMap[Severity_Text],tblSeverityMap[Score],0),0)</f>
        <v/>
      </c>
      <c r="T875">
        <f>ROUND((M875*0.25)+(N875*0.20)+(O875*0.15)+(P875*0.15)+(Q875*0.10)+(R875*0.10)+(S875*0.05),2)</f>
        <v/>
      </c>
      <c r="U875">
        <f>IF(T875&gt;=4.25,"Critical",IF(T875&gt;=3.5,"High",IF(T875&gt;=2,"Medium","Low")))</f>
        <v/>
      </c>
    </row>
    <row r="876">
      <c r="R876">
        <f>IFERROR(XLOOKUP(XLOOKUP(D876,tblReleaseChanges[Change_ID],tblReleaseChanges[Oracle_Severity],""),tblSeverityMap[Severity_Text],tblSeverityMap[Score],0),0)</f>
        <v/>
      </c>
      <c r="T876">
        <f>ROUND((M876*0.25)+(N876*0.20)+(O876*0.15)+(P876*0.15)+(Q876*0.10)+(R876*0.10)+(S876*0.05),2)</f>
        <v/>
      </c>
      <c r="U876">
        <f>IF(T876&gt;=4.25,"Critical",IF(T876&gt;=3.5,"High",IF(T876&gt;=2,"Medium","Low")))</f>
        <v/>
      </c>
    </row>
    <row r="877">
      <c r="R877">
        <f>IFERROR(XLOOKUP(XLOOKUP(D877,tblReleaseChanges[Change_ID],tblReleaseChanges[Oracle_Severity],""),tblSeverityMap[Severity_Text],tblSeverityMap[Score],0),0)</f>
        <v/>
      </c>
      <c r="T877">
        <f>ROUND((M877*0.25)+(N877*0.20)+(O877*0.15)+(P877*0.15)+(Q877*0.10)+(R877*0.10)+(S877*0.05),2)</f>
        <v/>
      </c>
      <c r="U877">
        <f>IF(T877&gt;=4.25,"Critical",IF(T877&gt;=3.5,"High",IF(T877&gt;=2,"Medium","Low")))</f>
        <v/>
      </c>
    </row>
    <row r="878">
      <c r="R878">
        <f>IFERROR(XLOOKUP(XLOOKUP(D878,tblReleaseChanges[Change_ID],tblReleaseChanges[Oracle_Severity],""),tblSeverityMap[Severity_Text],tblSeverityMap[Score],0),0)</f>
        <v/>
      </c>
      <c r="T878">
        <f>ROUND((M878*0.25)+(N878*0.20)+(O878*0.15)+(P878*0.15)+(Q878*0.10)+(R878*0.10)+(S878*0.05),2)</f>
        <v/>
      </c>
      <c r="U878">
        <f>IF(T878&gt;=4.25,"Critical",IF(T878&gt;=3.5,"High",IF(T878&gt;=2,"Medium","Low")))</f>
        <v/>
      </c>
    </row>
    <row r="879">
      <c r="R879">
        <f>IFERROR(XLOOKUP(XLOOKUP(D879,tblReleaseChanges[Change_ID],tblReleaseChanges[Oracle_Severity],""),tblSeverityMap[Severity_Text],tblSeverityMap[Score],0),0)</f>
        <v/>
      </c>
      <c r="T879">
        <f>ROUND((M879*0.25)+(N879*0.20)+(O879*0.15)+(P879*0.15)+(Q879*0.10)+(R879*0.10)+(S879*0.05),2)</f>
        <v/>
      </c>
      <c r="U879">
        <f>IF(T879&gt;=4.25,"Critical",IF(T879&gt;=3.5,"High",IF(T879&gt;=2,"Medium","Low")))</f>
        <v/>
      </c>
    </row>
    <row r="880">
      <c r="R880">
        <f>IFERROR(XLOOKUP(XLOOKUP(D880,tblReleaseChanges[Change_ID],tblReleaseChanges[Oracle_Severity],""),tblSeverityMap[Severity_Text],tblSeverityMap[Score],0),0)</f>
        <v/>
      </c>
      <c r="T880">
        <f>ROUND((M880*0.25)+(N880*0.20)+(O880*0.15)+(P880*0.15)+(Q880*0.10)+(R880*0.10)+(S880*0.05),2)</f>
        <v/>
      </c>
      <c r="U880">
        <f>IF(T880&gt;=4.25,"Critical",IF(T880&gt;=3.5,"High",IF(T880&gt;=2,"Medium","Low")))</f>
        <v/>
      </c>
    </row>
    <row r="881">
      <c r="R881">
        <f>IFERROR(XLOOKUP(XLOOKUP(D881,tblReleaseChanges[Change_ID],tblReleaseChanges[Oracle_Severity],""),tblSeverityMap[Severity_Text],tblSeverityMap[Score],0),0)</f>
        <v/>
      </c>
      <c r="T881">
        <f>ROUND((M881*0.25)+(N881*0.20)+(O881*0.15)+(P881*0.15)+(Q881*0.10)+(R881*0.10)+(S881*0.05),2)</f>
        <v/>
      </c>
      <c r="U881">
        <f>IF(T881&gt;=4.25,"Critical",IF(T881&gt;=3.5,"High",IF(T881&gt;=2,"Medium","Low")))</f>
        <v/>
      </c>
    </row>
    <row r="882">
      <c r="R882">
        <f>IFERROR(XLOOKUP(XLOOKUP(D882,tblReleaseChanges[Change_ID],tblReleaseChanges[Oracle_Severity],""),tblSeverityMap[Severity_Text],tblSeverityMap[Score],0),0)</f>
        <v/>
      </c>
      <c r="T882">
        <f>ROUND((M882*0.25)+(N882*0.20)+(O882*0.15)+(P882*0.15)+(Q882*0.10)+(R882*0.10)+(S882*0.05),2)</f>
        <v/>
      </c>
      <c r="U882">
        <f>IF(T882&gt;=4.25,"Critical",IF(T882&gt;=3.5,"High",IF(T882&gt;=2,"Medium","Low")))</f>
        <v/>
      </c>
    </row>
    <row r="883">
      <c r="R883">
        <f>IFERROR(XLOOKUP(XLOOKUP(D883,tblReleaseChanges[Change_ID],tblReleaseChanges[Oracle_Severity],""),tblSeverityMap[Severity_Text],tblSeverityMap[Score],0),0)</f>
        <v/>
      </c>
      <c r="T883">
        <f>ROUND((M883*0.25)+(N883*0.20)+(O883*0.15)+(P883*0.15)+(Q883*0.10)+(R883*0.10)+(S883*0.05),2)</f>
        <v/>
      </c>
      <c r="U883">
        <f>IF(T883&gt;=4.25,"Critical",IF(T883&gt;=3.5,"High",IF(T883&gt;=2,"Medium","Low")))</f>
        <v/>
      </c>
    </row>
    <row r="884">
      <c r="R884">
        <f>IFERROR(XLOOKUP(XLOOKUP(D884,tblReleaseChanges[Change_ID],tblReleaseChanges[Oracle_Severity],""),tblSeverityMap[Severity_Text],tblSeverityMap[Score],0),0)</f>
        <v/>
      </c>
      <c r="T884">
        <f>ROUND((M884*0.25)+(N884*0.20)+(O884*0.15)+(P884*0.15)+(Q884*0.10)+(R884*0.10)+(S884*0.05),2)</f>
        <v/>
      </c>
      <c r="U884">
        <f>IF(T884&gt;=4.25,"Critical",IF(T884&gt;=3.5,"High",IF(T884&gt;=2,"Medium","Low")))</f>
        <v/>
      </c>
    </row>
    <row r="885">
      <c r="R885">
        <f>IFERROR(XLOOKUP(XLOOKUP(D885,tblReleaseChanges[Change_ID],tblReleaseChanges[Oracle_Severity],""),tblSeverityMap[Severity_Text],tblSeverityMap[Score],0),0)</f>
        <v/>
      </c>
      <c r="T885">
        <f>ROUND((M885*0.25)+(N885*0.20)+(O885*0.15)+(P885*0.15)+(Q885*0.10)+(R885*0.10)+(S885*0.05),2)</f>
        <v/>
      </c>
      <c r="U885">
        <f>IF(T885&gt;=4.25,"Critical",IF(T885&gt;=3.5,"High",IF(T885&gt;=2,"Medium","Low")))</f>
        <v/>
      </c>
    </row>
    <row r="886">
      <c r="R886">
        <f>IFERROR(XLOOKUP(XLOOKUP(D886,tblReleaseChanges[Change_ID],tblReleaseChanges[Oracle_Severity],""),tblSeverityMap[Severity_Text],tblSeverityMap[Score],0),0)</f>
        <v/>
      </c>
      <c r="T886">
        <f>ROUND((M886*0.25)+(N886*0.20)+(O886*0.15)+(P886*0.15)+(Q886*0.10)+(R886*0.10)+(S886*0.05),2)</f>
        <v/>
      </c>
      <c r="U886">
        <f>IF(T886&gt;=4.25,"Critical",IF(T886&gt;=3.5,"High",IF(T886&gt;=2,"Medium","Low")))</f>
        <v/>
      </c>
    </row>
    <row r="887">
      <c r="R887">
        <f>IFERROR(XLOOKUP(XLOOKUP(D887,tblReleaseChanges[Change_ID],tblReleaseChanges[Oracle_Severity],""),tblSeverityMap[Severity_Text],tblSeverityMap[Score],0),0)</f>
        <v/>
      </c>
      <c r="T887">
        <f>ROUND((M887*0.25)+(N887*0.20)+(O887*0.15)+(P887*0.15)+(Q887*0.10)+(R887*0.10)+(S887*0.05),2)</f>
        <v/>
      </c>
      <c r="U887">
        <f>IF(T887&gt;=4.25,"Critical",IF(T887&gt;=3.5,"High",IF(T887&gt;=2,"Medium","Low")))</f>
        <v/>
      </c>
    </row>
    <row r="888">
      <c r="R888">
        <f>IFERROR(XLOOKUP(XLOOKUP(D888,tblReleaseChanges[Change_ID],tblReleaseChanges[Oracle_Severity],""),tblSeverityMap[Severity_Text],tblSeverityMap[Score],0),0)</f>
        <v/>
      </c>
      <c r="T888">
        <f>ROUND((M888*0.25)+(N888*0.20)+(O888*0.15)+(P888*0.15)+(Q888*0.10)+(R888*0.10)+(S888*0.05),2)</f>
        <v/>
      </c>
      <c r="U888">
        <f>IF(T888&gt;=4.25,"Critical",IF(T888&gt;=3.5,"High",IF(T888&gt;=2,"Medium","Low")))</f>
        <v/>
      </c>
    </row>
    <row r="889">
      <c r="R889">
        <f>IFERROR(XLOOKUP(XLOOKUP(D889,tblReleaseChanges[Change_ID],tblReleaseChanges[Oracle_Severity],""),tblSeverityMap[Severity_Text],tblSeverityMap[Score],0),0)</f>
        <v/>
      </c>
      <c r="T889">
        <f>ROUND((M889*0.25)+(N889*0.20)+(O889*0.15)+(P889*0.15)+(Q889*0.10)+(R889*0.10)+(S889*0.05),2)</f>
        <v/>
      </c>
      <c r="U889">
        <f>IF(T889&gt;=4.25,"Critical",IF(T889&gt;=3.5,"High",IF(T889&gt;=2,"Medium","Low")))</f>
        <v/>
      </c>
    </row>
    <row r="890">
      <c r="R890">
        <f>IFERROR(XLOOKUP(XLOOKUP(D890,tblReleaseChanges[Change_ID],tblReleaseChanges[Oracle_Severity],""),tblSeverityMap[Severity_Text],tblSeverityMap[Score],0),0)</f>
        <v/>
      </c>
      <c r="T890">
        <f>ROUND((M890*0.25)+(N890*0.20)+(O890*0.15)+(P890*0.15)+(Q890*0.10)+(R890*0.10)+(S890*0.05),2)</f>
        <v/>
      </c>
      <c r="U890">
        <f>IF(T890&gt;=4.25,"Critical",IF(T890&gt;=3.5,"High",IF(T890&gt;=2,"Medium","Low")))</f>
        <v/>
      </c>
    </row>
    <row r="891">
      <c r="R891">
        <f>IFERROR(XLOOKUP(XLOOKUP(D891,tblReleaseChanges[Change_ID],tblReleaseChanges[Oracle_Severity],""),tblSeverityMap[Severity_Text],tblSeverityMap[Score],0),0)</f>
        <v/>
      </c>
      <c r="T891">
        <f>ROUND((M891*0.25)+(N891*0.20)+(O891*0.15)+(P891*0.15)+(Q891*0.10)+(R891*0.10)+(S891*0.05),2)</f>
        <v/>
      </c>
      <c r="U891">
        <f>IF(T891&gt;=4.25,"Critical",IF(T891&gt;=3.5,"High",IF(T891&gt;=2,"Medium","Low")))</f>
        <v/>
      </c>
    </row>
    <row r="892">
      <c r="R892">
        <f>IFERROR(XLOOKUP(XLOOKUP(D892,tblReleaseChanges[Change_ID],tblReleaseChanges[Oracle_Severity],""),tblSeverityMap[Severity_Text],tblSeverityMap[Score],0),0)</f>
        <v/>
      </c>
      <c r="T892">
        <f>ROUND((M892*0.25)+(N892*0.20)+(O892*0.15)+(P892*0.15)+(Q892*0.10)+(R892*0.10)+(S892*0.05),2)</f>
        <v/>
      </c>
      <c r="U892">
        <f>IF(T892&gt;=4.25,"Critical",IF(T892&gt;=3.5,"High",IF(T892&gt;=2,"Medium","Low")))</f>
        <v/>
      </c>
    </row>
    <row r="893">
      <c r="R893">
        <f>IFERROR(XLOOKUP(XLOOKUP(D893,tblReleaseChanges[Change_ID],tblReleaseChanges[Oracle_Severity],""),tblSeverityMap[Severity_Text],tblSeverityMap[Score],0),0)</f>
        <v/>
      </c>
      <c r="T893">
        <f>ROUND((M893*0.25)+(N893*0.20)+(O893*0.15)+(P893*0.15)+(Q893*0.10)+(R893*0.10)+(S893*0.05),2)</f>
        <v/>
      </c>
      <c r="U893">
        <f>IF(T893&gt;=4.25,"Critical",IF(T893&gt;=3.5,"High",IF(T893&gt;=2,"Medium","Low")))</f>
        <v/>
      </c>
    </row>
    <row r="894">
      <c r="R894">
        <f>IFERROR(XLOOKUP(XLOOKUP(D894,tblReleaseChanges[Change_ID],tblReleaseChanges[Oracle_Severity],""),tblSeverityMap[Severity_Text],tblSeverityMap[Score],0),0)</f>
        <v/>
      </c>
      <c r="T894">
        <f>ROUND((M894*0.25)+(N894*0.20)+(O894*0.15)+(P894*0.15)+(Q894*0.10)+(R894*0.10)+(S894*0.05),2)</f>
        <v/>
      </c>
      <c r="U894">
        <f>IF(T894&gt;=4.25,"Critical",IF(T894&gt;=3.5,"High",IF(T894&gt;=2,"Medium","Low")))</f>
        <v/>
      </c>
    </row>
    <row r="895">
      <c r="R895">
        <f>IFERROR(XLOOKUP(XLOOKUP(D895,tblReleaseChanges[Change_ID],tblReleaseChanges[Oracle_Severity],""),tblSeverityMap[Severity_Text],tblSeverityMap[Score],0),0)</f>
        <v/>
      </c>
      <c r="T895">
        <f>ROUND((M895*0.25)+(N895*0.20)+(O895*0.15)+(P895*0.15)+(Q895*0.10)+(R895*0.10)+(S895*0.05),2)</f>
        <v/>
      </c>
      <c r="U895">
        <f>IF(T895&gt;=4.25,"Critical",IF(T895&gt;=3.5,"High",IF(T895&gt;=2,"Medium","Low")))</f>
        <v/>
      </c>
    </row>
    <row r="896">
      <c r="R896">
        <f>IFERROR(XLOOKUP(XLOOKUP(D896,tblReleaseChanges[Change_ID],tblReleaseChanges[Oracle_Severity],""),tblSeverityMap[Severity_Text],tblSeverityMap[Score],0),0)</f>
        <v/>
      </c>
      <c r="T896">
        <f>ROUND((M896*0.25)+(N896*0.20)+(O896*0.15)+(P896*0.15)+(Q896*0.10)+(R896*0.10)+(S896*0.05),2)</f>
        <v/>
      </c>
      <c r="U896">
        <f>IF(T896&gt;=4.25,"Critical",IF(T896&gt;=3.5,"High",IF(T896&gt;=2,"Medium","Low")))</f>
        <v/>
      </c>
    </row>
    <row r="897">
      <c r="R897">
        <f>IFERROR(XLOOKUP(XLOOKUP(D897,tblReleaseChanges[Change_ID],tblReleaseChanges[Oracle_Severity],""),tblSeverityMap[Severity_Text],tblSeverityMap[Score],0),0)</f>
        <v/>
      </c>
      <c r="T897">
        <f>ROUND((M897*0.25)+(N897*0.20)+(O897*0.15)+(P897*0.15)+(Q897*0.10)+(R897*0.10)+(S897*0.05),2)</f>
        <v/>
      </c>
      <c r="U897">
        <f>IF(T897&gt;=4.25,"Critical",IF(T897&gt;=3.5,"High",IF(T897&gt;=2,"Medium","Low")))</f>
        <v/>
      </c>
    </row>
    <row r="898">
      <c r="R898">
        <f>IFERROR(XLOOKUP(XLOOKUP(D898,tblReleaseChanges[Change_ID],tblReleaseChanges[Oracle_Severity],""),tblSeverityMap[Severity_Text],tblSeverityMap[Score],0),0)</f>
        <v/>
      </c>
      <c r="T898">
        <f>ROUND((M898*0.25)+(N898*0.20)+(O898*0.15)+(P898*0.15)+(Q898*0.10)+(R898*0.10)+(S898*0.05),2)</f>
        <v/>
      </c>
      <c r="U898">
        <f>IF(T898&gt;=4.25,"Critical",IF(T898&gt;=3.5,"High",IF(T898&gt;=2,"Medium","Low")))</f>
        <v/>
      </c>
    </row>
    <row r="899">
      <c r="R899">
        <f>IFERROR(XLOOKUP(XLOOKUP(D899,tblReleaseChanges[Change_ID],tblReleaseChanges[Oracle_Severity],""),tblSeverityMap[Severity_Text],tblSeverityMap[Score],0),0)</f>
        <v/>
      </c>
      <c r="T899">
        <f>ROUND((M899*0.25)+(N899*0.20)+(O899*0.15)+(P899*0.15)+(Q899*0.10)+(R899*0.10)+(S899*0.05),2)</f>
        <v/>
      </c>
      <c r="U899">
        <f>IF(T899&gt;=4.25,"Critical",IF(T899&gt;=3.5,"High",IF(T899&gt;=2,"Medium","Low")))</f>
        <v/>
      </c>
    </row>
    <row r="900">
      <c r="R900">
        <f>IFERROR(XLOOKUP(XLOOKUP(D900,tblReleaseChanges[Change_ID],tblReleaseChanges[Oracle_Severity],""),tblSeverityMap[Severity_Text],tblSeverityMap[Score],0),0)</f>
        <v/>
      </c>
      <c r="T900">
        <f>ROUND((M900*0.25)+(N900*0.20)+(O900*0.15)+(P900*0.15)+(Q900*0.10)+(R900*0.10)+(S900*0.05),2)</f>
        <v/>
      </c>
      <c r="U900">
        <f>IF(T900&gt;=4.25,"Critical",IF(T900&gt;=3.5,"High",IF(T900&gt;=2,"Medium","Low")))</f>
        <v/>
      </c>
    </row>
    <row r="901">
      <c r="R901">
        <f>IFERROR(XLOOKUP(XLOOKUP(D901,tblReleaseChanges[Change_ID],tblReleaseChanges[Oracle_Severity],""),tblSeverityMap[Severity_Text],tblSeverityMap[Score],0),0)</f>
        <v/>
      </c>
      <c r="T901">
        <f>ROUND((M901*0.25)+(N901*0.20)+(O901*0.15)+(P901*0.15)+(Q901*0.10)+(R901*0.10)+(S901*0.05),2)</f>
        <v/>
      </c>
      <c r="U901">
        <f>IF(T901&gt;=4.25,"Critical",IF(T901&gt;=3.5,"High",IF(T901&gt;=2,"Medium","Low")))</f>
        <v/>
      </c>
    </row>
    <row r="902">
      <c r="R902">
        <f>IFERROR(XLOOKUP(XLOOKUP(D902,tblReleaseChanges[Change_ID],tblReleaseChanges[Oracle_Severity],""),tblSeverityMap[Severity_Text],tblSeverityMap[Score],0),0)</f>
        <v/>
      </c>
      <c r="T902">
        <f>ROUND((M902*0.25)+(N902*0.20)+(O902*0.15)+(P902*0.15)+(Q902*0.10)+(R902*0.10)+(S902*0.05),2)</f>
        <v/>
      </c>
      <c r="U902">
        <f>IF(T902&gt;=4.25,"Critical",IF(T902&gt;=3.5,"High",IF(T902&gt;=2,"Medium","Low")))</f>
        <v/>
      </c>
    </row>
    <row r="903">
      <c r="R903">
        <f>IFERROR(XLOOKUP(XLOOKUP(D903,tblReleaseChanges[Change_ID],tblReleaseChanges[Oracle_Severity],""),tblSeverityMap[Severity_Text],tblSeverityMap[Score],0),0)</f>
        <v/>
      </c>
      <c r="T903">
        <f>ROUND((M903*0.25)+(N903*0.20)+(O903*0.15)+(P903*0.15)+(Q903*0.10)+(R903*0.10)+(S903*0.05),2)</f>
        <v/>
      </c>
      <c r="U903">
        <f>IF(T903&gt;=4.25,"Critical",IF(T903&gt;=3.5,"High",IF(T903&gt;=2,"Medium","Low")))</f>
        <v/>
      </c>
    </row>
    <row r="904">
      <c r="R904">
        <f>IFERROR(XLOOKUP(XLOOKUP(D904,tblReleaseChanges[Change_ID],tblReleaseChanges[Oracle_Severity],""),tblSeverityMap[Severity_Text],tblSeverityMap[Score],0),0)</f>
        <v/>
      </c>
      <c r="T904">
        <f>ROUND((M904*0.25)+(N904*0.20)+(O904*0.15)+(P904*0.15)+(Q904*0.10)+(R904*0.10)+(S904*0.05),2)</f>
        <v/>
      </c>
      <c r="U904">
        <f>IF(T904&gt;=4.25,"Critical",IF(T904&gt;=3.5,"High",IF(T904&gt;=2,"Medium","Low")))</f>
        <v/>
      </c>
    </row>
    <row r="905">
      <c r="R905">
        <f>IFERROR(XLOOKUP(XLOOKUP(D905,tblReleaseChanges[Change_ID],tblReleaseChanges[Oracle_Severity],""),tblSeverityMap[Severity_Text],tblSeverityMap[Score],0),0)</f>
        <v/>
      </c>
      <c r="T905">
        <f>ROUND((M905*0.25)+(N905*0.20)+(O905*0.15)+(P905*0.15)+(Q905*0.10)+(R905*0.10)+(S905*0.05),2)</f>
        <v/>
      </c>
      <c r="U905">
        <f>IF(T905&gt;=4.25,"Critical",IF(T905&gt;=3.5,"High",IF(T905&gt;=2,"Medium","Low")))</f>
        <v/>
      </c>
    </row>
    <row r="906">
      <c r="R906">
        <f>IFERROR(XLOOKUP(XLOOKUP(D906,tblReleaseChanges[Change_ID],tblReleaseChanges[Oracle_Severity],""),tblSeverityMap[Severity_Text],tblSeverityMap[Score],0),0)</f>
        <v/>
      </c>
      <c r="T906">
        <f>ROUND((M906*0.25)+(N906*0.20)+(O906*0.15)+(P906*0.15)+(Q906*0.10)+(R906*0.10)+(S906*0.05),2)</f>
        <v/>
      </c>
      <c r="U906">
        <f>IF(T906&gt;=4.25,"Critical",IF(T906&gt;=3.5,"High",IF(T906&gt;=2,"Medium","Low")))</f>
        <v/>
      </c>
    </row>
    <row r="907">
      <c r="R907">
        <f>IFERROR(XLOOKUP(XLOOKUP(D907,tblReleaseChanges[Change_ID],tblReleaseChanges[Oracle_Severity],""),tblSeverityMap[Severity_Text],tblSeverityMap[Score],0),0)</f>
        <v/>
      </c>
      <c r="T907">
        <f>ROUND((M907*0.25)+(N907*0.20)+(O907*0.15)+(P907*0.15)+(Q907*0.10)+(R907*0.10)+(S907*0.05),2)</f>
        <v/>
      </c>
      <c r="U907">
        <f>IF(T907&gt;=4.25,"Critical",IF(T907&gt;=3.5,"High",IF(T907&gt;=2,"Medium","Low")))</f>
        <v/>
      </c>
    </row>
    <row r="908">
      <c r="R908">
        <f>IFERROR(XLOOKUP(XLOOKUP(D908,tblReleaseChanges[Change_ID],tblReleaseChanges[Oracle_Severity],""),tblSeverityMap[Severity_Text],tblSeverityMap[Score],0),0)</f>
        <v/>
      </c>
      <c r="T908">
        <f>ROUND((M908*0.25)+(N908*0.20)+(O908*0.15)+(P908*0.15)+(Q908*0.10)+(R908*0.10)+(S908*0.05),2)</f>
        <v/>
      </c>
      <c r="U908">
        <f>IF(T908&gt;=4.25,"Critical",IF(T908&gt;=3.5,"High",IF(T908&gt;=2,"Medium","Low")))</f>
        <v/>
      </c>
    </row>
    <row r="909">
      <c r="R909">
        <f>IFERROR(XLOOKUP(XLOOKUP(D909,tblReleaseChanges[Change_ID],tblReleaseChanges[Oracle_Severity],""),tblSeverityMap[Severity_Text],tblSeverityMap[Score],0),0)</f>
        <v/>
      </c>
      <c r="T909">
        <f>ROUND((M909*0.25)+(N909*0.20)+(O909*0.15)+(P909*0.15)+(Q909*0.10)+(R909*0.10)+(S909*0.05),2)</f>
        <v/>
      </c>
      <c r="U909">
        <f>IF(T909&gt;=4.25,"Critical",IF(T909&gt;=3.5,"High",IF(T909&gt;=2,"Medium","Low")))</f>
        <v/>
      </c>
    </row>
    <row r="910">
      <c r="R910">
        <f>IFERROR(XLOOKUP(XLOOKUP(D910,tblReleaseChanges[Change_ID],tblReleaseChanges[Oracle_Severity],""),tblSeverityMap[Severity_Text],tblSeverityMap[Score],0),0)</f>
        <v/>
      </c>
      <c r="T910">
        <f>ROUND((M910*0.25)+(N910*0.20)+(O910*0.15)+(P910*0.15)+(Q910*0.10)+(R910*0.10)+(S910*0.05),2)</f>
        <v/>
      </c>
      <c r="U910">
        <f>IF(T910&gt;=4.25,"Critical",IF(T910&gt;=3.5,"High",IF(T910&gt;=2,"Medium","Low")))</f>
        <v/>
      </c>
    </row>
    <row r="911">
      <c r="R911">
        <f>IFERROR(XLOOKUP(XLOOKUP(D911,tblReleaseChanges[Change_ID],tblReleaseChanges[Oracle_Severity],""),tblSeverityMap[Severity_Text],tblSeverityMap[Score],0),0)</f>
        <v/>
      </c>
      <c r="T911">
        <f>ROUND((M911*0.25)+(N911*0.20)+(O911*0.15)+(P911*0.15)+(Q911*0.10)+(R911*0.10)+(S911*0.05),2)</f>
        <v/>
      </c>
      <c r="U911">
        <f>IF(T911&gt;=4.25,"Critical",IF(T911&gt;=3.5,"High",IF(T911&gt;=2,"Medium","Low")))</f>
        <v/>
      </c>
    </row>
    <row r="912">
      <c r="R912">
        <f>IFERROR(XLOOKUP(XLOOKUP(D912,tblReleaseChanges[Change_ID],tblReleaseChanges[Oracle_Severity],""),tblSeverityMap[Severity_Text],tblSeverityMap[Score],0),0)</f>
        <v/>
      </c>
      <c r="T912">
        <f>ROUND((M912*0.25)+(N912*0.20)+(O912*0.15)+(P912*0.15)+(Q912*0.10)+(R912*0.10)+(S912*0.05),2)</f>
        <v/>
      </c>
      <c r="U912">
        <f>IF(T912&gt;=4.25,"Critical",IF(T912&gt;=3.5,"High",IF(T912&gt;=2,"Medium","Low")))</f>
        <v/>
      </c>
    </row>
    <row r="913">
      <c r="R913">
        <f>IFERROR(XLOOKUP(XLOOKUP(D913,tblReleaseChanges[Change_ID],tblReleaseChanges[Oracle_Severity],""),tblSeverityMap[Severity_Text],tblSeverityMap[Score],0),0)</f>
        <v/>
      </c>
      <c r="T913">
        <f>ROUND((M913*0.25)+(N913*0.20)+(O913*0.15)+(P913*0.15)+(Q913*0.10)+(R913*0.10)+(S913*0.05),2)</f>
        <v/>
      </c>
      <c r="U913">
        <f>IF(T913&gt;=4.25,"Critical",IF(T913&gt;=3.5,"High",IF(T913&gt;=2,"Medium","Low")))</f>
        <v/>
      </c>
    </row>
    <row r="914">
      <c r="R914">
        <f>IFERROR(XLOOKUP(XLOOKUP(D914,tblReleaseChanges[Change_ID],tblReleaseChanges[Oracle_Severity],""),tblSeverityMap[Severity_Text],tblSeverityMap[Score],0),0)</f>
        <v/>
      </c>
      <c r="T914">
        <f>ROUND((M914*0.25)+(N914*0.20)+(O914*0.15)+(P914*0.15)+(Q914*0.10)+(R914*0.10)+(S914*0.05),2)</f>
        <v/>
      </c>
      <c r="U914">
        <f>IF(T914&gt;=4.25,"Critical",IF(T914&gt;=3.5,"High",IF(T914&gt;=2,"Medium","Low")))</f>
        <v/>
      </c>
    </row>
    <row r="915">
      <c r="R915">
        <f>IFERROR(XLOOKUP(XLOOKUP(D915,tblReleaseChanges[Change_ID],tblReleaseChanges[Oracle_Severity],""),tblSeverityMap[Severity_Text],tblSeverityMap[Score],0),0)</f>
        <v/>
      </c>
      <c r="T915">
        <f>ROUND((M915*0.25)+(N915*0.20)+(O915*0.15)+(P915*0.15)+(Q915*0.10)+(R915*0.10)+(S915*0.05),2)</f>
        <v/>
      </c>
      <c r="U915">
        <f>IF(T915&gt;=4.25,"Critical",IF(T915&gt;=3.5,"High",IF(T915&gt;=2,"Medium","Low")))</f>
        <v/>
      </c>
    </row>
    <row r="916">
      <c r="R916">
        <f>IFERROR(XLOOKUP(XLOOKUP(D916,tblReleaseChanges[Change_ID],tblReleaseChanges[Oracle_Severity],""),tblSeverityMap[Severity_Text],tblSeverityMap[Score],0),0)</f>
        <v/>
      </c>
      <c r="T916">
        <f>ROUND((M916*0.25)+(N916*0.20)+(O916*0.15)+(P916*0.15)+(Q916*0.10)+(R916*0.10)+(S916*0.05),2)</f>
        <v/>
      </c>
      <c r="U916">
        <f>IF(T916&gt;=4.25,"Critical",IF(T916&gt;=3.5,"High",IF(T916&gt;=2,"Medium","Low")))</f>
        <v/>
      </c>
    </row>
    <row r="917">
      <c r="R917">
        <f>IFERROR(XLOOKUP(XLOOKUP(D917,tblReleaseChanges[Change_ID],tblReleaseChanges[Oracle_Severity],""),tblSeverityMap[Severity_Text],tblSeverityMap[Score],0),0)</f>
        <v/>
      </c>
      <c r="T917">
        <f>ROUND((M917*0.25)+(N917*0.20)+(O917*0.15)+(P917*0.15)+(Q917*0.10)+(R917*0.10)+(S917*0.05),2)</f>
        <v/>
      </c>
      <c r="U917">
        <f>IF(T917&gt;=4.25,"Critical",IF(T917&gt;=3.5,"High",IF(T917&gt;=2,"Medium","Low")))</f>
        <v/>
      </c>
    </row>
    <row r="918">
      <c r="R918">
        <f>IFERROR(XLOOKUP(XLOOKUP(D918,tblReleaseChanges[Change_ID],tblReleaseChanges[Oracle_Severity],""),tblSeverityMap[Severity_Text],tblSeverityMap[Score],0),0)</f>
        <v/>
      </c>
      <c r="T918">
        <f>ROUND((M918*0.25)+(N918*0.20)+(O918*0.15)+(P918*0.15)+(Q918*0.10)+(R918*0.10)+(S918*0.05),2)</f>
        <v/>
      </c>
      <c r="U918">
        <f>IF(T918&gt;=4.25,"Critical",IF(T918&gt;=3.5,"High",IF(T918&gt;=2,"Medium","Low")))</f>
        <v/>
      </c>
    </row>
    <row r="919">
      <c r="R919">
        <f>IFERROR(XLOOKUP(XLOOKUP(D919,tblReleaseChanges[Change_ID],tblReleaseChanges[Oracle_Severity],""),tblSeverityMap[Severity_Text],tblSeverityMap[Score],0),0)</f>
        <v/>
      </c>
      <c r="T919">
        <f>ROUND((M919*0.25)+(N919*0.20)+(O919*0.15)+(P919*0.15)+(Q919*0.10)+(R919*0.10)+(S919*0.05),2)</f>
        <v/>
      </c>
      <c r="U919">
        <f>IF(T919&gt;=4.25,"Critical",IF(T919&gt;=3.5,"High",IF(T919&gt;=2,"Medium","Low")))</f>
        <v/>
      </c>
    </row>
    <row r="920">
      <c r="R920">
        <f>IFERROR(XLOOKUP(XLOOKUP(D920,tblReleaseChanges[Change_ID],tblReleaseChanges[Oracle_Severity],""),tblSeverityMap[Severity_Text],tblSeverityMap[Score],0),0)</f>
        <v/>
      </c>
      <c r="T920">
        <f>ROUND((M920*0.25)+(N920*0.20)+(O920*0.15)+(P920*0.15)+(Q920*0.10)+(R920*0.10)+(S920*0.05),2)</f>
        <v/>
      </c>
      <c r="U920">
        <f>IF(T920&gt;=4.25,"Critical",IF(T920&gt;=3.5,"High",IF(T920&gt;=2,"Medium","Low")))</f>
        <v/>
      </c>
    </row>
    <row r="921">
      <c r="R921">
        <f>IFERROR(XLOOKUP(XLOOKUP(D921,tblReleaseChanges[Change_ID],tblReleaseChanges[Oracle_Severity],""),tblSeverityMap[Severity_Text],tblSeverityMap[Score],0),0)</f>
        <v/>
      </c>
      <c r="T921">
        <f>ROUND((M921*0.25)+(N921*0.20)+(O921*0.15)+(P921*0.15)+(Q921*0.10)+(R921*0.10)+(S921*0.05),2)</f>
        <v/>
      </c>
      <c r="U921">
        <f>IF(T921&gt;=4.25,"Critical",IF(T921&gt;=3.5,"High",IF(T921&gt;=2,"Medium","Low")))</f>
        <v/>
      </c>
    </row>
    <row r="922">
      <c r="R922">
        <f>IFERROR(XLOOKUP(XLOOKUP(D922,tblReleaseChanges[Change_ID],tblReleaseChanges[Oracle_Severity],""),tblSeverityMap[Severity_Text],tblSeverityMap[Score],0),0)</f>
        <v/>
      </c>
      <c r="T922">
        <f>ROUND((M922*0.25)+(N922*0.20)+(O922*0.15)+(P922*0.15)+(Q922*0.10)+(R922*0.10)+(S922*0.05),2)</f>
        <v/>
      </c>
      <c r="U922">
        <f>IF(T922&gt;=4.25,"Critical",IF(T922&gt;=3.5,"High",IF(T922&gt;=2,"Medium","Low")))</f>
        <v/>
      </c>
    </row>
    <row r="923">
      <c r="R923">
        <f>IFERROR(XLOOKUP(XLOOKUP(D923,tblReleaseChanges[Change_ID],tblReleaseChanges[Oracle_Severity],""),tblSeverityMap[Severity_Text],tblSeverityMap[Score],0),0)</f>
        <v/>
      </c>
      <c r="T923">
        <f>ROUND((M923*0.25)+(N923*0.20)+(O923*0.15)+(P923*0.15)+(Q923*0.10)+(R923*0.10)+(S923*0.05),2)</f>
        <v/>
      </c>
      <c r="U923">
        <f>IF(T923&gt;=4.25,"Critical",IF(T923&gt;=3.5,"High",IF(T923&gt;=2,"Medium","Low")))</f>
        <v/>
      </c>
    </row>
    <row r="924">
      <c r="R924">
        <f>IFERROR(XLOOKUP(XLOOKUP(D924,tblReleaseChanges[Change_ID],tblReleaseChanges[Oracle_Severity],""),tblSeverityMap[Severity_Text],tblSeverityMap[Score],0),0)</f>
        <v/>
      </c>
      <c r="T924">
        <f>ROUND((M924*0.25)+(N924*0.20)+(O924*0.15)+(P924*0.15)+(Q924*0.10)+(R924*0.10)+(S924*0.05),2)</f>
        <v/>
      </c>
      <c r="U924">
        <f>IF(T924&gt;=4.25,"Critical",IF(T924&gt;=3.5,"High",IF(T924&gt;=2,"Medium","Low")))</f>
        <v/>
      </c>
    </row>
    <row r="925">
      <c r="R925">
        <f>IFERROR(XLOOKUP(XLOOKUP(D925,tblReleaseChanges[Change_ID],tblReleaseChanges[Oracle_Severity],""),tblSeverityMap[Severity_Text],tblSeverityMap[Score],0),0)</f>
        <v/>
      </c>
      <c r="T925">
        <f>ROUND((M925*0.25)+(N925*0.20)+(O925*0.15)+(P925*0.15)+(Q925*0.10)+(R925*0.10)+(S925*0.05),2)</f>
        <v/>
      </c>
      <c r="U925">
        <f>IF(T925&gt;=4.25,"Critical",IF(T925&gt;=3.5,"High",IF(T925&gt;=2,"Medium","Low")))</f>
        <v/>
      </c>
    </row>
    <row r="926">
      <c r="R926">
        <f>IFERROR(XLOOKUP(XLOOKUP(D926,tblReleaseChanges[Change_ID],tblReleaseChanges[Oracle_Severity],""),tblSeverityMap[Severity_Text],tblSeverityMap[Score],0),0)</f>
        <v/>
      </c>
      <c r="T926">
        <f>ROUND((M926*0.25)+(N926*0.20)+(O926*0.15)+(P926*0.15)+(Q926*0.10)+(R926*0.10)+(S926*0.05),2)</f>
        <v/>
      </c>
      <c r="U926">
        <f>IF(T926&gt;=4.25,"Critical",IF(T926&gt;=3.5,"High",IF(T926&gt;=2,"Medium","Low")))</f>
        <v/>
      </c>
    </row>
    <row r="927">
      <c r="R927">
        <f>IFERROR(XLOOKUP(XLOOKUP(D927,tblReleaseChanges[Change_ID],tblReleaseChanges[Oracle_Severity],""),tblSeverityMap[Severity_Text],tblSeverityMap[Score],0),0)</f>
        <v/>
      </c>
      <c r="T927">
        <f>ROUND((M927*0.25)+(N927*0.20)+(O927*0.15)+(P927*0.15)+(Q927*0.10)+(R927*0.10)+(S927*0.05),2)</f>
        <v/>
      </c>
      <c r="U927">
        <f>IF(T927&gt;=4.25,"Critical",IF(T927&gt;=3.5,"High",IF(T927&gt;=2,"Medium","Low")))</f>
        <v/>
      </c>
    </row>
    <row r="928">
      <c r="R928">
        <f>IFERROR(XLOOKUP(XLOOKUP(D928,tblReleaseChanges[Change_ID],tblReleaseChanges[Oracle_Severity],""),tblSeverityMap[Severity_Text],tblSeverityMap[Score],0),0)</f>
        <v/>
      </c>
      <c r="T928">
        <f>ROUND((M928*0.25)+(N928*0.20)+(O928*0.15)+(P928*0.15)+(Q928*0.10)+(R928*0.10)+(S928*0.05),2)</f>
        <v/>
      </c>
      <c r="U928">
        <f>IF(T928&gt;=4.25,"Critical",IF(T928&gt;=3.5,"High",IF(T928&gt;=2,"Medium","Low")))</f>
        <v/>
      </c>
    </row>
    <row r="929">
      <c r="R929">
        <f>IFERROR(XLOOKUP(XLOOKUP(D929,tblReleaseChanges[Change_ID],tblReleaseChanges[Oracle_Severity],""),tblSeverityMap[Severity_Text],tblSeverityMap[Score],0),0)</f>
        <v/>
      </c>
      <c r="T929">
        <f>ROUND((M929*0.25)+(N929*0.20)+(O929*0.15)+(P929*0.15)+(Q929*0.10)+(R929*0.10)+(S929*0.05),2)</f>
        <v/>
      </c>
      <c r="U929">
        <f>IF(T929&gt;=4.25,"Critical",IF(T929&gt;=3.5,"High",IF(T929&gt;=2,"Medium","Low")))</f>
        <v/>
      </c>
    </row>
    <row r="930">
      <c r="R930">
        <f>IFERROR(XLOOKUP(XLOOKUP(D930,tblReleaseChanges[Change_ID],tblReleaseChanges[Oracle_Severity],""),tblSeverityMap[Severity_Text],tblSeverityMap[Score],0),0)</f>
        <v/>
      </c>
      <c r="T930">
        <f>ROUND((M930*0.25)+(N930*0.20)+(O930*0.15)+(P930*0.15)+(Q930*0.10)+(R930*0.10)+(S930*0.05),2)</f>
        <v/>
      </c>
      <c r="U930">
        <f>IF(T930&gt;=4.25,"Critical",IF(T930&gt;=3.5,"High",IF(T930&gt;=2,"Medium","Low")))</f>
        <v/>
      </c>
    </row>
    <row r="931">
      <c r="R931">
        <f>IFERROR(XLOOKUP(XLOOKUP(D931,tblReleaseChanges[Change_ID],tblReleaseChanges[Oracle_Severity],""),tblSeverityMap[Severity_Text],tblSeverityMap[Score],0),0)</f>
        <v/>
      </c>
      <c r="T931">
        <f>ROUND((M931*0.25)+(N931*0.20)+(O931*0.15)+(P931*0.15)+(Q931*0.10)+(R931*0.10)+(S931*0.05),2)</f>
        <v/>
      </c>
      <c r="U931">
        <f>IF(T931&gt;=4.25,"Critical",IF(T931&gt;=3.5,"High",IF(T931&gt;=2,"Medium","Low")))</f>
        <v/>
      </c>
    </row>
    <row r="932">
      <c r="R932">
        <f>IFERROR(XLOOKUP(XLOOKUP(D932,tblReleaseChanges[Change_ID],tblReleaseChanges[Oracle_Severity],""),tblSeverityMap[Severity_Text],tblSeverityMap[Score],0),0)</f>
        <v/>
      </c>
      <c r="T932">
        <f>ROUND((M932*0.25)+(N932*0.20)+(O932*0.15)+(P932*0.15)+(Q932*0.10)+(R932*0.10)+(S932*0.05),2)</f>
        <v/>
      </c>
      <c r="U932">
        <f>IF(T932&gt;=4.25,"Critical",IF(T932&gt;=3.5,"High",IF(T932&gt;=2,"Medium","Low")))</f>
        <v/>
      </c>
    </row>
    <row r="933">
      <c r="R933">
        <f>IFERROR(XLOOKUP(XLOOKUP(D933,tblReleaseChanges[Change_ID],tblReleaseChanges[Oracle_Severity],""),tblSeverityMap[Severity_Text],tblSeverityMap[Score],0),0)</f>
        <v/>
      </c>
      <c r="T933">
        <f>ROUND((M933*0.25)+(N933*0.20)+(O933*0.15)+(P933*0.15)+(Q933*0.10)+(R933*0.10)+(S933*0.05),2)</f>
        <v/>
      </c>
      <c r="U933">
        <f>IF(T933&gt;=4.25,"Critical",IF(T933&gt;=3.5,"High",IF(T933&gt;=2,"Medium","Low")))</f>
        <v/>
      </c>
    </row>
    <row r="934">
      <c r="R934">
        <f>IFERROR(XLOOKUP(XLOOKUP(D934,tblReleaseChanges[Change_ID],tblReleaseChanges[Oracle_Severity],""),tblSeverityMap[Severity_Text],tblSeverityMap[Score],0),0)</f>
        <v/>
      </c>
      <c r="T934">
        <f>ROUND((M934*0.25)+(N934*0.20)+(O934*0.15)+(P934*0.15)+(Q934*0.10)+(R934*0.10)+(S934*0.05),2)</f>
        <v/>
      </c>
      <c r="U934">
        <f>IF(T934&gt;=4.25,"Critical",IF(T934&gt;=3.5,"High",IF(T934&gt;=2,"Medium","Low")))</f>
        <v/>
      </c>
    </row>
    <row r="935">
      <c r="R935">
        <f>IFERROR(XLOOKUP(XLOOKUP(D935,tblReleaseChanges[Change_ID],tblReleaseChanges[Oracle_Severity],""),tblSeverityMap[Severity_Text],tblSeverityMap[Score],0),0)</f>
        <v/>
      </c>
      <c r="T935">
        <f>ROUND((M935*0.25)+(N935*0.20)+(O935*0.15)+(P935*0.15)+(Q935*0.10)+(R935*0.10)+(S935*0.05),2)</f>
        <v/>
      </c>
      <c r="U935">
        <f>IF(T935&gt;=4.25,"Critical",IF(T935&gt;=3.5,"High",IF(T935&gt;=2,"Medium","Low")))</f>
        <v/>
      </c>
    </row>
    <row r="936">
      <c r="R936">
        <f>IFERROR(XLOOKUP(XLOOKUP(D936,tblReleaseChanges[Change_ID],tblReleaseChanges[Oracle_Severity],""),tblSeverityMap[Severity_Text],tblSeverityMap[Score],0),0)</f>
        <v/>
      </c>
      <c r="T936">
        <f>ROUND((M936*0.25)+(N936*0.20)+(O936*0.15)+(P936*0.15)+(Q936*0.10)+(R936*0.10)+(S936*0.05),2)</f>
        <v/>
      </c>
      <c r="U936">
        <f>IF(T936&gt;=4.25,"Critical",IF(T936&gt;=3.5,"High",IF(T936&gt;=2,"Medium","Low")))</f>
        <v/>
      </c>
    </row>
    <row r="937">
      <c r="R937">
        <f>IFERROR(XLOOKUP(XLOOKUP(D937,tblReleaseChanges[Change_ID],tblReleaseChanges[Oracle_Severity],""),tblSeverityMap[Severity_Text],tblSeverityMap[Score],0),0)</f>
        <v/>
      </c>
      <c r="T937">
        <f>ROUND((M937*0.25)+(N937*0.20)+(O937*0.15)+(P937*0.15)+(Q937*0.10)+(R937*0.10)+(S937*0.05),2)</f>
        <v/>
      </c>
      <c r="U937">
        <f>IF(T937&gt;=4.25,"Critical",IF(T937&gt;=3.5,"High",IF(T937&gt;=2,"Medium","Low")))</f>
        <v/>
      </c>
    </row>
    <row r="938">
      <c r="R938">
        <f>IFERROR(XLOOKUP(XLOOKUP(D938,tblReleaseChanges[Change_ID],tblReleaseChanges[Oracle_Severity],""),tblSeverityMap[Severity_Text],tblSeverityMap[Score],0),0)</f>
        <v/>
      </c>
      <c r="T938">
        <f>ROUND((M938*0.25)+(N938*0.20)+(O938*0.15)+(P938*0.15)+(Q938*0.10)+(R938*0.10)+(S938*0.05),2)</f>
        <v/>
      </c>
      <c r="U938">
        <f>IF(T938&gt;=4.25,"Critical",IF(T938&gt;=3.5,"High",IF(T938&gt;=2,"Medium","Low")))</f>
        <v/>
      </c>
    </row>
    <row r="939">
      <c r="R939">
        <f>IFERROR(XLOOKUP(XLOOKUP(D939,tblReleaseChanges[Change_ID],tblReleaseChanges[Oracle_Severity],""),tblSeverityMap[Severity_Text],tblSeverityMap[Score],0),0)</f>
        <v/>
      </c>
      <c r="T939">
        <f>ROUND((M939*0.25)+(N939*0.20)+(O939*0.15)+(P939*0.15)+(Q939*0.10)+(R939*0.10)+(S939*0.05),2)</f>
        <v/>
      </c>
      <c r="U939">
        <f>IF(T939&gt;=4.25,"Critical",IF(T939&gt;=3.5,"High",IF(T939&gt;=2,"Medium","Low")))</f>
        <v/>
      </c>
    </row>
    <row r="940">
      <c r="R940">
        <f>IFERROR(XLOOKUP(XLOOKUP(D940,tblReleaseChanges[Change_ID],tblReleaseChanges[Oracle_Severity],""),tblSeverityMap[Severity_Text],tblSeverityMap[Score],0),0)</f>
        <v/>
      </c>
      <c r="T940">
        <f>ROUND((M940*0.25)+(N940*0.20)+(O940*0.15)+(P940*0.15)+(Q940*0.10)+(R940*0.10)+(S940*0.05),2)</f>
        <v/>
      </c>
      <c r="U940">
        <f>IF(T940&gt;=4.25,"Critical",IF(T940&gt;=3.5,"High",IF(T940&gt;=2,"Medium","Low")))</f>
        <v/>
      </c>
    </row>
    <row r="941">
      <c r="R941">
        <f>IFERROR(XLOOKUP(XLOOKUP(D941,tblReleaseChanges[Change_ID],tblReleaseChanges[Oracle_Severity],""),tblSeverityMap[Severity_Text],tblSeverityMap[Score],0),0)</f>
        <v/>
      </c>
      <c r="T941">
        <f>ROUND((M941*0.25)+(N941*0.20)+(O941*0.15)+(P941*0.15)+(Q941*0.10)+(R941*0.10)+(S941*0.05),2)</f>
        <v/>
      </c>
      <c r="U941">
        <f>IF(T941&gt;=4.25,"Critical",IF(T941&gt;=3.5,"High",IF(T941&gt;=2,"Medium","Low")))</f>
        <v/>
      </c>
    </row>
    <row r="942">
      <c r="R942">
        <f>IFERROR(XLOOKUP(XLOOKUP(D942,tblReleaseChanges[Change_ID],tblReleaseChanges[Oracle_Severity],""),tblSeverityMap[Severity_Text],tblSeverityMap[Score],0),0)</f>
        <v/>
      </c>
      <c r="T942">
        <f>ROUND((M942*0.25)+(N942*0.20)+(O942*0.15)+(P942*0.15)+(Q942*0.10)+(R942*0.10)+(S942*0.05),2)</f>
        <v/>
      </c>
      <c r="U942">
        <f>IF(T942&gt;=4.25,"Critical",IF(T942&gt;=3.5,"High",IF(T942&gt;=2,"Medium","Low")))</f>
        <v/>
      </c>
    </row>
    <row r="943">
      <c r="R943">
        <f>IFERROR(XLOOKUP(XLOOKUP(D943,tblReleaseChanges[Change_ID],tblReleaseChanges[Oracle_Severity],""),tblSeverityMap[Severity_Text],tblSeverityMap[Score],0),0)</f>
        <v/>
      </c>
      <c r="T943">
        <f>ROUND((M943*0.25)+(N943*0.20)+(O943*0.15)+(P943*0.15)+(Q943*0.10)+(R943*0.10)+(S943*0.05),2)</f>
        <v/>
      </c>
      <c r="U943">
        <f>IF(T943&gt;=4.25,"Critical",IF(T943&gt;=3.5,"High",IF(T943&gt;=2,"Medium","Low")))</f>
        <v/>
      </c>
    </row>
    <row r="944">
      <c r="R944">
        <f>IFERROR(XLOOKUP(XLOOKUP(D944,tblReleaseChanges[Change_ID],tblReleaseChanges[Oracle_Severity],""),tblSeverityMap[Severity_Text],tblSeverityMap[Score],0),0)</f>
        <v/>
      </c>
      <c r="T944">
        <f>ROUND((M944*0.25)+(N944*0.20)+(O944*0.15)+(P944*0.15)+(Q944*0.10)+(R944*0.10)+(S944*0.05),2)</f>
        <v/>
      </c>
      <c r="U944">
        <f>IF(T944&gt;=4.25,"Critical",IF(T944&gt;=3.5,"High",IF(T944&gt;=2,"Medium","Low")))</f>
        <v/>
      </c>
    </row>
    <row r="945">
      <c r="R945">
        <f>IFERROR(XLOOKUP(XLOOKUP(D945,tblReleaseChanges[Change_ID],tblReleaseChanges[Oracle_Severity],""),tblSeverityMap[Severity_Text],tblSeverityMap[Score],0),0)</f>
        <v/>
      </c>
      <c r="T945">
        <f>ROUND((M945*0.25)+(N945*0.20)+(O945*0.15)+(P945*0.15)+(Q945*0.10)+(R945*0.10)+(S945*0.05),2)</f>
        <v/>
      </c>
      <c r="U945">
        <f>IF(T945&gt;=4.25,"Critical",IF(T945&gt;=3.5,"High",IF(T945&gt;=2,"Medium","Low")))</f>
        <v/>
      </c>
    </row>
    <row r="946">
      <c r="R946">
        <f>IFERROR(XLOOKUP(XLOOKUP(D946,tblReleaseChanges[Change_ID],tblReleaseChanges[Oracle_Severity],""),tblSeverityMap[Severity_Text],tblSeverityMap[Score],0),0)</f>
        <v/>
      </c>
      <c r="T946">
        <f>ROUND((M946*0.25)+(N946*0.20)+(O946*0.15)+(P946*0.15)+(Q946*0.10)+(R946*0.10)+(S946*0.05),2)</f>
        <v/>
      </c>
      <c r="U946">
        <f>IF(T946&gt;=4.25,"Critical",IF(T946&gt;=3.5,"High",IF(T946&gt;=2,"Medium","Low")))</f>
        <v/>
      </c>
    </row>
    <row r="947">
      <c r="R947">
        <f>IFERROR(XLOOKUP(XLOOKUP(D947,tblReleaseChanges[Change_ID],tblReleaseChanges[Oracle_Severity],""),tblSeverityMap[Severity_Text],tblSeverityMap[Score],0),0)</f>
        <v/>
      </c>
      <c r="T947">
        <f>ROUND((M947*0.25)+(N947*0.20)+(O947*0.15)+(P947*0.15)+(Q947*0.10)+(R947*0.10)+(S947*0.05),2)</f>
        <v/>
      </c>
      <c r="U947">
        <f>IF(T947&gt;=4.25,"Critical",IF(T947&gt;=3.5,"High",IF(T947&gt;=2,"Medium","Low")))</f>
        <v/>
      </c>
    </row>
    <row r="948">
      <c r="R948">
        <f>IFERROR(XLOOKUP(XLOOKUP(D948,tblReleaseChanges[Change_ID],tblReleaseChanges[Oracle_Severity],""),tblSeverityMap[Severity_Text],tblSeverityMap[Score],0),0)</f>
        <v/>
      </c>
      <c r="T948">
        <f>ROUND((M948*0.25)+(N948*0.20)+(O948*0.15)+(P948*0.15)+(Q948*0.10)+(R948*0.10)+(S948*0.05),2)</f>
        <v/>
      </c>
      <c r="U948">
        <f>IF(T948&gt;=4.25,"Critical",IF(T948&gt;=3.5,"High",IF(T948&gt;=2,"Medium","Low")))</f>
        <v/>
      </c>
    </row>
    <row r="949">
      <c r="R949">
        <f>IFERROR(XLOOKUP(XLOOKUP(D949,tblReleaseChanges[Change_ID],tblReleaseChanges[Oracle_Severity],""),tblSeverityMap[Severity_Text],tblSeverityMap[Score],0),0)</f>
        <v/>
      </c>
      <c r="T949">
        <f>ROUND((M949*0.25)+(N949*0.20)+(O949*0.15)+(P949*0.15)+(Q949*0.10)+(R949*0.10)+(S949*0.05),2)</f>
        <v/>
      </c>
      <c r="U949">
        <f>IF(T949&gt;=4.25,"Critical",IF(T949&gt;=3.5,"High",IF(T949&gt;=2,"Medium","Low")))</f>
        <v/>
      </c>
    </row>
    <row r="950">
      <c r="R950">
        <f>IFERROR(XLOOKUP(XLOOKUP(D950,tblReleaseChanges[Change_ID],tblReleaseChanges[Oracle_Severity],""),tblSeverityMap[Severity_Text],tblSeverityMap[Score],0),0)</f>
        <v/>
      </c>
      <c r="T950">
        <f>ROUND((M950*0.25)+(N950*0.20)+(O950*0.15)+(P950*0.15)+(Q950*0.10)+(R950*0.10)+(S950*0.05),2)</f>
        <v/>
      </c>
      <c r="U950">
        <f>IF(T950&gt;=4.25,"Critical",IF(T950&gt;=3.5,"High",IF(T950&gt;=2,"Medium","Low")))</f>
        <v/>
      </c>
    </row>
    <row r="951">
      <c r="R951">
        <f>IFERROR(XLOOKUP(XLOOKUP(D951,tblReleaseChanges[Change_ID],tblReleaseChanges[Oracle_Severity],""),tblSeverityMap[Severity_Text],tblSeverityMap[Score],0),0)</f>
        <v/>
      </c>
      <c r="T951">
        <f>ROUND((M951*0.25)+(N951*0.20)+(O951*0.15)+(P951*0.15)+(Q951*0.10)+(R951*0.10)+(S951*0.05),2)</f>
        <v/>
      </c>
      <c r="U951">
        <f>IF(T951&gt;=4.25,"Critical",IF(T951&gt;=3.5,"High",IF(T951&gt;=2,"Medium","Low")))</f>
        <v/>
      </c>
    </row>
    <row r="952">
      <c r="R952">
        <f>IFERROR(XLOOKUP(XLOOKUP(D952,tblReleaseChanges[Change_ID],tblReleaseChanges[Oracle_Severity],""),tblSeverityMap[Severity_Text],tblSeverityMap[Score],0),0)</f>
        <v/>
      </c>
      <c r="T952">
        <f>ROUND((M952*0.25)+(N952*0.20)+(O952*0.15)+(P952*0.15)+(Q952*0.10)+(R952*0.10)+(S952*0.05),2)</f>
        <v/>
      </c>
      <c r="U952">
        <f>IF(T952&gt;=4.25,"Critical",IF(T952&gt;=3.5,"High",IF(T952&gt;=2,"Medium","Low")))</f>
        <v/>
      </c>
    </row>
    <row r="953">
      <c r="R953">
        <f>IFERROR(XLOOKUP(XLOOKUP(D953,tblReleaseChanges[Change_ID],tblReleaseChanges[Oracle_Severity],""),tblSeverityMap[Severity_Text],tblSeverityMap[Score],0),0)</f>
        <v/>
      </c>
      <c r="T953">
        <f>ROUND((M953*0.25)+(N953*0.20)+(O953*0.15)+(P953*0.15)+(Q953*0.10)+(R953*0.10)+(S953*0.05),2)</f>
        <v/>
      </c>
      <c r="U953">
        <f>IF(T953&gt;=4.25,"Critical",IF(T953&gt;=3.5,"High",IF(T953&gt;=2,"Medium","Low")))</f>
        <v/>
      </c>
    </row>
    <row r="954">
      <c r="R954">
        <f>IFERROR(XLOOKUP(XLOOKUP(D954,tblReleaseChanges[Change_ID],tblReleaseChanges[Oracle_Severity],""),tblSeverityMap[Severity_Text],tblSeverityMap[Score],0),0)</f>
        <v/>
      </c>
      <c r="T954">
        <f>ROUND((M954*0.25)+(N954*0.20)+(O954*0.15)+(P954*0.15)+(Q954*0.10)+(R954*0.10)+(S954*0.05),2)</f>
        <v/>
      </c>
      <c r="U954">
        <f>IF(T954&gt;=4.25,"Critical",IF(T954&gt;=3.5,"High",IF(T954&gt;=2,"Medium","Low")))</f>
        <v/>
      </c>
    </row>
    <row r="955">
      <c r="R955">
        <f>IFERROR(XLOOKUP(XLOOKUP(D955,tblReleaseChanges[Change_ID],tblReleaseChanges[Oracle_Severity],""),tblSeverityMap[Severity_Text],tblSeverityMap[Score],0),0)</f>
        <v/>
      </c>
      <c r="T955">
        <f>ROUND((M955*0.25)+(N955*0.20)+(O955*0.15)+(P955*0.15)+(Q955*0.10)+(R955*0.10)+(S955*0.05),2)</f>
        <v/>
      </c>
      <c r="U955">
        <f>IF(T955&gt;=4.25,"Critical",IF(T955&gt;=3.5,"High",IF(T955&gt;=2,"Medium","Low")))</f>
        <v/>
      </c>
    </row>
    <row r="956">
      <c r="R956">
        <f>IFERROR(XLOOKUP(XLOOKUP(D956,tblReleaseChanges[Change_ID],tblReleaseChanges[Oracle_Severity],""),tblSeverityMap[Severity_Text],tblSeverityMap[Score],0),0)</f>
        <v/>
      </c>
      <c r="T956">
        <f>ROUND((M956*0.25)+(N956*0.20)+(O956*0.15)+(P956*0.15)+(Q956*0.10)+(R956*0.10)+(S956*0.05),2)</f>
        <v/>
      </c>
      <c r="U956">
        <f>IF(T956&gt;=4.25,"Critical",IF(T956&gt;=3.5,"High",IF(T956&gt;=2,"Medium","Low")))</f>
        <v/>
      </c>
    </row>
    <row r="957">
      <c r="R957">
        <f>IFERROR(XLOOKUP(XLOOKUP(D957,tblReleaseChanges[Change_ID],tblReleaseChanges[Oracle_Severity],""),tblSeverityMap[Severity_Text],tblSeverityMap[Score],0),0)</f>
        <v/>
      </c>
      <c r="T957">
        <f>ROUND((M957*0.25)+(N957*0.20)+(O957*0.15)+(P957*0.15)+(Q957*0.10)+(R957*0.10)+(S957*0.05),2)</f>
        <v/>
      </c>
      <c r="U957">
        <f>IF(T957&gt;=4.25,"Critical",IF(T957&gt;=3.5,"High",IF(T957&gt;=2,"Medium","Low")))</f>
        <v/>
      </c>
    </row>
    <row r="958">
      <c r="R958">
        <f>IFERROR(XLOOKUP(XLOOKUP(D958,tblReleaseChanges[Change_ID],tblReleaseChanges[Oracle_Severity],""),tblSeverityMap[Severity_Text],tblSeverityMap[Score],0),0)</f>
        <v/>
      </c>
      <c r="T958">
        <f>ROUND((M958*0.25)+(N958*0.20)+(O958*0.15)+(P958*0.15)+(Q958*0.10)+(R958*0.10)+(S958*0.05),2)</f>
        <v/>
      </c>
      <c r="U958">
        <f>IF(T958&gt;=4.25,"Critical",IF(T958&gt;=3.5,"High",IF(T958&gt;=2,"Medium","Low")))</f>
        <v/>
      </c>
    </row>
    <row r="959">
      <c r="R959">
        <f>IFERROR(XLOOKUP(XLOOKUP(D959,tblReleaseChanges[Change_ID],tblReleaseChanges[Oracle_Severity],""),tblSeverityMap[Severity_Text],tblSeverityMap[Score],0),0)</f>
        <v/>
      </c>
      <c r="T959">
        <f>ROUND((M959*0.25)+(N959*0.20)+(O959*0.15)+(P959*0.15)+(Q959*0.10)+(R959*0.10)+(S959*0.05),2)</f>
        <v/>
      </c>
      <c r="U959">
        <f>IF(T959&gt;=4.25,"Critical",IF(T959&gt;=3.5,"High",IF(T959&gt;=2,"Medium","Low")))</f>
        <v/>
      </c>
    </row>
    <row r="960">
      <c r="R960">
        <f>IFERROR(XLOOKUP(XLOOKUP(D960,tblReleaseChanges[Change_ID],tblReleaseChanges[Oracle_Severity],""),tblSeverityMap[Severity_Text],tblSeverityMap[Score],0),0)</f>
        <v/>
      </c>
      <c r="T960">
        <f>ROUND((M960*0.25)+(N960*0.20)+(O960*0.15)+(P960*0.15)+(Q960*0.10)+(R960*0.10)+(S960*0.05),2)</f>
        <v/>
      </c>
      <c r="U960">
        <f>IF(T960&gt;=4.25,"Critical",IF(T960&gt;=3.5,"High",IF(T960&gt;=2,"Medium","Low")))</f>
        <v/>
      </c>
    </row>
    <row r="961">
      <c r="R961">
        <f>IFERROR(XLOOKUP(XLOOKUP(D961,tblReleaseChanges[Change_ID],tblReleaseChanges[Oracle_Severity],""),tblSeverityMap[Severity_Text],tblSeverityMap[Score],0),0)</f>
        <v/>
      </c>
      <c r="T961">
        <f>ROUND((M961*0.25)+(N961*0.20)+(O961*0.15)+(P961*0.15)+(Q961*0.10)+(R961*0.10)+(S961*0.05),2)</f>
        <v/>
      </c>
      <c r="U961">
        <f>IF(T961&gt;=4.25,"Critical",IF(T961&gt;=3.5,"High",IF(T961&gt;=2,"Medium","Low")))</f>
        <v/>
      </c>
    </row>
    <row r="962">
      <c r="R962">
        <f>IFERROR(XLOOKUP(XLOOKUP(D962,tblReleaseChanges[Change_ID],tblReleaseChanges[Oracle_Severity],""),tblSeverityMap[Severity_Text],tblSeverityMap[Score],0),0)</f>
        <v/>
      </c>
      <c r="T962">
        <f>ROUND((M962*0.25)+(N962*0.20)+(O962*0.15)+(P962*0.15)+(Q962*0.10)+(R962*0.10)+(S962*0.05),2)</f>
        <v/>
      </c>
      <c r="U962">
        <f>IF(T962&gt;=4.25,"Critical",IF(T962&gt;=3.5,"High",IF(T962&gt;=2,"Medium","Low")))</f>
        <v/>
      </c>
    </row>
    <row r="963">
      <c r="R963">
        <f>IFERROR(XLOOKUP(XLOOKUP(D963,tblReleaseChanges[Change_ID],tblReleaseChanges[Oracle_Severity],""),tblSeverityMap[Severity_Text],tblSeverityMap[Score],0),0)</f>
        <v/>
      </c>
      <c r="T963">
        <f>ROUND((M963*0.25)+(N963*0.20)+(O963*0.15)+(P963*0.15)+(Q963*0.10)+(R963*0.10)+(S963*0.05),2)</f>
        <v/>
      </c>
      <c r="U963">
        <f>IF(T963&gt;=4.25,"Critical",IF(T963&gt;=3.5,"High",IF(T963&gt;=2,"Medium","Low")))</f>
        <v/>
      </c>
    </row>
    <row r="964">
      <c r="R964">
        <f>IFERROR(XLOOKUP(XLOOKUP(D964,tblReleaseChanges[Change_ID],tblReleaseChanges[Oracle_Severity],""),tblSeverityMap[Severity_Text],tblSeverityMap[Score],0),0)</f>
        <v/>
      </c>
      <c r="T964">
        <f>ROUND((M964*0.25)+(N964*0.20)+(O964*0.15)+(P964*0.15)+(Q964*0.10)+(R964*0.10)+(S964*0.05),2)</f>
        <v/>
      </c>
      <c r="U964">
        <f>IF(T964&gt;=4.25,"Critical",IF(T964&gt;=3.5,"High",IF(T964&gt;=2,"Medium","Low")))</f>
        <v/>
      </c>
    </row>
    <row r="965">
      <c r="R965">
        <f>IFERROR(XLOOKUP(XLOOKUP(D965,tblReleaseChanges[Change_ID],tblReleaseChanges[Oracle_Severity],""),tblSeverityMap[Severity_Text],tblSeverityMap[Score],0),0)</f>
        <v/>
      </c>
      <c r="T965">
        <f>ROUND((M965*0.25)+(N965*0.20)+(O965*0.15)+(P965*0.15)+(Q965*0.10)+(R965*0.10)+(S965*0.05),2)</f>
        <v/>
      </c>
      <c r="U965">
        <f>IF(T965&gt;=4.25,"Critical",IF(T965&gt;=3.5,"High",IF(T965&gt;=2,"Medium","Low")))</f>
        <v/>
      </c>
    </row>
    <row r="966">
      <c r="R966">
        <f>IFERROR(XLOOKUP(XLOOKUP(D966,tblReleaseChanges[Change_ID],tblReleaseChanges[Oracle_Severity],""),tblSeverityMap[Severity_Text],tblSeverityMap[Score],0),0)</f>
        <v/>
      </c>
      <c r="T966">
        <f>ROUND((M966*0.25)+(N966*0.20)+(O966*0.15)+(P966*0.15)+(Q966*0.10)+(R966*0.10)+(S966*0.05),2)</f>
        <v/>
      </c>
      <c r="U966">
        <f>IF(T966&gt;=4.25,"Critical",IF(T966&gt;=3.5,"High",IF(T966&gt;=2,"Medium","Low")))</f>
        <v/>
      </c>
    </row>
    <row r="967">
      <c r="R967">
        <f>IFERROR(XLOOKUP(XLOOKUP(D967,tblReleaseChanges[Change_ID],tblReleaseChanges[Oracle_Severity],""),tblSeverityMap[Severity_Text],tblSeverityMap[Score],0),0)</f>
        <v/>
      </c>
      <c r="T967">
        <f>ROUND((M967*0.25)+(N967*0.20)+(O967*0.15)+(P967*0.15)+(Q967*0.10)+(R967*0.10)+(S967*0.05),2)</f>
        <v/>
      </c>
      <c r="U967">
        <f>IF(T967&gt;=4.25,"Critical",IF(T967&gt;=3.5,"High",IF(T967&gt;=2,"Medium","Low")))</f>
        <v/>
      </c>
    </row>
    <row r="968">
      <c r="R968">
        <f>IFERROR(XLOOKUP(XLOOKUP(D968,tblReleaseChanges[Change_ID],tblReleaseChanges[Oracle_Severity],""),tblSeverityMap[Severity_Text],tblSeverityMap[Score],0),0)</f>
        <v/>
      </c>
      <c r="T968">
        <f>ROUND((M968*0.25)+(N968*0.20)+(O968*0.15)+(P968*0.15)+(Q968*0.10)+(R968*0.10)+(S968*0.05),2)</f>
        <v/>
      </c>
      <c r="U968">
        <f>IF(T968&gt;=4.25,"Critical",IF(T968&gt;=3.5,"High",IF(T968&gt;=2,"Medium","Low")))</f>
        <v/>
      </c>
    </row>
    <row r="969">
      <c r="R969">
        <f>IFERROR(XLOOKUP(XLOOKUP(D969,tblReleaseChanges[Change_ID],tblReleaseChanges[Oracle_Severity],""),tblSeverityMap[Severity_Text],tblSeverityMap[Score],0),0)</f>
        <v/>
      </c>
      <c r="T969">
        <f>ROUND((M969*0.25)+(N969*0.20)+(O969*0.15)+(P969*0.15)+(Q969*0.10)+(R969*0.10)+(S969*0.05),2)</f>
        <v/>
      </c>
      <c r="U969">
        <f>IF(T969&gt;=4.25,"Critical",IF(T969&gt;=3.5,"High",IF(T969&gt;=2,"Medium","Low")))</f>
        <v/>
      </c>
    </row>
    <row r="970">
      <c r="R970">
        <f>IFERROR(XLOOKUP(XLOOKUP(D970,tblReleaseChanges[Change_ID],tblReleaseChanges[Oracle_Severity],""),tblSeverityMap[Severity_Text],tblSeverityMap[Score],0),0)</f>
        <v/>
      </c>
      <c r="T970">
        <f>ROUND((M970*0.25)+(N970*0.20)+(O970*0.15)+(P970*0.15)+(Q970*0.10)+(R970*0.10)+(S970*0.05),2)</f>
        <v/>
      </c>
      <c r="U970">
        <f>IF(T970&gt;=4.25,"Critical",IF(T970&gt;=3.5,"High",IF(T970&gt;=2,"Medium","Low")))</f>
        <v/>
      </c>
    </row>
    <row r="971">
      <c r="R971">
        <f>IFERROR(XLOOKUP(XLOOKUP(D971,tblReleaseChanges[Change_ID],tblReleaseChanges[Oracle_Severity],""),tblSeverityMap[Severity_Text],tblSeverityMap[Score],0),0)</f>
        <v/>
      </c>
      <c r="T971">
        <f>ROUND((M971*0.25)+(N971*0.20)+(O971*0.15)+(P971*0.15)+(Q971*0.10)+(R971*0.10)+(S971*0.05),2)</f>
        <v/>
      </c>
      <c r="U971">
        <f>IF(T971&gt;=4.25,"Critical",IF(T971&gt;=3.5,"High",IF(T971&gt;=2,"Medium","Low")))</f>
        <v/>
      </c>
    </row>
    <row r="972">
      <c r="R972">
        <f>IFERROR(XLOOKUP(XLOOKUP(D972,tblReleaseChanges[Change_ID],tblReleaseChanges[Oracle_Severity],""),tblSeverityMap[Severity_Text],tblSeverityMap[Score],0),0)</f>
        <v/>
      </c>
      <c r="T972">
        <f>ROUND((M972*0.25)+(N972*0.20)+(O972*0.15)+(P972*0.15)+(Q972*0.10)+(R972*0.10)+(S972*0.05),2)</f>
        <v/>
      </c>
      <c r="U972">
        <f>IF(T972&gt;=4.25,"Critical",IF(T972&gt;=3.5,"High",IF(T972&gt;=2,"Medium","Low")))</f>
        <v/>
      </c>
    </row>
    <row r="973">
      <c r="R973">
        <f>IFERROR(XLOOKUP(XLOOKUP(D973,tblReleaseChanges[Change_ID],tblReleaseChanges[Oracle_Severity],""),tblSeverityMap[Severity_Text],tblSeverityMap[Score],0),0)</f>
        <v/>
      </c>
      <c r="T973">
        <f>ROUND((M973*0.25)+(N973*0.20)+(O973*0.15)+(P973*0.15)+(Q973*0.10)+(R973*0.10)+(S973*0.05),2)</f>
        <v/>
      </c>
      <c r="U973">
        <f>IF(T973&gt;=4.25,"Critical",IF(T973&gt;=3.5,"High",IF(T973&gt;=2,"Medium","Low")))</f>
        <v/>
      </c>
    </row>
    <row r="974">
      <c r="R974">
        <f>IFERROR(XLOOKUP(XLOOKUP(D974,tblReleaseChanges[Change_ID],tblReleaseChanges[Oracle_Severity],""),tblSeverityMap[Severity_Text],tblSeverityMap[Score],0),0)</f>
        <v/>
      </c>
      <c r="T974">
        <f>ROUND((M974*0.25)+(N974*0.20)+(O974*0.15)+(P974*0.15)+(Q974*0.10)+(R974*0.10)+(S974*0.05),2)</f>
        <v/>
      </c>
      <c r="U974">
        <f>IF(T974&gt;=4.25,"Critical",IF(T974&gt;=3.5,"High",IF(T974&gt;=2,"Medium","Low")))</f>
        <v/>
      </c>
    </row>
    <row r="975">
      <c r="R975">
        <f>IFERROR(XLOOKUP(XLOOKUP(D975,tblReleaseChanges[Change_ID],tblReleaseChanges[Oracle_Severity],""),tblSeverityMap[Severity_Text],tblSeverityMap[Score],0),0)</f>
        <v/>
      </c>
      <c r="T975">
        <f>ROUND((M975*0.25)+(N975*0.20)+(O975*0.15)+(P975*0.15)+(Q975*0.10)+(R975*0.10)+(S975*0.05),2)</f>
        <v/>
      </c>
      <c r="U975">
        <f>IF(T975&gt;=4.25,"Critical",IF(T975&gt;=3.5,"High",IF(T975&gt;=2,"Medium","Low")))</f>
        <v/>
      </c>
    </row>
    <row r="976">
      <c r="R976">
        <f>IFERROR(XLOOKUP(XLOOKUP(D976,tblReleaseChanges[Change_ID],tblReleaseChanges[Oracle_Severity],""),tblSeverityMap[Severity_Text],tblSeverityMap[Score],0),0)</f>
        <v/>
      </c>
      <c r="T976">
        <f>ROUND((M976*0.25)+(N976*0.20)+(O976*0.15)+(P976*0.15)+(Q976*0.10)+(R976*0.10)+(S976*0.05),2)</f>
        <v/>
      </c>
      <c r="U976">
        <f>IF(T976&gt;=4.25,"Critical",IF(T976&gt;=3.5,"High",IF(T976&gt;=2,"Medium","Low")))</f>
        <v/>
      </c>
    </row>
    <row r="977">
      <c r="R977">
        <f>IFERROR(XLOOKUP(XLOOKUP(D977,tblReleaseChanges[Change_ID],tblReleaseChanges[Oracle_Severity],""),tblSeverityMap[Severity_Text],tblSeverityMap[Score],0),0)</f>
        <v/>
      </c>
      <c r="T977">
        <f>ROUND((M977*0.25)+(N977*0.20)+(O977*0.15)+(P977*0.15)+(Q977*0.10)+(R977*0.10)+(S977*0.05),2)</f>
        <v/>
      </c>
      <c r="U977">
        <f>IF(T977&gt;=4.25,"Critical",IF(T977&gt;=3.5,"High",IF(T977&gt;=2,"Medium","Low")))</f>
        <v/>
      </c>
    </row>
    <row r="978">
      <c r="R978">
        <f>IFERROR(XLOOKUP(XLOOKUP(D978,tblReleaseChanges[Change_ID],tblReleaseChanges[Oracle_Severity],""),tblSeverityMap[Severity_Text],tblSeverityMap[Score],0),0)</f>
        <v/>
      </c>
      <c r="T978">
        <f>ROUND((M978*0.25)+(N978*0.20)+(O978*0.15)+(P978*0.15)+(Q978*0.10)+(R978*0.10)+(S978*0.05),2)</f>
        <v/>
      </c>
      <c r="U978">
        <f>IF(T978&gt;=4.25,"Critical",IF(T978&gt;=3.5,"High",IF(T978&gt;=2,"Medium","Low")))</f>
        <v/>
      </c>
    </row>
    <row r="979">
      <c r="R979">
        <f>IFERROR(XLOOKUP(XLOOKUP(D979,tblReleaseChanges[Change_ID],tblReleaseChanges[Oracle_Severity],""),tblSeverityMap[Severity_Text],tblSeverityMap[Score],0),0)</f>
        <v/>
      </c>
      <c r="T979">
        <f>ROUND((M979*0.25)+(N979*0.20)+(O979*0.15)+(P979*0.15)+(Q979*0.10)+(R979*0.10)+(S979*0.05),2)</f>
        <v/>
      </c>
      <c r="U979">
        <f>IF(T979&gt;=4.25,"Critical",IF(T979&gt;=3.5,"High",IF(T979&gt;=2,"Medium","Low")))</f>
        <v/>
      </c>
    </row>
    <row r="980">
      <c r="R980">
        <f>IFERROR(XLOOKUP(XLOOKUP(D980,tblReleaseChanges[Change_ID],tblReleaseChanges[Oracle_Severity],""),tblSeverityMap[Severity_Text],tblSeverityMap[Score],0),0)</f>
        <v/>
      </c>
      <c r="T980">
        <f>ROUND((M980*0.25)+(N980*0.20)+(O980*0.15)+(P980*0.15)+(Q980*0.10)+(R980*0.10)+(S980*0.05),2)</f>
        <v/>
      </c>
      <c r="U980">
        <f>IF(T980&gt;=4.25,"Critical",IF(T980&gt;=3.5,"High",IF(T980&gt;=2,"Medium","Low")))</f>
        <v/>
      </c>
    </row>
    <row r="981">
      <c r="R981">
        <f>IFERROR(XLOOKUP(XLOOKUP(D981,tblReleaseChanges[Change_ID],tblReleaseChanges[Oracle_Severity],""),tblSeverityMap[Severity_Text],tblSeverityMap[Score],0),0)</f>
        <v/>
      </c>
      <c r="T981">
        <f>ROUND((M981*0.25)+(N981*0.20)+(O981*0.15)+(P981*0.15)+(Q981*0.10)+(R981*0.10)+(S981*0.05),2)</f>
        <v/>
      </c>
      <c r="U981">
        <f>IF(T981&gt;=4.25,"Critical",IF(T981&gt;=3.5,"High",IF(T981&gt;=2,"Medium","Low")))</f>
        <v/>
      </c>
    </row>
    <row r="982">
      <c r="R982">
        <f>IFERROR(XLOOKUP(XLOOKUP(D982,tblReleaseChanges[Change_ID],tblReleaseChanges[Oracle_Severity],""),tblSeverityMap[Severity_Text],tblSeverityMap[Score],0),0)</f>
        <v/>
      </c>
      <c r="T982">
        <f>ROUND((M982*0.25)+(N982*0.20)+(O982*0.15)+(P982*0.15)+(Q982*0.10)+(R982*0.10)+(S982*0.05),2)</f>
        <v/>
      </c>
      <c r="U982">
        <f>IF(T982&gt;=4.25,"Critical",IF(T982&gt;=3.5,"High",IF(T982&gt;=2,"Medium","Low")))</f>
        <v/>
      </c>
    </row>
    <row r="983">
      <c r="R983">
        <f>IFERROR(XLOOKUP(XLOOKUP(D983,tblReleaseChanges[Change_ID],tblReleaseChanges[Oracle_Severity],""),tblSeverityMap[Severity_Text],tblSeverityMap[Score],0),0)</f>
        <v/>
      </c>
      <c r="T983">
        <f>ROUND((M983*0.25)+(N983*0.20)+(O983*0.15)+(P983*0.15)+(Q983*0.10)+(R983*0.10)+(S983*0.05),2)</f>
        <v/>
      </c>
      <c r="U983">
        <f>IF(T983&gt;=4.25,"Critical",IF(T983&gt;=3.5,"High",IF(T983&gt;=2,"Medium","Low")))</f>
        <v/>
      </c>
    </row>
    <row r="984">
      <c r="R984">
        <f>IFERROR(XLOOKUP(XLOOKUP(D984,tblReleaseChanges[Change_ID],tblReleaseChanges[Oracle_Severity],""),tblSeverityMap[Severity_Text],tblSeverityMap[Score],0),0)</f>
        <v/>
      </c>
      <c r="T984">
        <f>ROUND((M984*0.25)+(N984*0.20)+(O984*0.15)+(P984*0.15)+(Q984*0.10)+(R984*0.10)+(S984*0.05),2)</f>
        <v/>
      </c>
      <c r="U984">
        <f>IF(T984&gt;=4.25,"Critical",IF(T984&gt;=3.5,"High",IF(T984&gt;=2,"Medium","Low")))</f>
        <v/>
      </c>
    </row>
    <row r="985">
      <c r="R985">
        <f>IFERROR(XLOOKUP(XLOOKUP(D985,tblReleaseChanges[Change_ID],tblReleaseChanges[Oracle_Severity],""),tblSeverityMap[Severity_Text],tblSeverityMap[Score],0),0)</f>
        <v/>
      </c>
      <c r="T985">
        <f>ROUND((M985*0.25)+(N985*0.20)+(O985*0.15)+(P985*0.15)+(Q985*0.10)+(R985*0.10)+(S985*0.05),2)</f>
        <v/>
      </c>
      <c r="U985">
        <f>IF(T985&gt;=4.25,"Critical",IF(T985&gt;=3.5,"High",IF(T985&gt;=2,"Medium","Low")))</f>
        <v/>
      </c>
    </row>
    <row r="986">
      <c r="R986">
        <f>IFERROR(XLOOKUP(XLOOKUP(D986,tblReleaseChanges[Change_ID],tblReleaseChanges[Oracle_Severity],""),tblSeverityMap[Severity_Text],tblSeverityMap[Score],0),0)</f>
        <v/>
      </c>
      <c r="T986">
        <f>ROUND((M986*0.25)+(N986*0.20)+(O986*0.15)+(P986*0.15)+(Q986*0.10)+(R986*0.10)+(S986*0.05),2)</f>
        <v/>
      </c>
      <c r="U986">
        <f>IF(T986&gt;=4.25,"Critical",IF(T986&gt;=3.5,"High",IF(T986&gt;=2,"Medium","Low")))</f>
        <v/>
      </c>
    </row>
    <row r="987">
      <c r="R987">
        <f>IFERROR(XLOOKUP(XLOOKUP(D987,tblReleaseChanges[Change_ID],tblReleaseChanges[Oracle_Severity],""),tblSeverityMap[Severity_Text],tblSeverityMap[Score],0),0)</f>
        <v/>
      </c>
      <c r="T987">
        <f>ROUND((M987*0.25)+(N987*0.20)+(O987*0.15)+(P987*0.15)+(Q987*0.10)+(R987*0.10)+(S987*0.05),2)</f>
        <v/>
      </c>
      <c r="U987">
        <f>IF(T987&gt;=4.25,"Critical",IF(T987&gt;=3.5,"High",IF(T987&gt;=2,"Medium","Low")))</f>
        <v/>
      </c>
    </row>
    <row r="988">
      <c r="R988">
        <f>IFERROR(XLOOKUP(XLOOKUP(D988,tblReleaseChanges[Change_ID],tblReleaseChanges[Oracle_Severity],""),tblSeverityMap[Severity_Text],tblSeverityMap[Score],0),0)</f>
        <v/>
      </c>
      <c r="T988">
        <f>ROUND((M988*0.25)+(N988*0.20)+(O988*0.15)+(P988*0.15)+(Q988*0.10)+(R988*0.10)+(S988*0.05),2)</f>
        <v/>
      </c>
      <c r="U988">
        <f>IF(T988&gt;=4.25,"Critical",IF(T988&gt;=3.5,"High",IF(T988&gt;=2,"Medium","Low")))</f>
        <v/>
      </c>
    </row>
    <row r="989">
      <c r="R989">
        <f>IFERROR(XLOOKUP(XLOOKUP(D989,tblReleaseChanges[Change_ID],tblReleaseChanges[Oracle_Severity],""),tblSeverityMap[Severity_Text],tblSeverityMap[Score],0),0)</f>
        <v/>
      </c>
      <c r="T989">
        <f>ROUND((M989*0.25)+(N989*0.20)+(O989*0.15)+(P989*0.15)+(Q989*0.10)+(R989*0.10)+(S989*0.05),2)</f>
        <v/>
      </c>
      <c r="U989">
        <f>IF(T989&gt;=4.25,"Critical",IF(T989&gt;=3.5,"High",IF(T989&gt;=2,"Medium","Low")))</f>
        <v/>
      </c>
    </row>
    <row r="990">
      <c r="R990">
        <f>IFERROR(XLOOKUP(XLOOKUP(D990,tblReleaseChanges[Change_ID],tblReleaseChanges[Oracle_Severity],""),tblSeverityMap[Severity_Text],tblSeverityMap[Score],0),0)</f>
        <v/>
      </c>
      <c r="T990">
        <f>ROUND((M990*0.25)+(N990*0.20)+(O990*0.15)+(P990*0.15)+(Q990*0.10)+(R990*0.10)+(S990*0.05),2)</f>
        <v/>
      </c>
      <c r="U990">
        <f>IF(T990&gt;=4.25,"Critical",IF(T990&gt;=3.5,"High",IF(T990&gt;=2,"Medium","Low")))</f>
        <v/>
      </c>
    </row>
    <row r="991">
      <c r="R991">
        <f>IFERROR(XLOOKUP(XLOOKUP(D991,tblReleaseChanges[Change_ID],tblReleaseChanges[Oracle_Severity],""),tblSeverityMap[Severity_Text],tblSeverityMap[Score],0),0)</f>
        <v/>
      </c>
      <c r="T991">
        <f>ROUND((M991*0.25)+(N991*0.20)+(O991*0.15)+(P991*0.15)+(Q991*0.10)+(R991*0.10)+(S991*0.05),2)</f>
        <v/>
      </c>
      <c r="U991">
        <f>IF(T991&gt;=4.25,"Critical",IF(T991&gt;=3.5,"High",IF(T991&gt;=2,"Medium","Low")))</f>
        <v/>
      </c>
    </row>
    <row r="992">
      <c r="R992">
        <f>IFERROR(XLOOKUP(XLOOKUP(D992,tblReleaseChanges[Change_ID],tblReleaseChanges[Oracle_Severity],""),tblSeverityMap[Severity_Text],tblSeverityMap[Score],0),0)</f>
        <v/>
      </c>
      <c r="T992">
        <f>ROUND((M992*0.25)+(N992*0.20)+(O992*0.15)+(P992*0.15)+(Q992*0.10)+(R992*0.10)+(S992*0.05),2)</f>
        <v/>
      </c>
      <c r="U992">
        <f>IF(T992&gt;=4.25,"Critical",IF(T992&gt;=3.5,"High",IF(T992&gt;=2,"Medium","Low")))</f>
        <v/>
      </c>
    </row>
    <row r="993">
      <c r="R993">
        <f>IFERROR(XLOOKUP(XLOOKUP(D993,tblReleaseChanges[Change_ID],tblReleaseChanges[Oracle_Severity],""),tblSeverityMap[Severity_Text],tblSeverityMap[Score],0),0)</f>
        <v/>
      </c>
      <c r="T993">
        <f>ROUND((M993*0.25)+(N993*0.20)+(O993*0.15)+(P993*0.15)+(Q993*0.10)+(R993*0.10)+(S993*0.05),2)</f>
        <v/>
      </c>
      <c r="U993">
        <f>IF(T993&gt;=4.25,"Critical",IF(T993&gt;=3.5,"High",IF(T993&gt;=2,"Medium","Low")))</f>
        <v/>
      </c>
    </row>
    <row r="994">
      <c r="R994">
        <f>IFERROR(XLOOKUP(XLOOKUP(D994,tblReleaseChanges[Change_ID],tblReleaseChanges[Oracle_Severity],""),tblSeverityMap[Severity_Text],tblSeverityMap[Score],0),0)</f>
        <v/>
      </c>
      <c r="T994">
        <f>ROUND((M994*0.25)+(N994*0.20)+(O994*0.15)+(P994*0.15)+(Q994*0.10)+(R994*0.10)+(S994*0.05),2)</f>
        <v/>
      </c>
      <c r="U994">
        <f>IF(T994&gt;=4.25,"Critical",IF(T994&gt;=3.5,"High",IF(T994&gt;=2,"Medium","Low")))</f>
        <v/>
      </c>
    </row>
    <row r="995">
      <c r="R995">
        <f>IFERROR(XLOOKUP(XLOOKUP(D995,tblReleaseChanges[Change_ID],tblReleaseChanges[Oracle_Severity],""),tblSeverityMap[Severity_Text],tblSeverityMap[Score],0),0)</f>
        <v/>
      </c>
      <c r="T995">
        <f>ROUND((M995*0.25)+(N995*0.20)+(O995*0.15)+(P995*0.15)+(Q995*0.10)+(R995*0.10)+(S995*0.05),2)</f>
        <v/>
      </c>
      <c r="U995">
        <f>IF(T995&gt;=4.25,"Critical",IF(T995&gt;=3.5,"High",IF(T995&gt;=2,"Medium","Low")))</f>
        <v/>
      </c>
    </row>
    <row r="996">
      <c r="R996">
        <f>IFERROR(XLOOKUP(XLOOKUP(D996,tblReleaseChanges[Change_ID],tblReleaseChanges[Oracle_Severity],""),tblSeverityMap[Severity_Text],tblSeverityMap[Score],0),0)</f>
        <v/>
      </c>
      <c r="T996">
        <f>ROUND((M996*0.25)+(N996*0.20)+(O996*0.15)+(P996*0.15)+(Q996*0.10)+(R996*0.10)+(S996*0.05),2)</f>
        <v/>
      </c>
      <c r="U996">
        <f>IF(T996&gt;=4.25,"Critical",IF(T996&gt;=3.5,"High",IF(T996&gt;=2,"Medium","Low")))</f>
        <v/>
      </c>
    </row>
    <row r="997">
      <c r="R997">
        <f>IFERROR(XLOOKUP(XLOOKUP(D997,tblReleaseChanges[Change_ID],tblReleaseChanges[Oracle_Severity],""),tblSeverityMap[Severity_Text],tblSeverityMap[Score],0),0)</f>
        <v/>
      </c>
      <c r="T997">
        <f>ROUND((M997*0.25)+(N997*0.20)+(O997*0.15)+(P997*0.15)+(Q997*0.10)+(R997*0.10)+(S997*0.05),2)</f>
        <v/>
      </c>
      <c r="U997">
        <f>IF(T997&gt;=4.25,"Critical",IF(T997&gt;=3.5,"High",IF(T997&gt;=2,"Medium","Low")))</f>
        <v/>
      </c>
    </row>
    <row r="998">
      <c r="R998">
        <f>IFERROR(XLOOKUP(XLOOKUP(D998,tblReleaseChanges[Change_ID],tblReleaseChanges[Oracle_Severity],""),tblSeverityMap[Severity_Text],tblSeverityMap[Score],0),0)</f>
        <v/>
      </c>
      <c r="T998">
        <f>ROUND((M998*0.25)+(N998*0.20)+(O998*0.15)+(P998*0.15)+(Q998*0.10)+(R998*0.10)+(S998*0.05),2)</f>
        <v/>
      </c>
      <c r="U998">
        <f>IF(T998&gt;=4.25,"Critical",IF(T998&gt;=3.5,"High",IF(T998&gt;=2,"Medium","Low")))</f>
        <v/>
      </c>
    </row>
    <row r="999">
      <c r="R999">
        <f>IFERROR(XLOOKUP(XLOOKUP(D999,tblReleaseChanges[Change_ID],tblReleaseChanges[Oracle_Severity],""),tblSeverityMap[Severity_Text],tblSeverityMap[Score],0),0)</f>
        <v/>
      </c>
      <c r="T999">
        <f>ROUND((M999*0.25)+(N999*0.20)+(O999*0.15)+(P999*0.15)+(Q999*0.10)+(R999*0.10)+(S999*0.05),2)</f>
        <v/>
      </c>
      <c r="U999">
        <f>IF(T999&gt;=4.25,"Critical",IF(T999&gt;=3.5,"High",IF(T999&gt;=2,"Medium","Low")))</f>
        <v/>
      </c>
    </row>
    <row r="1000">
      <c r="R1000">
        <f>IFERROR(XLOOKUP(XLOOKUP(D1000,tblReleaseChanges[Change_ID],tblReleaseChanges[Oracle_Severity],""),tblSeverityMap[Severity_Text],tblSeverityMap[Score],0),0)</f>
        <v/>
      </c>
      <c r="T1000">
        <f>ROUND((M1000*0.25)+(N1000*0.20)+(O1000*0.15)+(P1000*0.15)+(Q1000*0.10)+(R1000*0.10)+(S1000*0.05),2)</f>
        <v/>
      </c>
      <c r="U1000">
        <f>IF(T1000&gt;=4.25,"Critical",IF(T1000&gt;=3.5,"High",IF(T1000&gt;=2,"Medium","Low")))</f>
        <v/>
      </c>
    </row>
    <row r="1001">
      <c r="R1001">
        <f>IFERROR(XLOOKUP(XLOOKUP(D1001,tblReleaseChanges[Change_ID],tblReleaseChanges[Oracle_Severity],""),tblSeverityMap[Severity_Text],tblSeverityMap[Score],0),0)</f>
        <v/>
      </c>
      <c r="T1001">
        <f>ROUND((M1001*0.25)+(N1001*0.20)+(O1001*0.15)+(P1001*0.15)+(Q1001*0.10)+(R1001*0.10)+(S1001*0.05),2)</f>
        <v/>
      </c>
      <c r="U1001">
        <f>IF(T1001&gt;=4.25,"Critical",IF(T1001&gt;=3.5,"High",IF(T1001&gt;=2,"Medium","Low")))</f>
        <v/>
      </c>
    </row>
    <row r="1002">
      <c r="R1002">
        <f>IFERROR(XLOOKUP(XLOOKUP(D1002,tblReleaseChanges[Change_ID],tblReleaseChanges[Oracle_Severity],""),tblSeverityMap[Severity_Text],tblSeverityMap[Score],0),0)</f>
        <v/>
      </c>
      <c r="T1002">
        <f>ROUND((M1002*0.25)+(N1002*0.20)+(O1002*0.15)+(P1002*0.15)+(Q1002*0.10)+(R1002*0.10)+(S1002*0.05),2)</f>
        <v/>
      </c>
      <c r="U1002">
        <f>IF(T1002&gt;=4.25,"Critical",IF(T1002&gt;=3.5,"High",IF(T1002&gt;=2,"Medium","Low")))</f>
        <v/>
      </c>
    </row>
    <row r="1003">
      <c r="R1003">
        <f>IFERROR(XLOOKUP(XLOOKUP(D1003,tblReleaseChanges[Change_ID],tblReleaseChanges[Oracle_Severity],""),tblSeverityMap[Severity_Text],tblSeverityMap[Score],0),0)</f>
        <v/>
      </c>
      <c r="T1003">
        <f>ROUND((M1003*0.25)+(N1003*0.20)+(O1003*0.15)+(P1003*0.15)+(Q1003*0.10)+(R1003*0.10)+(S1003*0.05),2)</f>
        <v/>
      </c>
      <c r="U1003">
        <f>IF(T1003&gt;=4.25,"Critical",IF(T1003&gt;=3.5,"High",IF(T1003&gt;=2,"Medium","Low")))</f>
        <v/>
      </c>
    </row>
    <row r="1004">
      <c r="R1004">
        <f>IFERROR(XLOOKUP(XLOOKUP(D1004,tblReleaseChanges[Change_ID],tblReleaseChanges[Oracle_Severity],""),tblSeverityMap[Severity_Text],tblSeverityMap[Score],0),0)</f>
        <v/>
      </c>
      <c r="T1004">
        <f>ROUND((M1004*0.25)+(N1004*0.20)+(O1004*0.15)+(P1004*0.15)+(Q1004*0.10)+(R1004*0.10)+(S1004*0.05),2)</f>
        <v/>
      </c>
      <c r="U1004">
        <f>IF(T1004&gt;=4.25,"Critical",IF(T1004&gt;=3.5,"High",IF(T1004&gt;=2,"Medium","Low")))</f>
        <v/>
      </c>
    </row>
    <row r="1005">
      <c r="R1005">
        <f>IFERROR(XLOOKUP(XLOOKUP(D1005,tblReleaseChanges[Change_ID],tblReleaseChanges[Oracle_Severity],""),tblSeverityMap[Severity_Text],tblSeverityMap[Score],0),0)</f>
        <v/>
      </c>
      <c r="T1005">
        <f>ROUND((M1005*0.25)+(N1005*0.20)+(O1005*0.15)+(P1005*0.15)+(Q1005*0.10)+(R1005*0.10)+(S1005*0.05),2)</f>
        <v/>
      </c>
      <c r="U1005">
        <f>IF(T1005&gt;=4.25,"Critical",IF(T1005&gt;=3.5,"High",IF(T1005&gt;=2,"Medium","Low")))</f>
        <v/>
      </c>
    </row>
    <row r="1006">
      <c r="R1006">
        <f>IFERROR(XLOOKUP(XLOOKUP(D1006,tblReleaseChanges[Change_ID],tblReleaseChanges[Oracle_Severity],""),tblSeverityMap[Severity_Text],tblSeverityMap[Score],0),0)</f>
        <v/>
      </c>
      <c r="T1006">
        <f>ROUND((M1006*0.25)+(N1006*0.20)+(O1006*0.15)+(P1006*0.15)+(Q1006*0.10)+(R1006*0.10)+(S1006*0.05),2)</f>
        <v/>
      </c>
      <c r="U1006">
        <f>IF(T1006&gt;=4.25,"Critical",IF(T1006&gt;=3.5,"High",IF(T1006&gt;=2,"Medium","Low")))</f>
        <v/>
      </c>
    </row>
    <row r="1007">
      <c r="R1007">
        <f>IFERROR(XLOOKUP(XLOOKUP(D1007,tblReleaseChanges[Change_ID],tblReleaseChanges[Oracle_Severity],""),tblSeverityMap[Severity_Text],tblSeverityMap[Score],0),0)</f>
        <v/>
      </c>
      <c r="T1007">
        <f>ROUND((M1007*0.25)+(N1007*0.20)+(O1007*0.15)+(P1007*0.15)+(Q1007*0.10)+(R1007*0.10)+(S1007*0.05),2)</f>
        <v/>
      </c>
      <c r="U1007">
        <f>IF(T1007&gt;=4.25,"Critical",IF(T1007&gt;=3.5,"High",IF(T1007&gt;=2,"Medium","Low")))</f>
        <v/>
      </c>
    </row>
    <row r="1008">
      <c r="R1008">
        <f>IFERROR(XLOOKUP(XLOOKUP(D1008,tblReleaseChanges[Change_ID],tblReleaseChanges[Oracle_Severity],""),tblSeverityMap[Severity_Text],tblSeverityMap[Score],0),0)</f>
        <v/>
      </c>
      <c r="T1008">
        <f>ROUND((M1008*0.25)+(N1008*0.20)+(O1008*0.15)+(P1008*0.15)+(Q1008*0.10)+(R1008*0.10)+(S1008*0.05),2)</f>
        <v/>
      </c>
      <c r="U1008">
        <f>IF(T1008&gt;=4.25,"Critical",IF(T1008&gt;=3.5,"High",IF(T1008&gt;=2,"Medium","Low")))</f>
        <v/>
      </c>
    </row>
    <row r="1009">
      <c r="R1009">
        <f>IFERROR(XLOOKUP(XLOOKUP(D1009,tblReleaseChanges[Change_ID],tblReleaseChanges[Oracle_Severity],""),tblSeverityMap[Severity_Text],tblSeverityMap[Score],0),0)</f>
        <v/>
      </c>
      <c r="T1009">
        <f>ROUND((M1009*0.25)+(N1009*0.20)+(O1009*0.15)+(P1009*0.15)+(Q1009*0.10)+(R1009*0.10)+(S1009*0.05),2)</f>
        <v/>
      </c>
      <c r="U1009">
        <f>IF(T1009&gt;=4.25,"Critical",IF(T1009&gt;=3.5,"High",IF(T1009&gt;=2,"Medium","Low")))</f>
        <v/>
      </c>
    </row>
    <row r="1010">
      <c r="R1010">
        <f>IFERROR(XLOOKUP(XLOOKUP(D1010,tblReleaseChanges[Change_ID],tblReleaseChanges[Oracle_Severity],""),tblSeverityMap[Severity_Text],tblSeverityMap[Score],0),0)</f>
        <v/>
      </c>
      <c r="T1010">
        <f>ROUND((M1010*0.25)+(N1010*0.20)+(O1010*0.15)+(P1010*0.15)+(Q1010*0.10)+(R1010*0.10)+(S1010*0.05),2)</f>
        <v/>
      </c>
      <c r="U1010">
        <f>IF(T1010&gt;=4.25,"Critical",IF(T1010&gt;=3.5,"High",IF(T1010&gt;=2,"Medium","Low")))</f>
        <v/>
      </c>
    </row>
    <row r="1011">
      <c r="R1011">
        <f>IFERROR(XLOOKUP(XLOOKUP(D1011,tblReleaseChanges[Change_ID],tblReleaseChanges[Oracle_Severity],""),tblSeverityMap[Severity_Text],tblSeverityMap[Score],0),0)</f>
        <v/>
      </c>
      <c r="T1011">
        <f>ROUND((M1011*0.25)+(N1011*0.20)+(O1011*0.15)+(P1011*0.15)+(Q1011*0.10)+(R1011*0.10)+(S1011*0.05),2)</f>
        <v/>
      </c>
      <c r="U1011">
        <f>IF(T1011&gt;=4.25,"Critical",IF(T1011&gt;=3.5,"High",IF(T1011&gt;=2,"Medium","Low")))</f>
        <v/>
      </c>
    </row>
    <row r="1012">
      <c r="R1012">
        <f>IFERROR(XLOOKUP(XLOOKUP(D1012,tblReleaseChanges[Change_ID],tblReleaseChanges[Oracle_Severity],""),tblSeverityMap[Severity_Text],tblSeverityMap[Score],0),0)</f>
        <v/>
      </c>
      <c r="T1012">
        <f>ROUND((M1012*0.25)+(N1012*0.20)+(O1012*0.15)+(P1012*0.15)+(Q1012*0.10)+(R1012*0.10)+(S1012*0.05),2)</f>
        <v/>
      </c>
      <c r="U1012">
        <f>IF(T1012&gt;=4.25,"Critical",IF(T1012&gt;=3.5,"High",IF(T1012&gt;=2,"Medium","Low")))</f>
        <v/>
      </c>
    </row>
    <row r="1013">
      <c r="R1013">
        <f>IFERROR(XLOOKUP(XLOOKUP(D1013,tblReleaseChanges[Change_ID],tblReleaseChanges[Oracle_Severity],""),tblSeverityMap[Severity_Text],tblSeverityMap[Score],0),0)</f>
        <v/>
      </c>
      <c r="T1013">
        <f>ROUND((M1013*0.25)+(N1013*0.20)+(O1013*0.15)+(P1013*0.15)+(Q1013*0.10)+(R1013*0.10)+(S1013*0.05),2)</f>
        <v/>
      </c>
      <c r="U1013">
        <f>IF(T1013&gt;=4.25,"Critical",IF(T1013&gt;=3.5,"High",IF(T1013&gt;=2,"Medium","Low")))</f>
        <v/>
      </c>
    </row>
    <row r="1014">
      <c r="R1014">
        <f>IFERROR(XLOOKUP(XLOOKUP(D1014,tblReleaseChanges[Change_ID],tblReleaseChanges[Oracle_Severity],""),tblSeverityMap[Severity_Text],tblSeverityMap[Score],0),0)</f>
        <v/>
      </c>
      <c r="T1014">
        <f>ROUND((M1014*0.25)+(N1014*0.20)+(O1014*0.15)+(P1014*0.15)+(Q1014*0.10)+(R1014*0.10)+(S1014*0.05),2)</f>
        <v/>
      </c>
      <c r="U1014">
        <f>IF(T1014&gt;=4.25,"Critical",IF(T1014&gt;=3.5,"High",IF(T1014&gt;=2,"Medium","Low")))</f>
        <v/>
      </c>
    </row>
    <row r="1015">
      <c r="R1015">
        <f>IFERROR(XLOOKUP(XLOOKUP(D1015,tblReleaseChanges[Change_ID],tblReleaseChanges[Oracle_Severity],""),tblSeverityMap[Severity_Text],tblSeverityMap[Score],0),0)</f>
        <v/>
      </c>
      <c r="T1015">
        <f>ROUND((M1015*0.25)+(N1015*0.20)+(O1015*0.15)+(P1015*0.15)+(Q1015*0.10)+(R1015*0.10)+(S1015*0.05),2)</f>
        <v/>
      </c>
      <c r="U1015">
        <f>IF(T1015&gt;=4.25,"Critical",IF(T1015&gt;=3.5,"High",IF(T1015&gt;=2,"Medium","Low")))</f>
        <v/>
      </c>
    </row>
    <row r="1016">
      <c r="R1016">
        <f>IFERROR(XLOOKUP(XLOOKUP(D1016,tblReleaseChanges[Change_ID],tblReleaseChanges[Oracle_Severity],""),tblSeverityMap[Severity_Text],tblSeverityMap[Score],0),0)</f>
        <v/>
      </c>
      <c r="T1016">
        <f>ROUND((M1016*0.25)+(N1016*0.20)+(O1016*0.15)+(P1016*0.15)+(Q1016*0.10)+(R1016*0.10)+(S1016*0.05),2)</f>
        <v/>
      </c>
      <c r="U1016">
        <f>IF(T1016&gt;=4.25,"Critical",IF(T1016&gt;=3.5,"High",IF(T1016&gt;=2,"Medium","Low")))</f>
        <v/>
      </c>
    </row>
    <row r="1017">
      <c r="R1017">
        <f>IFERROR(XLOOKUP(XLOOKUP(D1017,tblReleaseChanges[Change_ID],tblReleaseChanges[Oracle_Severity],""),tblSeverityMap[Severity_Text],tblSeverityMap[Score],0),0)</f>
        <v/>
      </c>
      <c r="T1017">
        <f>ROUND((M1017*0.25)+(N1017*0.20)+(O1017*0.15)+(P1017*0.15)+(Q1017*0.10)+(R1017*0.10)+(S1017*0.05),2)</f>
        <v/>
      </c>
      <c r="U1017">
        <f>IF(T1017&gt;=4.25,"Critical",IF(T1017&gt;=3.5,"High",IF(T1017&gt;=2,"Medium","Low")))</f>
        <v/>
      </c>
    </row>
    <row r="1018">
      <c r="R1018">
        <f>IFERROR(XLOOKUP(XLOOKUP(D1018,tblReleaseChanges[Change_ID],tblReleaseChanges[Oracle_Severity],""),tblSeverityMap[Severity_Text],tblSeverityMap[Score],0),0)</f>
        <v/>
      </c>
      <c r="T1018">
        <f>ROUND((M1018*0.25)+(N1018*0.20)+(O1018*0.15)+(P1018*0.15)+(Q1018*0.10)+(R1018*0.10)+(S1018*0.05),2)</f>
        <v/>
      </c>
      <c r="U1018">
        <f>IF(T1018&gt;=4.25,"Critical",IF(T1018&gt;=3.5,"High",IF(T1018&gt;=2,"Medium","Low")))</f>
        <v/>
      </c>
    </row>
    <row r="1019">
      <c r="R1019">
        <f>IFERROR(XLOOKUP(XLOOKUP(D1019,tblReleaseChanges[Change_ID],tblReleaseChanges[Oracle_Severity],""),tblSeverityMap[Severity_Text],tblSeverityMap[Score],0),0)</f>
        <v/>
      </c>
      <c r="T1019">
        <f>ROUND((M1019*0.25)+(N1019*0.20)+(O1019*0.15)+(P1019*0.15)+(Q1019*0.10)+(R1019*0.10)+(S1019*0.05),2)</f>
        <v/>
      </c>
      <c r="U1019">
        <f>IF(T1019&gt;=4.25,"Critical",IF(T1019&gt;=3.5,"High",IF(T1019&gt;=2,"Medium","Low")))</f>
        <v/>
      </c>
    </row>
    <row r="1020">
      <c r="R1020">
        <f>IFERROR(XLOOKUP(XLOOKUP(D1020,tblReleaseChanges[Change_ID],tblReleaseChanges[Oracle_Severity],""),tblSeverityMap[Severity_Text],tblSeverityMap[Score],0),0)</f>
        <v/>
      </c>
      <c r="T1020">
        <f>ROUND((M1020*0.25)+(N1020*0.20)+(O1020*0.15)+(P1020*0.15)+(Q1020*0.10)+(R1020*0.10)+(S1020*0.05),2)</f>
        <v/>
      </c>
      <c r="U1020">
        <f>IF(T1020&gt;=4.25,"Critical",IF(T1020&gt;=3.5,"High",IF(T1020&gt;=2,"Medium","Low")))</f>
        <v/>
      </c>
    </row>
    <row r="1021">
      <c r="R1021">
        <f>IFERROR(XLOOKUP(XLOOKUP(D1021,tblReleaseChanges[Change_ID],tblReleaseChanges[Oracle_Severity],""),tblSeverityMap[Severity_Text],tblSeverityMap[Score],0),0)</f>
        <v/>
      </c>
      <c r="T1021">
        <f>ROUND((M1021*0.25)+(N1021*0.20)+(O1021*0.15)+(P1021*0.15)+(Q1021*0.10)+(R1021*0.10)+(S1021*0.05),2)</f>
        <v/>
      </c>
      <c r="U1021">
        <f>IF(T1021&gt;=4.25,"Critical",IF(T1021&gt;=3.5,"High",IF(T1021&gt;=2,"Medium","Low")))</f>
        <v/>
      </c>
    </row>
    <row r="1022">
      <c r="R1022">
        <f>IFERROR(XLOOKUP(XLOOKUP(D1022,tblReleaseChanges[Change_ID],tblReleaseChanges[Oracle_Severity],""),tblSeverityMap[Severity_Text],tblSeverityMap[Score],0),0)</f>
        <v/>
      </c>
      <c r="T1022">
        <f>ROUND((M1022*0.25)+(N1022*0.20)+(O1022*0.15)+(P1022*0.15)+(Q1022*0.10)+(R1022*0.10)+(S1022*0.05),2)</f>
        <v/>
      </c>
      <c r="U1022">
        <f>IF(T1022&gt;=4.25,"Critical",IF(T1022&gt;=3.5,"High",IF(T1022&gt;=2,"Medium","Low")))</f>
        <v/>
      </c>
    </row>
    <row r="1023">
      <c r="R1023">
        <f>IFERROR(XLOOKUP(XLOOKUP(D1023,tblReleaseChanges[Change_ID],tblReleaseChanges[Oracle_Severity],""),tblSeverityMap[Severity_Text],tblSeverityMap[Score],0),0)</f>
        <v/>
      </c>
      <c r="T1023">
        <f>ROUND((M1023*0.25)+(N1023*0.20)+(O1023*0.15)+(P1023*0.15)+(Q1023*0.10)+(R1023*0.10)+(S1023*0.05),2)</f>
        <v/>
      </c>
      <c r="U1023">
        <f>IF(T1023&gt;=4.25,"Critical",IF(T1023&gt;=3.5,"High",IF(T1023&gt;=2,"Medium","Low")))</f>
        <v/>
      </c>
    </row>
    <row r="1024">
      <c r="R1024">
        <f>IFERROR(XLOOKUP(XLOOKUP(D1024,tblReleaseChanges[Change_ID],tblReleaseChanges[Oracle_Severity],""),tblSeverityMap[Severity_Text],tblSeverityMap[Score],0),0)</f>
        <v/>
      </c>
      <c r="T1024">
        <f>ROUND((M1024*0.25)+(N1024*0.20)+(O1024*0.15)+(P1024*0.15)+(Q1024*0.10)+(R1024*0.10)+(S1024*0.05),2)</f>
        <v/>
      </c>
      <c r="U1024">
        <f>IF(T1024&gt;=4.25,"Critical",IF(T1024&gt;=3.5,"High",IF(T1024&gt;=2,"Medium","Low")))</f>
        <v/>
      </c>
    </row>
    <row r="1025">
      <c r="R1025">
        <f>IFERROR(XLOOKUP(XLOOKUP(D1025,tblReleaseChanges[Change_ID],tblReleaseChanges[Oracle_Severity],""),tblSeverityMap[Severity_Text],tblSeverityMap[Score],0),0)</f>
        <v/>
      </c>
      <c r="T1025">
        <f>ROUND((M1025*0.25)+(N1025*0.20)+(O1025*0.15)+(P1025*0.15)+(Q1025*0.10)+(R1025*0.10)+(S1025*0.05),2)</f>
        <v/>
      </c>
      <c r="U1025">
        <f>IF(T1025&gt;=4.25,"Critical",IF(T1025&gt;=3.5,"High",IF(T1025&gt;=2,"Medium","Low")))</f>
        <v/>
      </c>
    </row>
    <row r="1026">
      <c r="R1026">
        <f>IFERROR(XLOOKUP(XLOOKUP(D1026,tblReleaseChanges[Change_ID],tblReleaseChanges[Oracle_Severity],""),tblSeverityMap[Severity_Text],tblSeverityMap[Score],0),0)</f>
        <v/>
      </c>
      <c r="T1026">
        <f>ROUND((M1026*0.25)+(N1026*0.20)+(O1026*0.15)+(P1026*0.15)+(Q1026*0.10)+(R1026*0.10)+(S1026*0.05),2)</f>
        <v/>
      </c>
      <c r="U1026">
        <f>IF(T1026&gt;=4.25,"Critical",IF(T1026&gt;=3.5,"High",IF(T1026&gt;=2,"Medium","Low")))</f>
        <v/>
      </c>
    </row>
    <row r="1027">
      <c r="R1027">
        <f>IFERROR(XLOOKUP(XLOOKUP(D1027,tblReleaseChanges[Change_ID],tblReleaseChanges[Oracle_Severity],""),tblSeverityMap[Severity_Text],tblSeverityMap[Score],0),0)</f>
        <v/>
      </c>
      <c r="T1027">
        <f>ROUND((M1027*0.25)+(N1027*0.20)+(O1027*0.15)+(P1027*0.15)+(Q1027*0.10)+(R1027*0.10)+(S1027*0.05),2)</f>
        <v/>
      </c>
      <c r="U1027">
        <f>IF(T1027&gt;=4.25,"Critical",IF(T1027&gt;=3.5,"High",IF(T1027&gt;=2,"Medium","Low")))</f>
        <v/>
      </c>
    </row>
    <row r="1028">
      <c r="R1028">
        <f>IFERROR(XLOOKUP(XLOOKUP(D1028,tblReleaseChanges[Change_ID],tblReleaseChanges[Oracle_Severity],""),tblSeverityMap[Severity_Text],tblSeverityMap[Score],0),0)</f>
        <v/>
      </c>
      <c r="T1028">
        <f>ROUND((M1028*0.25)+(N1028*0.20)+(O1028*0.15)+(P1028*0.15)+(Q1028*0.10)+(R1028*0.10)+(S1028*0.05),2)</f>
        <v/>
      </c>
      <c r="U1028">
        <f>IF(T1028&gt;=4.25,"Critical",IF(T1028&gt;=3.5,"High",IF(T1028&gt;=2,"Medium","Low")))</f>
        <v/>
      </c>
    </row>
    <row r="1029">
      <c r="R1029">
        <f>IFERROR(XLOOKUP(XLOOKUP(D1029,tblReleaseChanges[Change_ID],tblReleaseChanges[Oracle_Severity],""),tblSeverityMap[Severity_Text],tblSeverityMap[Score],0),0)</f>
        <v/>
      </c>
      <c r="T1029">
        <f>ROUND((M1029*0.25)+(N1029*0.20)+(O1029*0.15)+(P1029*0.15)+(Q1029*0.10)+(R1029*0.10)+(S1029*0.05),2)</f>
        <v/>
      </c>
      <c r="U1029">
        <f>IF(T1029&gt;=4.25,"Critical",IF(T1029&gt;=3.5,"High",IF(T1029&gt;=2,"Medium","Low")))</f>
        <v/>
      </c>
    </row>
    <row r="1030">
      <c r="R1030">
        <f>IFERROR(XLOOKUP(XLOOKUP(D1030,tblReleaseChanges[Change_ID],tblReleaseChanges[Oracle_Severity],""),tblSeverityMap[Severity_Text],tblSeverityMap[Score],0),0)</f>
        <v/>
      </c>
      <c r="T1030">
        <f>ROUND((M1030*0.25)+(N1030*0.20)+(O1030*0.15)+(P1030*0.15)+(Q1030*0.10)+(R1030*0.10)+(S1030*0.05),2)</f>
        <v/>
      </c>
      <c r="U1030">
        <f>IF(T1030&gt;=4.25,"Critical",IF(T1030&gt;=3.5,"High",IF(T1030&gt;=2,"Medium","Low")))</f>
        <v/>
      </c>
    </row>
    <row r="1031">
      <c r="R1031">
        <f>IFERROR(XLOOKUP(XLOOKUP(D1031,tblReleaseChanges[Change_ID],tblReleaseChanges[Oracle_Severity],""),tblSeverityMap[Severity_Text],tblSeverityMap[Score],0),0)</f>
        <v/>
      </c>
      <c r="T1031">
        <f>ROUND((M1031*0.25)+(N1031*0.20)+(O1031*0.15)+(P1031*0.15)+(Q1031*0.10)+(R1031*0.10)+(S1031*0.05),2)</f>
        <v/>
      </c>
      <c r="U1031">
        <f>IF(T1031&gt;=4.25,"Critical",IF(T1031&gt;=3.5,"High",IF(T1031&gt;=2,"Medium","Low")))</f>
        <v/>
      </c>
    </row>
    <row r="1032">
      <c r="R1032">
        <f>IFERROR(XLOOKUP(XLOOKUP(D1032,tblReleaseChanges[Change_ID],tblReleaseChanges[Oracle_Severity],""),tblSeverityMap[Severity_Text],tblSeverityMap[Score],0),0)</f>
        <v/>
      </c>
      <c r="T1032">
        <f>ROUND((M1032*0.25)+(N1032*0.20)+(O1032*0.15)+(P1032*0.15)+(Q1032*0.10)+(R1032*0.10)+(S1032*0.05),2)</f>
        <v/>
      </c>
      <c r="U1032">
        <f>IF(T1032&gt;=4.25,"Critical",IF(T1032&gt;=3.5,"High",IF(T1032&gt;=2,"Medium","Low")))</f>
        <v/>
      </c>
    </row>
    <row r="1033">
      <c r="R1033">
        <f>IFERROR(XLOOKUP(XLOOKUP(D1033,tblReleaseChanges[Change_ID],tblReleaseChanges[Oracle_Severity],""),tblSeverityMap[Severity_Text],tblSeverityMap[Score],0),0)</f>
        <v/>
      </c>
      <c r="T1033">
        <f>ROUND((M1033*0.25)+(N1033*0.20)+(O1033*0.15)+(P1033*0.15)+(Q1033*0.10)+(R1033*0.10)+(S1033*0.05),2)</f>
        <v/>
      </c>
      <c r="U1033">
        <f>IF(T1033&gt;=4.25,"Critical",IF(T1033&gt;=3.5,"High",IF(T1033&gt;=2,"Medium","Low")))</f>
        <v/>
      </c>
    </row>
    <row r="1034">
      <c r="R1034">
        <f>IFERROR(XLOOKUP(XLOOKUP(D1034,tblReleaseChanges[Change_ID],tblReleaseChanges[Oracle_Severity],""),tblSeverityMap[Severity_Text],tblSeverityMap[Score],0),0)</f>
        <v/>
      </c>
      <c r="T1034">
        <f>ROUND((M1034*0.25)+(N1034*0.20)+(O1034*0.15)+(P1034*0.15)+(Q1034*0.10)+(R1034*0.10)+(S1034*0.05),2)</f>
        <v/>
      </c>
      <c r="U1034">
        <f>IF(T1034&gt;=4.25,"Critical",IF(T1034&gt;=3.5,"High",IF(T1034&gt;=2,"Medium","Low")))</f>
        <v/>
      </c>
    </row>
    <row r="1035">
      <c r="R1035">
        <f>IFERROR(XLOOKUP(XLOOKUP(D1035,tblReleaseChanges[Change_ID],tblReleaseChanges[Oracle_Severity],""),tblSeverityMap[Severity_Text],tblSeverityMap[Score],0),0)</f>
        <v/>
      </c>
      <c r="T1035">
        <f>ROUND((M1035*0.25)+(N1035*0.20)+(O1035*0.15)+(P1035*0.15)+(Q1035*0.10)+(R1035*0.10)+(S1035*0.05),2)</f>
        <v/>
      </c>
      <c r="U1035">
        <f>IF(T1035&gt;=4.25,"Critical",IF(T1035&gt;=3.5,"High",IF(T1035&gt;=2,"Medium","Low")))</f>
        <v/>
      </c>
    </row>
    <row r="1036">
      <c r="R1036">
        <f>IFERROR(XLOOKUP(XLOOKUP(D1036,tblReleaseChanges[Change_ID],tblReleaseChanges[Oracle_Severity],""),tblSeverityMap[Severity_Text],tblSeverityMap[Score],0),0)</f>
        <v/>
      </c>
      <c r="T1036">
        <f>ROUND((M1036*0.25)+(N1036*0.20)+(O1036*0.15)+(P1036*0.15)+(Q1036*0.10)+(R1036*0.10)+(S1036*0.05),2)</f>
        <v/>
      </c>
      <c r="U1036">
        <f>IF(T1036&gt;=4.25,"Critical",IF(T1036&gt;=3.5,"High",IF(T1036&gt;=2,"Medium","Low")))</f>
        <v/>
      </c>
    </row>
    <row r="1037">
      <c r="R1037">
        <f>IFERROR(XLOOKUP(XLOOKUP(D1037,tblReleaseChanges[Change_ID],tblReleaseChanges[Oracle_Severity],""),tblSeverityMap[Severity_Text],tblSeverityMap[Score],0),0)</f>
        <v/>
      </c>
      <c r="T1037">
        <f>ROUND((M1037*0.25)+(N1037*0.20)+(O1037*0.15)+(P1037*0.15)+(Q1037*0.10)+(R1037*0.10)+(S1037*0.05),2)</f>
        <v/>
      </c>
      <c r="U1037">
        <f>IF(T1037&gt;=4.25,"Critical",IF(T1037&gt;=3.5,"High",IF(T1037&gt;=2,"Medium","Low")))</f>
        <v/>
      </c>
    </row>
    <row r="1038">
      <c r="R1038">
        <f>IFERROR(XLOOKUP(XLOOKUP(D1038,tblReleaseChanges[Change_ID],tblReleaseChanges[Oracle_Severity],""),tblSeverityMap[Severity_Text],tblSeverityMap[Score],0),0)</f>
        <v/>
      </c>
      <c r="T1038">
        <f>ROUND((M1038*0.25)+(N1038*0.20)+(O1038*0.15)+(P1038*0.15)+(Q1038*0.10)+(R1038*0.10)+(S1038*0.05),2)</f>
        <v/>
      </c>
      <c r="U1038">
        <f>IF(T1038&gt;=4.25,"Critical",IF(T1038&gt;=3.5,"High",IF(T1038&gt;=2,"Medium","Low")))</f>
        <v/>
      </c>
    </row>
    <row r="1039">
      <c r="R1039">
        <f>IFERROR(XLOOKUP(XLOOKUP(D1039,tblReleaseChanges[Change_ID],tblReleaseChanges[Oracle_Severity],""),tblSeverityMap[Severity_Text],tblSeverityMap[Score],0),0)</f>
        <v/>
      </c>
      <c r="T1039">
        <f>ROUND((M1039*0.25)+(N1039*0.20)+(O1039*0.15)+(P1039*0.15)+(Q1039*0.10)+(R1039*0.10)+(S1039*0.05),2)</f>
        <v/>
      </c>
      <c r="U1039">
        <f>IF(T1039&gt;=4.25,"Critical",IF(T1039&gt;=3.5,"High",IF(T1039&gt;=2,"Medium","Low")))</f>
        <v/>
      </c>
    </row>
    <row r="1040">
      <c r="R1040">
        <f>IFERROR(XLOOKUP(XLOOKUP(D1040,tblReleaseChanges[Change_ID],tblReleaseChanges[Oracle_Severity],""),tblSeverityMap[Severity_Text],tblSeverityMap[Score],0),0)</f>
        <v/>
      </c>
      <c r="T1040">
        <f>ROUND((M1040*0.25)+(N1040*0.20)+(O1040*0.15)+(P1040*0.15)+(Q1040*0.10)+(R1040*0.10)+(S1040*0.05),2)</f>
        <v/>
      </c>
      <c r="U1040">
        <f>IF(T1040&gt;=4.25,"Critical",IF(T1040&gt;=3.5,"High",IF(T1040&gt;=2,"Medium","Low")))</f>
        <v/>
      </c>
    </row>
    <row r="1041">
      <c r="R1041">
        <f>IFERROR(XLOOKUP(XLOOKUP(D1041,tblReleaseChanges[Change_ID],tblReleaseChanges[Oracle_Severity],""),tblSeverityMap[Severity_Text],tblSeverityMap[Score],0),0)</f>
        <v/>
      </c>
      <c r="T1041">
        <f>ROUND((M1041*0.25)+(N1041*0.20)+(O1041*0.15)+(P1041*0.15)+(Q1041*0.10)+(R1041*0.10)+(S1041*0.05),2)</f>
        <v/>
      </c>
      <c r="U1041">
        <f>IF(T1041&gt;=4.25,"Critical",IF(T1041&gt;=3.5,"High",IF(T1041&gt;=2,"Medium","Low")))</f>
        <v/>
      </c>
    </row>
    <row r="1042">
      <c r="R1042">
        <f>IFERROR(XLOOKUP(XLOOKUP(D1042,tblReleaseChanges[Change_ID],tblReleaseChanges[Oracle_Severity],""),tblSeverityMap[Severity_Text],tblSeverityMap[Score],0),0)</f>
        <v/>
      </c>
      <c r="T1042">
        <f>ROUND((M1042*0.25)+(N1042*0.20)+(O1042*0.15)+(P1042*0.15)+(Q1042*0.10)+(R1042*0.10)+(S1042*0.05),2)</f>
        <v/>
      </c>
      <c r="U1042">
        <f>IF(T1042&gt;=4.25,"Critical",IF(T1042&gt;=3.5,"High",IF(T1042&gt;=2,"Medium","Low")))</f>
        <v/>
      </c>
    </row>
    <row r="1043">
      <c r="R1043">
        <f>IFERROR(XLOOKUP(XLOOKUP(D1043,tblReleaseChanges[Change_ID],tblReleaseChanges[Oracle_Severity],""),tblSeverityMap[Severity_Text],tblSeverityMap[Score],0),0)</f>
        <v/>
      </c>
      <c r="T1043">
        <f>ROUND((M1043*0.25)+(N1043*0.20)+(O1043*0.15)+(P1043*0.15)+(Q1043*0.10)+(R1043*0.10)+(S1043*0.05),2)</f>
        <v/>
      </c>
      <c r="U1043">
        <f>IF(T1043&gt;=4.25,"Critical",IF(T1043&gt;=3.5,"High",IF(T1043&gt;=2,"Medium","Low")))</f>
        <v/>
      </c>
    </row>
    <row r="1044">
      <c r="R1044">
        <f>IFERROR(XLOOKUP(XLOOKUP(D1044,tblReleaseChanges[Change_ID],tblReleaseChanges[Oracle_Severity],""),tblSeverityMap[Severity_Text],tblSeverityMap[Score],0),0)</f>
        <v/>
      </c>
      <c r="T1044">
        <f>ROUND((M1044*0.25)+(N1044*0.20)+(O1044*0.15)+(P1044*0.15)+(Q1044*0.10)+(R1044*0.10)+(S1044*0.05),2)</f>
        <v/>
      </c>
      <c r="U1044">
        <f>IF(T1044&gt;=4.25,"Critical",IF(T1044&gt;=3.5,"High",IF(T1044&gt;=2,"Medium","Low")))</f>
        <v/>
      </c>
    </row>
    <row r="1045">
      <c r="R1045">
        <f>IFERROR(XLOOKUP(XLOOKUP(D1045,tblReleaseChanges[Change_ID],tblReleaseChanges[Oracle_Severity],""),tblSeverityMap[Severity_Text],tblSeverityMap[Score],0),0)</f>
        <v/>
      </c>
      <c r="T1045">
        <f>ROUND((M1045*0.25)+(N1045*0.20)+(O1045*0.15)+(P1045*0.15)+(Q1045*0.10)+(R1045*0.10)+(S1045*0.05),2)</f>
        <v/>
      </c>
      <c r="U1045">
        <f>IF(T1045&gt;=4.25,"Critical",IF(T1045&gt;=3.5,"High",IF(T1045&gt;=2,"Medium","Low")))</f>
        <v/>
      </c>
    </row>
    <row r="1046">
      <c r="R1046">
        <f>IFERROR(XLOOKUP(XLOOKUP(D1046,tblReleaseChanges[Change_ID],tblReleaseChanges[Oracle_Severity],""),tblSeverityMap[Severity_Text],tblSeverityMap[Score],0),0)</f>
        <v/>
      </c>
      <c r="T1046">
        <f>ROUND((M1046*0.25)+(N1046*0.20)+(O1046*0.15)+(P1046*0.15)+(Q1046*0.10)+(R1046*0.10)+(S1046*0.05),2)</f>
        <v/>
      </c>
      <c r="U1046">
        <f>IF(T1046&gt;=4.25,"Critical",IF(T1046&gt;=3.5,"High",IF(T1046&gt;=2,"Medium","Low")))</f>
        <v/>
      </c>
    </row>
    <row r="1047">
      <c r="R1047">
        <f>IFERROR(XLOOKUP(XLOOKUP(D1047,tblReleaseChanges[Change_ID],tblReleaseChanges[Oracle_Severity],""),tblSeverityMap[Severity_Text],tblSeverityMap[Score],0),0)</f>
        <v/>
      </c>
      <c r="T1047">
        <f>ROUND((M1047*0.25)+(N1047*0.20)+(O1047*0.15)+(P1047*0.15)+(Q1047*0.10)+(R1047*0.10)+(S1047*0.05),2)</f>
        <v/>
      </c>
      <c r="U1047">
        <f>IF(T1047&gt;=4.25,"Critical",IF(T1047&gt;=3.5,"High",IF(T1047&gt;=2,"Medium","Low")))</f>
        <v/>
      </c>
    </row>
    <row r="1048">
      <c r="R1048">
        <f>IFERROR(XLOOKUP(XLOOKUP(D1048,tblReleaseChanges[Change_ID],tblReleaseChanges[Oracle_Severity],""),tblSeverityMap[Severity_Text],tblSeverityMap[Score],0),0)</f>
        <v/>
      </c>
      <c r="T1048">
        <f>ROUND((M1048*0.25)+(N1048*0.20)+(O1048*0.15)+(P1048*0.15)+(Q1048*0.10)+(R1048*0.10)+(S1048*0.05),2)</f>
        <v/>
      </c>
      <c r="U1048">
        <f>IF(T1048&gt;=4.25,"Critical",IF(T1048&gt;=3.5,"High",IF(T1048&gt;=2,"Medium","Low")))</f>
        <v/>
      </c>
    </row>
    <row r="1049">
      <c r="R1049">
        <f>IFERROR(XLOOKUP(XLOOKUP(D1049,tblReleaseChanges[Change_ID],tblReleaseChanges[Oracle_Severity],""),tblSeverityMap[Severity_Text],tblSeverityMap[Score],0),0)</f>
        <v/>
      </c>
      <c r="T1049">
        <f>ROUND((M1049*0.25)+(N1049*0.20)+(O1049*0.15)+(P1049*0.15)+(Q1049*0.10)+(R1049*0.10)+(S1049*0.05),2)</f>
        <v/>
      </c>
      <c r="U1049">
        <f>IF(T1049&gt;=4.25,"Critical",IF(T1049&gt;=3.5,"High",IF(T1049&gt;=2,"Medium","Low")))</f>
        <v/>
      </c>
    </row>
    <row r="1050">
      <c r="R1050">
        <f>IFERROR(XLOOKUP(XLOOKUP(D1050,tblReleaseChanges[Change_ID],tblReleaseChanges[Oracle_Severity],""),tblSeverityMap[Severity_Text],tblSeverityMap[Score],0),0)</f>
        <v/>
      </c>
      <c r="T1050">
        <f>ROUND((M1050*0.25)+(N1050*0.20)+(O1050*0.15)+(P1050*0.15)+(Q1050*0.10)+(R1050*0.10)+(S1050*0.05),2)</f>
        <v/>
      </c>
      <c r="U1050">
        <f>IF(T1050&gt;=4.25,"Critical",IF(T1050&gt;=3.5,"High",IF(T1050&gt;=2,"Medium","Low")))</f>
        <v/>
      </c>
    </row>
    <row r="1051">
      <c r="R1051">
        <f>IFERROR(XLOOKUP(XLOOKUP(D1051,tblReleaseChanges[Change_ID],tblReleaseChanges[Oracle_Severity],""),tblSeverityMap[Severity_Text],tblSeverityMap[Score],0),0)</f>
        <v/>
      </c>
      <c r="T1051">
        <f>ROUND((M1051*0.25)+(N1051*0.20)+(O1051*0.15)+(P1051*0.15)+(Q1051*0.10)+(R1051*0.10)+(S1051*0.05),2)</f>
        <v/>
      </c>
      <c r="U1051">
        <f>IF(T1051&gt;=4.25,"Critical",IF(T1051&gt;=3.5,"High",IF(T1051&gt;=2,"Medium","Low")))</f>
        <v/>
      </c>
    </row>
    <row r="1052">
      <c r="R1052">
        <f>IFERROR(XLOOKUP(XLOOKUP(D1052,tblReleaseChanges[Change_ID],tblReleaseChanges[Oracle_Severity],""),tblSeverityMap[Severity_Text],tblSeverityMap[Score],0),0)</f>
        <v/>
      </c>
      <c r="T1052">
        <f>ROUND((M1052*0.25)+(N1052*0.20)+(O1052*0.15)+(P1052*0.15)+(Q1052*0.10)+(R1052*0.10)+(S1052*0.05),2)</f>
        <v/>
      </c>
      <c r="U1052">
        <f>IF(T1052&gt;=4.25,"Critical",IF(T1052&gt;=3.5,"High",IF(T1052&gt;=2,"Medium","Low")))</f>
        <v/>
      </c>
    </row>
    <row r="1053">
      <c r="R1053">
        <f>IFERROR(XLOOKUP(XLOOKUP(D1053,tblReleaseChanges[Change_ID],tblReleaseChanges[Oracle_Severity],""),tblSeverityMap[Severity_Text],tblSeverityMap[Score],0),0)</f>
        <v/>
      </c>
      <c r="T1053">
        <f>ROUND((M1053*0.25)+(N1053*0.20)+(O1053*0.15)+(P1053*0.15)+(Q1053*0.10)+(R1053*0.10)+(S1053*0.05),2)</f>
        <v/>
      </c>
      <c r="U1053">
        <f>IF(T1053&gt;=4.25,"Critical",IF(T1053&gt;=3.5,"High",IF(T1053&gt;=2,"Medium","Low")))</f>
        <v/>
      </c>
    </row>
    <row r="1054">
      <c r="R1054">
        <f>IFERROR(XLOOKUP(XLOOKUP(D1054,tblReleaseChanges[Change_ID],tblReleaseChanges[Oracle_Severity],""),tblSeverityMap[Severity_Text],tblSeverityMap[Score],0),0)</f>
        <v/>
      </c>
      <c r="T1054">
        <f>ROUND((M1054*0.25)+(N1054*0.20)+(O1054*0.15)+(P1054*0.15)+(Q1054*0.10)+(R1054*0.10)+(S1054*0.05),2)</f>
        <v/>
      </c>
      <c r="U1054">
        <f>IF(T1054&gt;=4.25,"Critical",IF(T1054&gt;=3.5,"High",IF(T1054&gt;=2,"Medium","Low")))</f>
        <v/>
      </c>
    </row>
    <row r="1055">
      <c r="R1055">
        <f>IFERROR(XLOOKUP(XLOOKUP(D1055,tblReleaseChanges[Change_ID],tblReleaseChanges[Oracle_Severity],""),tblSeverityMap[Severity_Text],tblSeverityMap[Score],0),0)</f>
        <v/>
      </c>
      <c r="T1055">
        <f>ROUND((M1055*0.25)+(N1055*0.20)+(O1055*0.15)+(P1055*0.15)+(Q1055*0.10)+(R1055*0.10)+(S1055*0.05),2)</f>
        <v/>
      </c>
      <c r="U1055">
        <f>IF(T1055&gt;=4.25,"Critical",IF(T1055&gt;=3.5,"High",IF(T1055&gt;=2,"Medium","Low")))</f>
        <v/>
      </c>
    </row>
    <row r="1056">
      <c r="R1056">
        <f>IFERROR(XLOOKUP(XLOOKUP(D1056,tblReleaseChanges[Change_ID],tblReleaseChanges[Oracle_Severity],""),tblSeverityMap[Severity_Text],tblSeverityMap[Score],0),0)</f>
        <v/>
      </c>
      <c r="T1056">
        <f>ROUND((M1056*0.25)+(N1056*0.20)+(O1056*0.15)+(P1056*0.15)+(Q1056*0.10)+(R1056*0.10)+(S1056*0.05),2)</f>
        <v/>
      </c>
      <c r="U1056">
        <f>IF(T1056&gt;=4.25,"Critical",IF(T1056&gt;=3.5,"High",IF(T1056&gt;=2,"Medium","Low")))</f>
        <v/>
      </c>
    </row>
    <row r="1057">
      <c r="R1057">
        <f>IFERROR(XLOOKUP(XLOOKUP(D1057,tblReleaseChanges[Change_ID],tblReleaseChanges[Oracle_Severity],""),tblSeverityMap[Severity_Text],tblSeverityMap[Score],0),0)</f>
        <v/>
      </c>
      <c r="T1057">
        <f>ROUND((M1057*0.25)+(N1057*0.20)+(O1057*0.15)+(P1057*0.15)+(Q1057*0.10)+(R1057*0.10)+(S1057*0.05),2)</f>
        <v/>
      </c>
      <c r="U1057">
        <f>IF(T1057&gt;=4.25,"Critical",IF(T1057&gt;=3.5,"High",IF(T1057&gt;=2,"Medium","Low")))</f>
        <v/>
      </c>
    </row>
    <row r="1058">
      <c r="R1058">
        <f>IFERROR(XLOOKUP(XLOOKUP(D1058,tblReleaseChanges[Change_ID],tblReleaseChanges[Oracle_Severity],""),tblSeverityMap[Severity_Text],tblSeverityMap[Score],0),0)</f>
        <v/>
      </c>
      <c r="T1058">
        <f>ROUND((M1058*0.25)+(N1058*0.20)+(O1058*0.15)+(P1058*0.15)+(Q1058*0.10)+(R1058*0.10)+(S1058*0.05),2)</f>
        <v/>
      </c>
      <c r="U1058">
        <f>IF(T1058&gt;=4.25,"Critical",IF(T1058&gt;=3.5,"High",IF(T1058&gt;=2,"Medium","Low")))</f>
        <v/>
      </c>
    </row>
    <row r="1059">
      <c r="R1059">
        <f>IFERROR(XLOOKUP(XLOOKUP(D1059,tblReleaseChanges[Change_ID],tblReleaseChanges[Oracle_Severity],""),tblSeverityMap[Severity_Text],tblSeverityMap[Score],0),0)</f>
        <v/>
      </c>
      <c r="T1059">
        <f>ROUND((M1059*0.25)+(N1059*0.20)+(O1059*0.15)+(P1059*0.15)+(Q1059*0.10)+(R1059*0.10)+(S1059*0.05),2)</f>
        <v/>
      </c>
      <c r="U1059">
        <f>IF(T1059&gt;=4.25,"Critical",IF(T1059&gt;=3.5,"High",IF(T1059&gt;=2,"Medium","Low")))</f>
        <v/>
      </c>
    </row>
    <row r="1060">
      <c r="R1060">
        <f>IFERROR(XLOOKUP(XLOOKUP(D1060,tblReleaseChanges[Change_ID],tblReleaseChanges[Oracle_Severity],""),tblSeverityMap[Severity_Text],tblSeverityMap[Score],0),0)</f>
        <v/>
      </c>
      <c r="T1060">
        <f>ROUND((M1060*0.25)+(N1060*0.20)+(O1060*0.15)+(P1060*0.15)+(Q1060*0.10)+(R1060*0.10)+(S1060*0.05),2)</f>
        <v/>
      </c>
      <c r="U1060">
        <f>IF(T1060&gt;=4.25,"Critical",IF(T1060&gt;=3.5,"High",IF(T1060&gt;=2,"Medium","Low")))</f>
        <v/>
      </c>
    </row>
    <row r="1061">
      <c r="R1061">
        <f>IFERROR(XLOOKUP(XLOOKUP(D1061,tblReleaseChanges[Change_ID],tblReleaseChanges[Oracle_Severity],""),tblSeverityMap[Severity_Text],tblSeverityMap[Score],0),0)</f>
        <v/>
      </c>
      <c r="T1061">
        <f>ROUND((M1061*0.25)+(N1061*0.20)+(O1061*0.15)+(P1061*0.15)+(Q1061*0.10)+(R1061*0.10)+(S1061*0.05),2)</f>
        <v/>
      </c>
      <c r="U1061">
        <f>IF(T1061&gt;=4.25,"Critical",IF(T1061&gt;=3.5,"High",IF(T1061&gt;=2,"Medium","Low")))</f>
        <v/>
      </c>
    </row>
    <row r="1062">
      <c r="R1062">
        <f>IFERROR(XLOOKUP(XLOOKUP(D1062,tblReleaseChanges[Change_ID],tblReleaseChanges[Oracle_Severity],""),tblSeverityMap[Severity_Text],tblSeverityMap[Score],0),0)</f>
        <v/>
      </c>
      <c r="T1062">
        <f>ROUND((M1062*0.25)+(N1062*0.20)+(O1062*0.15)+(P1062*0.15)+(Q1062*0.10)+(R1062*0.10)+(S1062*0.05),2)</f>
        <v/>
      </c>
      <c r="U1062">
        <f>IF(T1062&gt;=4.25,"Critical",IF(T1062&gt;=3.5,"High",IF(T1062&gt;=2,"Medium","Low")))</f>
        <v/>
      </c>
    </row>
    <row r="1063">
      <c r="R1063">
        <f>IFERROR(XLOOKUP(XLOOKUP(D1063,tblReleaseChanges[Change_ID],tblReleaseChanges[Oracle_Severity],""),tblSeverityMap[Severity_Text],tblSeverityMap[Score],0),0)</f>
        <v/>
      </c>
      <c r="T1063">
        <f>ROUND((M1063*0.25)+(N1063*0.20)+(O1063*0.15)+(P1063*0.15)+(Q1063*0.10)+(R1063*0.10)+(S1063*0.05),2)</f>
        <v/>
      </c>
      <c r="U1063">
        <f>IF(T1063&gt;=4.25,"Critical",IF(T1063&gt;=3.5,"High",IF(T1063&gt;=2,"Medium","Low")))</f>
        <v/>
      </c>
    </row>
    <row r="1064">
      <c r="R1064">
        <f>IFERROR(XLOOKUP(XLOOKUP(D1064,tblReleaseChanges[Change_ID],tblReleaseChanges[Oracle_Severity],""),tblSeverityMap[Severity_Text],tblSeverityMap[Score],0),0)</f>
        <v/>
      </c>
      <c r="T1064">
        <f>ROUND((M1064*0.25)+(N1064*0.20)+(O1064*0.15)+(P1064*0.15)+(Q1064*0.10)+(R1064*0.10)+(S1064*0.05),2)</f>
        <v/>
      </c>
      <c r="U1064">
        <f>IF(T1064&gt;=4.25,"Critical",IF(T1064&gt;=3.5,"High",IF(T1064&gt;=2,"Medium","Low")))</f>
        <v/>
      </c>
    </row>
    <row r="1065">
      <c r="R1065">
        <f>IFERROR(XLOOKUP(XLOOKUP(D1065,tblReleaseChanges[Change_ID],tblReleaseChanges[Oracle_Severity],""),tblSeverityMap[Severity_Text],tblSeverityMap[Score],0),0)</f>
        <v/>
      </c>
      <c r="T1065">
        <f>ROUND((M1065*0.25)+(N1065*0.20)+(O1065*0.15)+(P1065*0.15)+(Q1065*0.10)+(R1065*0.10)+(S1065*0.05),2)</f>
        <v/>
      </c>
      <c r="U1065">
        <f>IF(T1065&gt;=4.25,"Critical",IF(T1065&gt;=3.5,"High",IF(T1065&gt;=2,"Medium","Low")))</f>
        <v/>
      </c>
    </row>
    <row r="1066">
      <c r="R1066">
        <f>IFERROR(XLOOKUP(XLOOKUP(D1066,tblReleaseChanges[Change_ID],tblReleaseChanges[Oracle_Severity],""),tblSeverityMap[Severity_Text],tblSeverityMap[Score],0),0)</f>
        <v/>
      </c>
      <c r="T1066">
        <f>ROUND((M1066*0.25)+(N1066*0.20)+(O1066*0.15)+(P1066*0.15)+(Q1066*0.10)+(R1066*0.10)+(S1066*0.05),2)</f>
        <v/>
      </c>
      <c r="U1066">
        <f>IF(T1066&gt;=4.25,"Critical",IF(T1066&gt;=3.5,"High",IF(T1066&gt;=2,"Medium","Low")))</f>
        <v/>
      </c>
    </row>
    <row r="1067">
      <c r="R1067">
        <f>IFERROR(XLOOKUP(XLOOKUP(D1067,tblReleaseChanges[Change_ID],tblReleaseChanges[Oracle_Severity],""),tblSeverityMap[Severity_Text],tblSeverityMap[Score],0),0)</f>
        <v/>
      </c>
      <c r="T1067">
        <f>ROUND((M1067*0.25)+(N1067*0.20)+(O1067*0.15)+(P1067*0.15)+(Q1067*0.10)+(R1067*0.10)+(S1067*0.05),2)</f>
        <v/>
      </c>
      <c r="U1067">
        <f>IF(T1067&gt;=4.25,"Critical",IF(T1067&gt;=3.5,"High",IF(T1067&gt;=2,"Medium","Low")))</f>
        <v/>
      </c>
    </row>
    <row r="1068">
      <c r="R1068">
        <f>IFERROR(XLOOKUP(XLOOKUP(D1068,tblReleaseChanges[Change_ID],tblReleaseChanges[Oracle_Severity],""),tblSeverityMap[Severity_Text],tblSeverityMap[Score],0),0)</f>
        <v/>
      </c>
      <c r="T1068">
        <f>ROUND((M1068*0.25)+(N1068*0.20)+(O1068*0.15)+(P1068*0.15)+(Q1068*0.10)+(R1068*0.10)+(S1068*0.05),2)</f>
        <v/>
      </c>
      <c r="U1068">
        <f>IF(T1068&gt;=4.25,"Critical",IF(T1068&gt;=3.5,"High",IF(T1068&gt;=2,"Medium","Low")))</f>
        <v/>
      </c>
    </row>
    <row r="1069">
      <c r="R1069">
        <f>IFERROR(XLOOKUP(XLOOKUP(D1069,tblReleaseChanges[Change_ID],tblReleaseChanges[Oracle_Severity],""),tblSeverityMap[Severity_Text],tblSeverityMap[Score],0),0)</f>
        <v/>
      </c>
      <c r="T1069">
        <f>ROUND((M1069*0.25)+(N1069*0.20)+(O1069*0.15)+(P1069*0.15)+(Q1069*0.10)+(R1069*0.10)+(S1069*0.05),2)</f>
        <v/>
      </c>
      <c r="U1069">
        <f>IF(T1069&gt;=4.25,"Critical",IF(T1069&gt;=3.5,"High",IF(T1069&gt;=2,"Medium","Low")))</f>
        <v/>
      </c>
    </row>
    <row r="1070">
      <c r="R1070">
        <f>IFERROR(XLOOKUP(XLOOKUP(D1070,tblReleaseChanges[Change_ID],tblReleaseChanges[Oracle_Severity],""),tblSeverityMap[Severity_Text],tblSeverityMap[Score],0),0)</f>
        <v/>
      </c>
      <c r="T1070">
        <f>ROUND((M1070*0.25)+(N1070*0.20)+(O1070*0.15)+(P1070*0.15)+(Q1070*0.10)+(R1070*0.10)+(S1070*0.05),2)</f>
        <v/>
      </c>
      <c r="U1070">
        <f>IF(T1070&gt;=4.25,"Critical",IF(T1070&gt;=3.5,"High",IF(T1070&gt;=2,"Medium","Low")))</f>
        <v/>
      </c>
    </row>
    <row r="1071">
      <c r="R1071">
        <f>IFERROR(XLOOKUP(XLOOKUP(D1071,tblReleaseChanges[Change_ID],tblReleaseChanges[Oracle_Severity],""),tblSeverityMap[Severity_Text],tblSeverityMap[Score],0),0)</f>
        <v/>
      </c>
      <c r="T1071">
        <f>ROUND((M1071*0.25)+(N1071*0.20)+(O1071*0.15)+(P1071*0.15)+(Q1071*0.10)+(R1071*0.10)+(S1071*0.05),2)</f>
        <v/>
      </c>
      <c r="U1071">
        <f>IF(T1071&gt;=4.25,"Critical",IF(T1071&gt;=3.5,"High",IF(T1071&gt;=2,"Medium","Low")))</f>
        <v/>
      </c>
    </row>
    <row r="1072">
      <c r="R1072">
        <f>IFERROR(XLOOKUP(XLOOKUP(D1072,tblReleaseChanges[Change_ID],tblReleaseChanges[Oracle_Severity],""),tblSeverityMap[Severity_Text],tblSeverityMap[Score],0),0)</f>
        <v/>
      </c>
      <c r="T1072">
        <f>ROUND((M1072*0.25)+(N1072*0.20)+(O1072*0.15)+(P1072*0.15)+(Q1072*0.10)+(R1072*0.10)+(S1072*0.05),2)</f>
        <v/>
      </c>
      <c r="U1072">
        <f>IF(T1072&gt;=4.25,"Critical",IF(T1072&gt;=3.5,"High",IF(T1072&gt;=2,"Medium","Low")))</f>
        <v/>
      </c>
    </row>
    <row r="1073">
      <c r="R1073">
        <f>IFERROR(XLOOKUP(XLOOKUP(D1073,tblReleaseChanges[Change_ID],tblReleaseChanges[Oracle_Severity],""),tblSeverityMap[Severity_Text],tblSeverityMap[Score],0),0)</f>
        <v/>
      </c>
      <c r="T1073">
        <f>ROUND((M1073*0.25)+(N1073*0.20)+(O1073*0.15)+(P1073*0.15)+(Q1073*0.10)+(R1073*0.10)+(S1073*0.05),2)</f>
        <v/>
      </c>
      <c r="U1073">
        <f>IF(T1073&gt;=4.25,"Critical",IF(T1073&gt;=3.5,"High",IF(T1073&gt;=2,"Medium","Low")))</f>
        <v/>
      </c>
    </row>
    <row r="1074">
      <c r="R1074">
        <f>IFERROR(XLOOKUP(XLOOKUP(D1074,tblReleaseChanges[Change_ID],tblReleaseChanges[Oracle_Severity],""),tblSeverityMap[Severity_Text],tblSeverityMap[Score],0),0)</f>
        <v/>
      </c>
      <c r="T1074">
        <f>ROUND((M1074*0.25)+(N1074*0.20)+(O1074*0.15)+(P1074*0.15)+(Q1074*0.10)+(R1074*0.10)+(S1074*0.05),2)</f>
        <v/>
      </c>
      <c r="U1074">
        <f>IF(T1074&gt;=4.25,"Critical",IF(T1074&gt;=3.5,"High",IF(T1074&gt;=2,"Medium","Low")))</f>
        <v/>
      </c>
    </row>
    <row r="1075">
      <c r="R1075">
        <f>IFERROR(XLOOKUP(XLOOKUP(D1075,tblReleaseChanges[Change_ID],tblReleaseChanges[Oracle_Severity],""),tblSeverityMap[Severity_Text],tblSeverityMap[Score],0),0)</f>
        <v/>
      </c>
      <c r="T1075">
        <f>ROUND((M1075*0.25)+(N1075*0.20)+(O1075*0.15)+(P1075*0.15)+(Q1075*0.10)+(R1075*0.10)+(S1075*0.05),2)</f>
        <v/>
      </c>
      <c r="U1075">
        <f>IF(T1075&gt;=4.25,"Critical",IF(T1075&gt;=3.5,"High",IF(T1075&gt;=2,"Medium","Low")))</f>
        <v/>
      </c>
    </row>
    <row r="1076">
      <c r="R1076">
        <f>IFERROR(XLOOKUP(XLOOKUP(D1076,tblReleaseChanges[Change_ID],tblReleaseChanges[Oracle_Severity],""),tblSeverityMap[Severity_Text],tblSeverityMap[Score],0),0)</f>
        <v/>
      </c>
      <c r="T1076">
        <f>ROUND((M1076*0.25)+(N1076*0.20)+(O1076*0.15)+(P1076*0.15)+(Q1076*0.10)+(R1076*0.10)+(S1076*0.05),2)</f>
        <v/>
      </c>
      <c r="U1076">
        <f>IF(T1076&gt;=4.25,"Critical",IF(T1076&gt;=3.5,"High",IF(T1076&gt;=2,"Medium","Low")))</f>
        <v/>
      </c>
    </row>
    <row r="1077">
      <c r="R1077">
        <f>IFERROR(XLOOKUP(XLOOKUP(D1077,tblReleaseChanges[Change_ID],tblReleaseChanges[Oracle_Severity],""),tblSeverityMap[Severity_Text],tblSeverityMap[Score],0),0)</f>
        <v/>
      </c>
      <c r="T1077">
        <f>ROUND((M1077*0.25)+(N1077*0.20)+(O1077*0.15)+(P1077*0.15)+(Q1077*0.10)+(R1077*0.10)+(S1077*0.05),2)</f>
        <v/>
      </c>
      <c r="U1077">
        <f>IF(T1077&gt;=4.25,"Critical",IF(T1077&gt;=3.5,"High",IF(T1077&gt;=2,"Medium","Low")))</f>
        <v/>
      </c>
    </row>
    <row r="1078">
      <c r="R1078">
        <f>IFERROR(XLOOKUP(XLOOKUP(D1078,tblReleaseChanges[Change_ID],tblReleaseChanges[Oracle_Severity],""),tblSeverityMap[Severity_Text],tblSeverityMap[Score],0),0)</f>
        <v/>
      </c>
      <c r="T1078">
        <f>ROUND((M1078*0.25)+(N1078*0.20)+(O1078*0.15)+(P1078*0.15)+(Q1078*0.10)+(R1078*0.10)+(S1078*0.05),2)</f>
        <v/>
      </c>
      <c r="U1078">
        <f>IF(T1078&gt;=4.25,"Critical",IF(T1078&gt;=3.5,"High",IF(T1078&gt;=2,"Medium","Low")))</f>
        <v/>
      </c>
    </row>
    <row r="1079">
      <c r="R1079">
        <f>IFERROR(XLOOKUP(XLOOKUP(D1079,tblReleaseChanges[Change_ID],tblReleaseChanges[Oracle_Severity],""),tblSeverityMap[Severity_Text],tblSeverityMap[Score],0),0)</f>
        <v/>
      </c>
      <c r="T1079">
        <f>ROUND((M1079*0.25)+(N1079*0.20)+(O1079*0.15)+(P1079*0.15)+(Q1079*0.10)+(R1079*0.10)+(S1079*0.05),2)</f>
        <v/>
      </c>
      <c r="U1079">
        <f>IF(T1079&gt;=4.25,"Critical",IF(T1079&gt;=3.5,"High",IF(T1079&gt;=2,"Medium","Low")))</f>
        <v/>
      </c>
    </row>
    <row r="1080">
      <c r="R1080">
        <f>IFERROR(XLOOKUP(XLOOKUP(D1080,tblReleaseChanges[Change_ID],tblReleaseChanges[Oracle_Severity],""),tblSeverityMap[Severity_Text],tblSeverityMap[Score],0),0)</f>
        <v/>
      </c>
      <c r="T1080">
        <f>ROUND((M1080*0.25)+(N1080*0.20)+(O1080*0.15)+(P1080*0.15)+(Q1080*0.10)+(R1080*0.10)+(S1080*0.05),2)</f>
        <v/>
      </c>
      <c r="U1080">
        <f>IF(T1080&gt;=4.25,"Critical",IF(T1080&gt;=3.5,"High",IF(T1080&gt;=2,"Medium","Low")))</f>
        <v/>
      </c>
    </row>
    <row r="1081">
      <c r="R1081">
        <f>IFERROR(XLOOKUP(XLOOKUP(D1081,tblReleaseChanges[Change_ID],tblReleaseChanges[Oracle_Severity],""),tblSeverityMap[Severity_Text],tblSeverityMap[Score],0),0)</f>
        <v/>
      </c>
      <c r="T1081">
        <f>ROUND((M1081*0.25)+(N1081*0.20)+(O1081*0.15)+(P1081*0.15)+(Q1081*0.10)+(R1081*0.10)+(S1081*0.05),2)</f>
        <v/>
      </c>
      <c r="U1081">
        <f>IF(T1081&gt;=4.25,"Critical",IF(T1081&gt;=3.5,"High",IF(T1081&gt;=2,"Medium","Low")))</f>
        <v/>
      </c>
    </row>
    <row r="1082">
      <c r="R1082">
        <f>IFERROR(XLOOKUP(XLOOKUP(D1082,tblReleaseChanges[Change_ID],tblReleaseChanges[Oracle_Severity],""),tblSeverityMap[Severity_Text],tblSeverityMap[Score],0),0)</f>
        <v/>
      </c>
      <c r="T1082">
        <f>ROUND((M1082*0.25)+(N1082*0.20)+(O1082*0.15)+(P1082*0.15)+(Q1082*0.10)+(R1082*0.10)+(S1082*0.05),2)</f>
        <v/>
      </c>
      <c r="U1082">
        <f>IF(T1082&gt;=4.25,"Critical",IF(T1082&gt;=3.5,"High",IF(T1082&gt;=2,"Medium","Low")))</f>
        <v/>
      </c>
    </row>
    <row r="1083">
      <c r="R1083">
        <f>IFERROR(XLOOKUP(XLOOKUP(D1083,tblReleaseChanges[Change_ID],tblReleaseChanges[Oracle_Severity],""),tblSeverityMap[Severity_Text],tblSeverityMap[Score],0),0)</f>
        <v/>
      </c>
      <c r="T1083">
        <f>ROUND((M1083*0.25)+(N1083*0.20)+(O1083*0.15)+(P1083*0.15)+(Q1083*0.10)+(R1083*0.10)+(S1083*0.05),2)</f>
        <v/>
      </c>
      <c r="U1083">
        <f>IF(T1083&gt;=4.25,"Critical",IF(T1083&gt;=3.5,"High",IF(T1083&gt;=2,"Medium","Low")))</f>
        <v/>
      </c>
    </row>
    <row r="1084">
      <c r="R1084">
        <f>IFERROR(XLOOKUP(XLOOKUP(D1084,tblReleaseChanges[Change_ID],tblReleaseChanges[Oracle_Severity],""),tblSeverityMap[Severity_Text],tblSeverityMap[Score],0),0)</f>
        <v/>
      </c>
      <c r="T1084">
        <f>ROUND((M1084*0.25)+(N1084*0.20)+(O1084*0.15)+(P1084*0.15)+(Q1084*0.10)+(R1084*0.10)+(S1084*0.05),2)</f>
        <v/>
      </c>
      <c r="U1084">
        <f>IF(T1084&gt;=4.25,"Critical",IF(T1084&gt;=3.5,"High",IF(T1084&gt;=2,"Medium","Low")))</f>
        <v/>
      </c>
    </row>
    <row r="1085">
      <c r="R1085">
        <f>IFERROR(XLOOKUP(XLOOKUP(D1085,tblReleaseChanges[Change_ID],tblReleaseChanges[Oracle_Severity],""),tblSeverityMap[Severity_Text],tblSeverityMap[Score],0),0)</f>
        <v/>
      </c>
      <c r="T1085">
        <f>ROUND((M1085*0.25)+(N1085*0.20)+(O1085*0.15)+(P1085*0.15)+(Q1085*0.10)+(R1085*0.10)+(S1085*0.05),2)</f>
        <v/>
      </c>
      <c r="U1085">
        <f>IF(T1085&gt;=4.25,"Critical",IF(T1085&gt;=3.5,"High",IF(T1085&gt;=2,"Medium","Low")))</f>
        <v/>
      </c>
    </row>
    <row r="1086">
      <c r="R1086">
        <f>IFERROR(XLOOKUP(XLOOKUP(D1086,tblReleaseChanges[Change_ID],tblReleaseChanges[Oracle_Severity],""),tblSeverityMap[Severity_Text],tblSeverityMap[Score],0),0)</f>
        <v/>
      </c>
      <c r="T1086">
        <f>ROUND((M1086*0.25)+(N1086*0.20)+(O1086*0.15)+(P1086*0.15)+(Q1086*0.10)+(R1086*0.10)+(S1086*0.05),2)</f>
        <v/>
      </c>
      <c r="U1086">
        <f>IF(T1086&gt;=4.25,"Critical",IF(T1086&gt;=3.5,"High",IF(T1086&gt;=2,"Medium","Low")))</f>
        <v/>
      </c>
    </row>
    <row r="1087">
      <c r="R1087">
        <f>IFERROR(XLOOKUP(XLOOKUP(D1087,tblReleaseChanges[Change_ID],tblReleaseChanges[Oracle_Severity],""),tblSeverityMap[Severity_Text],tblSeverityMap[Score],0),0)</f>
        <v/>
      </c>
      <c r="T1087">
        <f>ROUND((M1087*0.25)+(N1087*0.20)+(O1087*0.15)+(P1087*0.15)+(Q1087*0.10)+(R1087*0.10)+(S1087*0.05),2)</f>
        <v/>
      </c>
      <c r="U1087">
        <f>IF(T1087&gt;=4.25,"Critical",IF(T1087&gt;=3.5,"High",IF(T1087&gt;=2,"Medium","Low")))</f>
        <v/>
      </c>
    </row>
    <row r="1088">
      <c r="R1088">
        <f>IFERROR(XLOOKUP(XLOOKUP(D1088,tblReleaseChanges[Change_ID],tblReleaseChanges[Oracle_Severity],""),tblSeverityMap[Severity_Text],tblSeverityMap[Score],0),0)</f>
        <v/>
      </c>
      <c r="T1088">
        <f>ROUND((M1088*0.25)+(N1088*0.20)+(O1088*0.15)+(P1088*0.15)+(Q1088*0.10)+(R1088*0.10)+(S1088*0.05),2)</f>
        <v/>
      </c>
      <c r="U1088">
        <f>IF(T1088&gt;=4.25,"Critical",IF(T1088&gt;=3.5,"High",IF(T1088&gt;=2,"Medium","Low")))</f>
        <v/>
      </c>
    </row>
    <row r="1089">
      <c r="R1089">
        <f>IFERROR(XLOOKUP(XLOOKUP(D1089,tblReleaseChanges[Change_ID],tblReleaseChanges[Oracle_Severity],""),tblSeverityMap[Severity_Text],tblSeverityMap[Score],0),0)</f>
        <v/>
      </c>
      <c r="T1089">
        <f>ROUND((M1089*0.25)+(N1089*0.20)+(O1089*0.15)+(P1089*0.15)+(Q1089*0.10)+(R1089*0.10)+(S1089*0.05),2)</f>
        <v/>
      </c>
      <c r="U1089">
        <f>IF(T1089&gt;=4.25,"Critical",IF(T1089&gt;=3.5,"High",IF(T1089&gt;=2,"Medium","Low")))</f>
        <v/>
      </c>
    </row>
    <row r="1090">
      <c r="R1090">
        <f>IFERROR(XLOOKUP(XLOOKUP(D1090,tblReleaseChanges[Change_ID],tblReleaseChanges[Oracle_Severity],""),tblSeverityMap[Severity_Text],tblSeverityMap[Score],0),0)</f>
        <v/>
      </c>
      <c r="T1090">
        <f>ROUND((M1090*0.25)+(N1090*0.20)+(O1090*0.15)+(P1090*0.15)+(Q1090*0.10)+(R1090*0.10)+(S1090*0.05),2)</f>
        <v/>
      </c>
      <c r="U1090">
        <f>IF(T1090&gt;=4.25,"Critical",IF(T1090&gt;=3.5,"High",IF(T1090&gt;=2,"Medium","Low")))</f>
        <v/>
      </c>
    </row>
    <row r="1091">
      <c r="R1091">
        <f>IFERROR(XLOOKUP(XLOOKUP(D1091,tblReleaseChanges[Change_ID],tblReleaseChanges[Oracle_Severity],""),tblSeverityMap[Severity_Text],tblSeverityMap[Score],0),0)</f>
        <v/>
      </c>
      <c r="T1091">
        <f>ROUND((M1091*0.25)+(N1091*0.20)+(O1091*0.15)+(P1091*0.15)+(Q1091*0.10)+(R1091*0.10)+(S1091*0.05),2)</f>
        <v/>
      </c>
      <c r="U1091">
        <f>IF(T1091&gt;=4.25,"Critical",IF(T1091&gt;=3.5,"High",IF(T1091&gt;=2,"Medium","Low")))</f>
        <v/>
      </c>
    </row>
    <row r="1092">
      <c r="R1092">
        <f>IFERROR(XLOOKUP(XLOOKUP(D1092,tblReleaseChanges[Change_ID],tblReleaseChanges[Oracle_Severity],""),tblSeverityMap[Severity_Text],tblSeverityMap[Score],0),0)</f>
        <v/>
      </c>
      <c r="T1092">
        <f>ROUND((M1092*0.25)+(N1092*0.20)+(O1092*0.15)+(P1092*0.15)+(Q1092*0.10)+(R1092*0.10)+(S1092*0.05),2)</f>
        <v/>
      </c>
      <c r="U1092">
        <f>IF(T1092&gt;=4.25,"Critical",IF(T1092&gt;=3.5,"High",IF(T1092&gt;=2,"Medium","Low")))</f>
        <v/>
      </c>
    </row>
    <row r="1093">
      <c r="R1093">
        <f>IFERROR(XLOOKUP(XLOOKUP(D1093,tblReleaseChanges[Change_ID],tblReleaseChanges[Oracle_Severity],""),tblSeverityMap[Severity_Text],tblSeverityMap[Score],0),0)</f>
        <v/>
      </c>
      <c r="T1093">
        <f>ROUND((M1093*0.25)+(N1093*0.20)+(O1093*0.15)+(P1093*0.15)+(Q1093*0.10)+(R1093*0.10)+(S1093*0.05),2)</f>
        <v/>
      </c>
      <c r="U1093">
        <f>IF(T1093&gt;=4.25,"Critical",IF(T1093&gt;=3.5,"High",IF(T1093&gt;=2,"Medium","Low")))</f>
        <v/>
      </c>
    </row>
    <row r="1094">
      <c r="R1094">
        <f>IFERROR(XLOOKUP(XLOOKUP(D1094,tblReleaseChanges[Change_ID],tblReleaseChanges[Oracle_Severity],""),tblSeverityMap[Severity_Text],tblSeverityMap[Score],0),0)</f>
        <v/>
      </c>
      <c r="T1094">
        <f>ROUND((M1094*0.25)+(N1094*0.20)+(O1094*0.15)+(P1094*0.15)+(Q1094*0.10)+(R1094*0.10)+(S1094*0.05),2)</f>
        <v/>
      </c>
      <c r="U1094">
        <f>IF(T1094&gt;=4.25,"Critical",IF(T1094&gt;=3.5,"High",IF(T1094&gt;=2,"Medium","Low")))</f>
        <v/>
      </c>
    </row>
    <row r="1095">
      <c r="R1095">
        <f>IFERROR(XLOOKUP(XLOOKUP(D1095,tblReleaseChanges[Change_ID],tblReleaseChanges[Oracle_Severity],""),tblSeverityMap[Severity_Text],tblSeverityMap[Score],0),0)</f>
        <v/>
      </c>
      <c r="T1095">
        <f>ROUND((M1095*0.25)+(N1095*0.20)+(O1095*0.15)+(P1095*0.15)+(Q1095*0.10)+(R1095*0.10)+(S1095*0.05),2)</f>
        <v/>
      </c>
      <c r="U1095">
        <f>IF(T1095&gt;=4.25,"Critical",IF(T1095&gt;=3.5,"High",IF(T1095&gt;=2,"Medium","Low")))</f>
        <v/>
      </c>
    </row>
    <row r="1096">
      <c r="R1096">
        <f>IFERROR(XLOOKUP(XLOOKUP(D1096,tblReleaseChanges[Change_ID],tblReleaseChanges[Oracle_Severity],""),tblSeverityMap[Severity_Text],tblSeverityMap[Score],0),0)</f>
        <v/>
      </c>
      <c r="T1096">
        <f>ROUND((M1096*0.25)+(N1096*0.20)+(O1096*0.15)+(P1096*0.15)+(Q1096*0.10)+(R1096*0.10)+(S1096*0.05),2)</f>
        <v/>
      </c>
      <c r="U1096">
        <f>IF(T1096&gt;=4.25,"Critical",IF(T1096&gt;=3.5,"High",IF(T1096&gt;=2,"Medium","Low")))</f>
        <v/>
      </c>
    </row>
    <row r="1097">
      <c r="R1097">
        <f>IFERROR(XLOOKUP(XLOOKUP(D1097,tblReleaseChanges[Change_ID],tblReleaseChanges[Oracle_Severity],""),tblSeverityMap[Severity_Text],tblSeverityMap[Score],0),0)</f>
        <v/>
      </c>
      <c r="T1097">
        <f>ROUND((M1097*0.25)+(N1097*0.20)+(O1097*0.15)+(P1097*0.15)+(Q1097*0.10)+(R1097*0.10)+(S1097*0.05),2)</f>
        <v/>
      </c>
      <c r="U1097">
        <f>IF(T1097&gt;=4.25,"Critical",IF(T1097&gt;=3.5,"High",IF(T1097&gt;=2,"Medium","Low")))</f>
        <v/>
      </c>
    </row>
    <row r="1098">
      <c r="R1098">
        <f>IFERROR(XLOOKUP(XLOOKUP(D1098,tblReleaseChanges[Change_ID],tblReleaseChanges[Oracle_Severity],""),tblSeverityMap[Severity_Text],tblSeverityMap[Score],0),0)</f>
        <v/>
      </c>
      <c r="T1098">
        <f>ROUND((M1098*0.25)+(N1098*0.20)+(O1098*0.15)+(P1098*0.15)+(Q1098*0.10)+(R1098*0.10)+(S1098*0.05),2)</f>
        <v/>
      </c>
      <c r="U1098">
        <f>IF(T1098&gt;=4.25,"Critical",IF(T1098&gt;=3.5,"High",IF(T1098&gt;=2,"Medium","Low")))</f>
        <v/>
      </c>
    </row>
    <row r="1099">
      <c r="R1099">
        <f>IFERROR(XLOOKUP(XLOOKUP(D1099,tblReleaseChanges[Change_ID],tblReleaseChanges[Oracle_Severity],""),tblSeverityMap[Severity_Text],tblSeverityMap[Score],0),0)</f>
        <v/>
      </c>
      <c r="T1099">
        <f>ROUND((M1099*0.25)+(N1099*0.20)+(O1099*0.15)+(P1099*0.15)+(Q1099*0.10)+(R1099*0.10)+(S1099*0.05),2)</f>
        <v/>
      </c>
      <c r="U1099">
        <f>IF(T1099&gt;=4.25,"Critical",IF(T1099&gt;=3.5,"High",IF(T1099&gt;=2,"Medium","Low")))</f>
        <v/>
      </c>
    </row>
    <row r="1100">
      <c r="R1100">
        <f>IFERROR(XLOOKUP(XLOOKUP(D1100,tblReleaseChanges[Change_ID],tblReleaseChanges[Oracle_Severity],""),tblSeverityMap[Severity_Text],tblSeverityMap[Score],0),0)</f>
        <v/>
      </c>
      <c r="T1100">
        <f>ROUND((M1100*0.25)+(N1100*0.20)+(O1100*0.15)+(P1100*0.15)+(Q1100*0.10)+(R1100*0.10)+(S1100*0.05),2)</f>
        <v/>
      </c>
      <c r="U1100">
        <f>IF(T1100&gt;=4.25,"Critical",IF(T1100&gt;=3.5,"High",IF(T1100&gt;=2,"Medium","Low")))</f>
        <v/>
      </c>
    </row>
    <row r="1101">
      <c r="R1101">
        <f>IFERROR(XLOOKUP(XLOOKUP(D1101,tblReleaseChanges[Change_ID],tblReleaseChanges[Oracle_Severity],""),tblSeverityMap[Severity_Text],tblSeverityMap[Score],0),0)</f>
        <v/>
      </c>
      <c r="T1101">
        <f>ROUND((M1101*0.25)+(N1101*0.20)+(O1101*0.15)+(P1101*0.15)+(Q1101*0.10)+(R1101*0.10)+(S1101*0.05),2)</f>
        <v/>
      </c>
      <c r="U1101">
        <f>IF(T1101&gt;=4.25,"Critical",IF(T1101&gt;=3.5,"High",IF(T1101&gt;=2,"Medium","Low")))</f>
        <v/>
      </c>
    </row>
    <row r="1102">
      <c r="R1102">
        <f>IFERROR(XLOOKUP(XLOOKUP(D1102,tblReleaseChanges[Change_ID],tblReleaseChanges[Oracle_Severity],""),tblSeverityMap[Severity_Text],tblSeverityMap[Score],0),0)</f>
        <v/>
      </c>
      <c r="T1102">
        <f>ROUND((M1102*0.25)+(N1102*0.20)+(O1102*0.15)+(P1102*0.15)+(Q1102*0.10)+(R1102*0.10)+(S1102*0.05),2)</f>
        <v/>
      </c>
      <c r="U1102">
        <f>IF(T1102&gt;=4.25,"Critical",IF(T1102&gt;=3.5,"High",IF(T1102&gt;=2,"Medium","Low")))</f>
        <v/>
      </c>
    </row>
    <row r="1103">
      <c r="R1103">
        <f>IFERROR(XLOOKUP(XLOOKUP(D1103,tblReleaseChanges[Change_ID],tblReleaseChanges[Oracle_Severity],""),tblSeverityMap[Severity_Text],tblSeverityMap[Score],0),0)</f>
        <v/>
      </c>
      <c r="T1103">
        <f>ROUND((M1103*0.25)+(N1103*0.20)+(O1103*0.15)+(P1103*0.15)+(Q1103*0.10)+(R1103*0.10)+(S1103*0.05),2)</f>
        <v/>
      </c>
      <c r="U1103">
        <f>IF(T1103&gt;=4.25,"Critical",IF(T1103&gt;=3.5,"High",IF(T1103&gt;=2,"Medium","Low")))</f>
        <v/>
      </c>
    </row>
    <row r="1104">
      <c r="R1104">
        <f>IFERROR(XLOOKUP(XLOOKUP(D1104,tblReleaseChanges[Change_ID],tblReleaseChanges[Oracle_Severity],""),tblSeverityMap[Severity_Text],tblSeverityMap[Score],0),0)</f>
        <v/>
      </c>
      <c r="T1104">
        <f>ROUND((M1104*0.25)+(N1104*0.20)+(O1104*0.15)+(P1104*0.15)+(Q1104*0.10)+(R1104*0.10)+(S1104*0.05),2)</f>
        <v/>
      </c>
      <c r="U1104">
        <f>IF(T1104&gt;=4.25,"Critical",IF(T1104&gt;=3.5,"High",IF(T1104&gt;=2,"Medium","Low")))</f>
        <v/>
      </c>
    </row>
    <row r="1105">
      <c r="R1105">
        <f>IFERROR(XLOOKUP(XLOOKUP(D1105,tblReleaseChanges[Change_ID],tblReleaseChanges[Oracle_Severity],""),tblSeverityMap[Severity_Text],tblSeverityMap[Score],0),0)</f>
        <v/>
      </c>
      <c r="T1105">
        <f>ROUND((M1105*0.25)+(N1105*0.20)+(O1105*0.15)+(P1105*0.15)+(Q1105*0.10)+(R1105*0.10)+(S1105*0.05),2)</f>
        <v/>
      </c>
      <c r="U1105">
        <f>IF(T1105&gt;=4.25,"Critical",IF(T1105&gt;=3.5,"High",IF(T1105&gt;=2,"Medium","Low")))</f>
        <v/>
      </c>
    </row>
    <row r="1106">
      <c r="R1106">
        <f>IFERROR(XLOOKUP(XLOOKUP(D1106,tblReleaseChanges[Change_ID],tblReleaseChanges[Oracle_Severity],""),tblSeverityMap[Severity_Text],tblSeverityMap[Score],0),0)</f>
        <v/>
      </c>
      <c r="T1106">
        <f>ROUND((M1106*0.25)+(N1106*0.20)+(O1106*0.15)+(P1106*0.15)+(Q1106*0.10)+(R1106*0.10)+(S1106*0.05),2)</f>
        <v/>
      </c>
      <c r="U1106">
        <f>IF(T1106&gt;=4.25,"Critical",IF(T1106&gt;=3.5,"High",IF(T1106&gt;=2,"Medium","Low")))</f>
        <v/>
      </c>
    </row>
    <row r="1107">
      <c r="R1107">
        <f>IFERROR(XLOOKUP(XLOOKUP(D1107,tblReleaseChanges[Change_ID],tblReleaseChanges[Oracle_Severity],""),tblSeverityMap[Severity_Text],tblSeverityMap[Score],0),0)</f>
        <v/>
      </c>
      <c r="T1107">
        <f>ROUND((M1107*0.25)+(N1107*0.20)+(O1107*0.15)+(P1107*0.15)+(Q1107*0.10)+(R1107*0.10)+(S1107*0.05),2)</f>
        <v/>
      </c>
      <c r="U1107">
        <f>IF(T1107&gt;=4.25,"Critical",IF(T1107&gt;=3.5,"High",IF(T1107&gt;=2,"Medium","Low")))</f>
        <v/>
      </c>
    </row>
    <row r="1108">
      <c r="R1108">
        <f>IFERROR(XLOOKUP(XLOOKUP(D1108,tblReleaseChanges[Change_ID],tblReleaseChanges[Oracle_Severity],""),tblSeverityMap[Severity_Text],tblSeverityMap[Score],0),0)</f>
        <v/>
      </c>
      <c r="T1108">
        <f>ROUND((M1108*0.25)+(N1108*0.20)+(O1108*0.15)+(P1108*0.15)+(Q1108*0.10)+(R1108*0.10)+(S1108*0.05),2)</f>
        <v/>
      </c>
      <c r="U1108">
        <f>IF(T1108&gt;=4.25,"Critical",IF(T1108&gt;=3.5,"High",IF(T1108&gt;=2,"Medium","Low")))</f>
        <v/>
      </c>
    </row>
    <row r="1109">
      <c r="R1109">
        <f>IFERROR(XLOOKUP(XLOOKUP(D1109,tblReleaseChanges[Change_ID],tblReleaseChanges[Oracle_Severity],""),tblSeverityMap[Severity_Text],tblSeverityMap[Score],0),0)</f>
        <v/>
      </c>
      <c r="T1109">
        <f>ROUND((M1109*0.25)+(N1109*0.20)+(O1109*0.15)+(P1109*0.15)+(Q1109*0.10)+(R1109*0.10)+(S1109*0.05),2)</f>
        <v/>
      </c>
      <c r="U1109">
        <f>IF(T1109&gt;=4.25,"Critical",IF(T1109&gt;=3.5,"High",IF(T1109&gt;=2,"Medium","Low")))</f>
        <v/>
      </c>
    </row>
    <row r="1110">
      <c r="R1110">
        <f>IFERROR(XLOOKUP(XLOOKUP(D1110,tblReleaseChanges[Change_ID],tblReleaseChanges[Oracle_Severity],""),tblSeverityMap[Severity_Text],tblSeverityMap[Score],0),0)</f>
        <v/>
      </c>
      <c r="T1110">
        <f>ROUND((M1110*0.25)+(N1110*0.20)+(O1110*0.15)+(P1110*0.15)+(Q1110*0.10)+(R1110*0.10)+(S1110*0.05),2)</f>
        <v/>
      </c>
      <c r="U1110">
        <f>IF(T1110&gt;=4.25,"Critical",IF(T1110&gt;=3.5,"High",IF(T1110&gt;=2,"Medium","Low")))</f>
        <v/>
      </c>
    </row>
    <row r="1111">
      <c r="R1111">
        <f>IFERROR(XLOOKUP(XLOOKUP(D1111,tblReleaseChanges[Change_ID],tblReleaseChanges[Oracle_Severity],""),tblSeverityMap[Severity_Text],tblSeverityMap[Score],0),0)</f>
        <v/>
      </c>
      <c r="T1111">
        <f>ROUND((M1111*0.25)+(N1111*0.20)+(O1111*0.15)+(P1111*0.15)+(Q1111*0.10)+(R1111*0.10)+(S1111*0.05),2)</f>
        <v/>
      </c>
      <c r="U1111">
        <f>IF(T1111&gt;=4.25,"Critical",IF(T1111&gt;=3.5,"High",IF(T1111&gt;=2,"Medium","Low")))</f>
        <v/>
      </c>
    </row>
    <row r="1112">
      <c r="R1112">
        <f>IFERROR(XLOOKUP(XLOOKUP(D1112,tblReleaseChanges[Change_ID],tblReleaseChanges[Oracle_Severity],""),tblSeverityMap[Severity_Text],tblSeverityMap[Score],0),0)</f>
        <v/>
      </c>
      <c r="T1112">
        <f>ROUND((M1112*0.25)+(N1112*0.20)+(O1112*0.15)+(P1112*0.15)+(Q1112*0.10)+(R1112*0.10)+(S1112*0.05),2)</f>
        <v/>
      </c>
      <c r="U1112">
        <f>IF(T1112&gt;=4.25,"Critical",IF(T1112&gt;=3.5,"High",IF(T1112&gt;=2,"Medium","Low")))</f>
        <v/>
      </c>
    </row>
    <row r="1113">
      <c r="R1113">
        <f>IFERROR(XLOOKUP(XLOOKUP(D1113,tblReleaseChanges[Change_ID],tblReleaseChanges[Oracle_Severity],""),tblSeverityMap[Severity_Text],tblSeverityMap[Score],0),0)</f>
        <v/>
      </c>
      <c r="T1113">
        <f>ROUND((M1113*0.25)+(N1113*0.20)+(O1113*0.15)+(P1113*0.15)+(Q1113*0.10)+(R1113*0.10)+(S1113*0.05),2)</f>
        <v/>
      </c>
      <c r="U1113">
        <f>IF(T1113&gt;=4.25,"Critical",IF(T1113&gt;=3.5,"High",IF(T1113&gt;=2,"Medium","Low")))</f>
        <v/>
      </c>
    </row>
    <row r="1114">
      <c r="R1114">
        <f>IFERROR(XLOOKUP(XLOOKUP(D1114,tblReleaseChanges[Change_ID],tblReleaseChanges[Oracle_Severity],""),tblSeverityMap[Severity_Text],tblSeverityMap[Score],0),0)</f>
        <v/>
      </c>
      <c r="T1114">
        <f>ROUND((M1114*0.25)+(N1114*0.20)+(O1114*0.15)+(P1114*0.15)+(Q1114*0.10)+(R1114*0.10)+(S1114*0.05),2)</f>
        <v/>
      </c>
      <c r="U1114">
        <f>IF(T1114&gt;=4.25,"Critical",IF(T1114&gt;=3.5,"High",IF(T1114&gt;=2,"Medium","Low")))</f>
        <v/>
      </c>
    </row>
    <row r="1115">
      <c r="R1115">
        <f>IFERROR(XLOOKUP(XLOOKUP(D1115,tblReleaseChanges[Change_ID],tblReleaseChanges[Oracle_Severity],""),tblSeverityMap[Severity_Text],tblSeverityMap[Score],0),0)</f>
        <v/>
      </c>
      <c r="T1115">
        <f>ROUND((M1115*0.25)+(N1115*0.20)+(O1115*0.15)+(P1115*0.15)+(Q1115*0.10)+(R1115*0.10)+(S1115*0.05),2)</f>
        <v/>
      </c>
      <c r="U1115">
        <f>IF(T1115&gt;=4.25,"Critical",IF(T1115&gt;=3.5,"High",IF(T1115&gt;=2,"Medium","Low")))</f>
        <v/>
      </c>
    </row>
    <row r="1116">
      <c r="R1116">
        <f>IFERROR(XLOOKUP(XLOOKUP(D1116,tblReleaseChanges[Change_ID],tblReleaseChanges[Oracle_Severity],""),tblSeverityMap[Severity_Text],tblSeverityMap[Score],0),0)</f>
        <v/>
      </c>
      <c r="T1116">
        <f>ROUND((M1116*0.25)+(N1116*0.20)+(O1116*0.15)+(P1116*0.15)+(Q1116*0.10)+(R1116*0.10)+(S1116*0.05),2)</f>
        <v/>
      </c>
      <c r="U1116">
        <f>IF(T1116&gt;=4.25,"Critical",IF(T1116&gt;=3.5,"High",IF(T1116&gt;=2,"Medium","Low")))</f>
        <v/>
      </c>
    </row>
    <row r="1117">
      <c r="R1117">
        <f>IFERROR(XLOOKUP(XLOOKUP(D1117,tblReleaseChanges[Change_ID],tblReleaseChanges[Oracle_Severity],""),tblSeverityMap[Severity_Text],tblSeverityMap[Score],0),0)</f>
        <v/>
      </c>
      <c r="T1117">
        <f>ROUND((M1117*0.25)+(N1117*0.20)+(O1117*0.15)+(P1117*0.15)+(Q1117*0.10)+(R1117*0.10)+(S1117*0.05),2)</f>
        <v/>
      </c>
      <c r="U1117">
        <f>IF(T1117&gt;=4.25,"Critical",IF(T1117&gt;=3.5,"High",IF(T1117&gt;=2,"Medium","Low")))</f>
        <v/>
      </c>
    </row>
    <row r="1118">
      <c r="R1118">
        <f>IFERROR(XLOOKUP(XLOOKUP(D1118,tblReleaseChanges[Change_ID],tblReleaseChanges[Oracle_Severity],""),tblSeverityMap[Severity_Text],tblSeverityMap[Score],0),0)</f>
        <v/>
      </c>
      <c r="T1118">
        <f>ROUND((M1118*0.25)+(N1118*0.20)+(O1118*0.15)+(P1118*0.15)+(Q1118*0.10)+(R1118*0.10)+(S1118*0.05),2)</f>
        <v/>
      </c>
      <c r="U1118">
        <f>IF(T1118&gt;=4.25,"Critical",IF(T1118&gt;=3.5,"High",IF(T1118&gt;=2,"Medium","Low")))</f>
        <v/>
      </c>
    </row>
    <row r="1119">
      <c r="R1119">
        <f>IFERROR(XLOOKUP(XLOOKUP(D1119,tblReleaseChanges[Change_ID],tblReleaseChanges[Oracle_Severity],""),tblSeverityMap[Severity_Text],tblSeverityMap[Score],0),0)</f>
        <v/>
      </c>
      <c r="T1119">
        <f>ROUND((M1119*0.25)+(N1119*0.20)+(O1119*0.15)+(P1119*0.15)+(Q1119*0.10)+(R1119*0.10)+(S1119*0.05),2)</f>
        <v/>
      </c>
      <c r="U1119">
        <f>IF(T1119&gt;=4.25,"Critical",IF(T1119&gt;=3.5,"High",IF(T1119&gt;=2,"Medium","Low")))</f>
        <v/>
      </c>
    </row>
    <row r="1120">
      <c r="R1120">
        <f>IFERROR(XLOOKUP(XLOOKUP(D1120,tblReleaseChanges[Change_ID],tblReleaseChanges[Oracle_Severity],""),tblSeverityMap[Severity_Text],tblSeverityMap[Score],0),0)</f>
        <v/>
      </c>
      <c r="T1120">
        <f>ROUND((M1120*0.25)+(N1120*0.20)+(O1120*0.15)+(P1120*0.15)+(Q1120*0.10)+(R1120*0.10)+(S1120*0.05),2)</f>
        <v/>
      </c>
      <c r="U1120">
        <f>IF(T1120&gt;=4.25,"Critical",IF(T1120&gt;=3.5,"High",IF(T1120&gt;=2,"Medium","Low")))</f>
        <v/>
      </c>
    </row>
    <row r="1121">
      <c r="R1121">
        <f>IFERROR(XLOOKUP(XLOOKUP(D1121,tblReleaseChanges[Change_ID],tblReleaseChanges[Oracle_Severity],""),tblSeverityMap[Severity_Text],tblSeverityMap[Score],0),0)</f>
        <v/>
      </c>
      <c r="T1121">
        <f>ROUND((M1121*0.25)+(N1121*0.20)+(O1121*0.15)+(P1121*0.15)+(Q1121*0.10)+(R1121*0.10)+(S1121*0.05),2)</f>
        <v/>
      </c>
      <c r="U1121">
        <f>IF(T1121&gt;=4.25,"Critical",IF(T1121&gt;=3.5,"High",IF(T1121&gt;=2,"Medium","Low")))</f>
        <v/>
      </c>
    </row>
    <row r="1122">
      <c r="R1122">
        <f>IFERROR(XLOOKUP(XLOOKUP(D1122,tblReleaseChanges[Change_ID],tblReleaseChanges[Oracle_Severity],""),tblSeverityMap[Severity_Text],tblSeverityMap[Score],0),0)</f>
        <v/>
      </c>
      <c r="T1122">
        <f>ROUND((M1122*0.25)+(N1122*0.20)+(O1122*0.15)+(P1122*0.15)+(Q1122*0.10)+(R1122*0.10)+(S1122*0.05),2)</f>
        <v/>
      </c>
      <c r="U1122">
        <f>IF(T1122&gt;=4.25,"Critical",IF(T1122&gt;=3.5,"High",IF(T1122&gt;=2,"Medium","Low")))</f>
        <v/>
      </c>
    </row>
    <row r="1123">
      <c r="R1123">
        <f>IFERROR(XLOOKUP(XLOOKUP(D1123,tblReleaseChanges[Change_ID],tblReleaseChanges[Oracle_Severity],""),tblSeverityMap[Severity_Text],tblSeverityMap[Score],0),0)</f>
        <v/>
      </c>
      <c r="T1123">
        <f>ROUND((M1123*0.25)+(N1123*0.20)+(O1123*0.15)+(P1123*0.15)+(Q1123*0.10)+(R1123*0.10)+(S1123*0.05),2)</f>
        <v/>
      </c>
      <c r="U1123">
        <f>IF(T1123&gt;=4.25,"Critical",IF(T1123&gt;=3.5,"High",IF(T1123&gt;=2,"Medium","Low")))</f>
        <v/>
      </c>
    </row>
    <row r="1124">
      <c r="R1124">
        <f>IFERROR(XLOOKUP(XLOOKUP(D1124,tblReleaseChanges[Change_ID],tblReleaseChanges[Oracle_Severity],""),tblSeverityMap[Severity_Text],tblSeverityMap[Score],0),0)</f>
        <v/>
      </c>
      <c r="T1124">
        <f>ROUND((M1124*0.25)+(N1124*0.20)+(O1124*0.15)+(P1124*0.15)+(Q1124*0.10)+(R1124*0.10)+(S1124*0.05),2)</f>
        <v/>
      </c>
      <c r="U1124">
        <f>IF(T1124&gt;=4.25,"Critical",IF(T1124&gt;=3.5,"High",IF(T1124&gt;=2,"Medium","Low")))</f>
        <v/>
      </c>
    </row>
    <row r="1125">
      <c r="R1125">
        <f>IFERROR(XLOOKUP(XLOOKUP(D1125,tblReleaseChanges[Change_ID],tblReleaseChanges[Oracle_Severity],""),tblSeverityMap[Severity_Text],tblSeverityMap[Score],0),0)</f>
        <v/>
      </c>
      <c r="T1125">
        <f>ROUND((M1125*0.25)+(N1125*0.20)+(O1125*0.15)+(P1125*0.15)+(Q1125*0.10)+(R1125*0.10)+(S1125*0.05),2)</f>
        <v/>
      </c>
      <c r="U1125">
        <f>IF(T1125&gt;=4.25,"Critical",IF(T1125&gt;=3.5,"High",IF(T1125&gt;=2,"Medium","Low")))</f>
        <v/>
      </c>
    </row>
    <row r="1126">
      <c r="R1126">
        <f>IFERROR(XLOOKUP(XLOOKUP(D1126,tblReleaseChanges[Change_ID],tblReleaseChanges[Oracle_Severity],""),tblSeverityMap[Severity_Text],tblSeverityMap[Score],0),0)</f>
        <v/>
      </c>
      <c r="T1126">
        <f>ROUND((M1126*0.25)+(N1126*0.20)+(O1126*0.15)+(P1126*0.15)+(Q1126*0.10)+(R1126*0.10)+(S1126*0.05),2)</f>
        <v/>
      </c>
      <c r="U1126">
        <f>IF(T1126&gt;=4.25,"Critical",IF(T1126&gt;=3.5,"High",IF(T1126&gt;=2,"Medium","Low")))</f>
        <v/>
      </c>
    </row>
    <row r="1127">
      <c r="R1127">
        <f>IFERROR(XLOOKUP(XLOOKUP(D1127,tblReleaseChanges[Change_ID],tblReleaseChanges[Oracle_Severity],""),tblSeverityMap[Severity_Text],tblSeverityMap[Score],0),0)</f>
        <v/>
      </c>
      <c r="T1127">
        <f>ROUND((M1127*0.25)+(N1127*0.20)+(O1127*0.15)+(P1127*0.15)+(Q1127*0.10)+(R1127*0.10)+(S1127*0.05),2)</f>
        <v/>
      </c>
      <c r="U1127">
        <f>IF(T1127&gt;=4.25,"Critical",IF(T1127&gt;=3.5,"High",IF(T1127&gt;=2,"Medium","Low")))</f>
        <v/>
      </c>
    </row>
    <row r="1128">
      <c r="R1128">
        <f>IFERROR(XLOOKUP(XLOOKUP(D1128,tblReleaseChanges[Change_ID],tblReleaseChanges[Oracle_Severity],""),tblSeverityMap[Severity_Text],tblSeverityMap[Score],0),0)</f>
        <v/>
      </c>
      <c r="T1128">
        <f>ROUND((M1128*0.25)+(N1128*0.20)+(O1128*0.15)+(P1128*0.15)+(Q1128*0.10)+(R1128*0.10)+(S1128*0.05),2)</f>
        <v/>
      </c>
      <c r="U1128">
        <f>IF(T1128&gt;=4.25,"Critical",IF(T1128&gt;=3.5,"High",IF(T1128&gt;=2,"Medium","Low")))</f>
        <v/>
      </c>
    </row>
    <row r="1129">
      <c r="R1129">
        <f>IFERROR(XLOOKUP(XLOOKUP(D1129,tblReleaseChanges[Change_ID],tblReleaseChanges[Oracle_Severity],""),tblSeverityMap[Severity_Text],tblSeverityMap[Score],0),0)</f>
        <v/>
      </c>
      <c r="T1129">
        <f>ROUND((M1129*0.25)+(N1129*0.20)+(O1129*0.15)+(P1129*0.15)+(Q1129*0.10)+(R1129*0.10)+(S1129*0.05),2)</f>
        <v/>
      </c>
      <c r="U1129">
        <f>IF(T1129&gt;=4.25,"Critical",IF(T1129&gt;=3.5,"High",IF(T1129&gt;=2,"Medium","Low")))</f>
        <v/>
      </c>
    </row>
    <row r="1130">
      <c r="R1130">
        <f>IFERROR(XLOOKUP(XLOOKUP(D1130,tblReleaseChanges[Change_ID],tblReleaseChanges[Oracle_Severity],""),tblSeverityMap[Severity_Text],tblSeverityMap[Score],0),0)</f>
        <v/>
      </c>
      <c r="T1130">
        <f>ROUND((M1130*0.25)+(N1130*0.20)+(O1130*0.15)+(P1130*0.15)+(Q1130*0.10)+(R1130*0.10)+(S1130*0.05),2)</f>
        <v/>
      </c>
      <c r="U1130">
        <f>IF(T1130&gt;=4.25,"Critical",IF(T1130&gt;=3.5,"High",IF(T1130&gt;=2,"Medium","Low")))</f>
        <v/>
      </c>
    </row>
    <row r="1131">
      <c r="R1131">
        <f>IFERROR(XLOOKUP(XLOOKUP(D1131,tblReleaseChanges[Change_ID],tblReleaseChanges[Oracle_Severity],""),tblSeverityMap[Severity_Text],tblSeverityMap[Score],0),0)</f>
        <v/>
      </c>
      <c r="T1131">
        <f>ROUND((M1131*0.25)+(N1131*0.20)+(O1131*0.15)+(P1131*0.15)+(Q1131*0.10)+(R1131*0.10)+(S1131*0.05),2)</f>
        <v/>
      </c>
      <c r="U1131">
        <f>IF(T1131&gt;=4.25,"Critical",IF(T1131&gt;=3.5,"High",IF(T1131&gt;=2,"Medium","Low")))</f>
        <v/>
      </c>
    </row>
    <row r="1132">
      <c r="R1132">
        <f>IFERROR(XLOOKUP(XLOOKUP(D1132,tblReleaseChanges[Change_ID],tblReleaseChanges[Oracle_Severity],""),tblSeverityMap[Severity_Text],tblSeverityMap[Score],0),0)</f>
        <v/>
      </c>
      <c r="T1132">
        <f>ROUND((M1132*0.25)+(N1132*0.20)+(O1132*0.15)+(P1132*0.15)+(Q1132*0.10)+(R1132*0.10)+(S1132*0.05),2)</f>
        <v/>
      </c>
      <c r="U1132">
        <f>IF(T1132&gt;=4.25,"Critical",IF(T1132&gt;=3.5,"High",IF(T1132&gt;=2,"Medium","Low")))</f>
        <v/>
      </c>
    </row>
    <row r="1133">
      <c r="R1133">
        <f>IFERROR(XLOOKUP(XLOOKUP(D1133,tblReleaseChanges[Change_ID],tblReleaseChanges[Oracle_Severity],""),tblSeverityMap[Severity_Text],tblSeverityMap[Score],0),0)</f>
        <v/>
      </c>
      <c r="T1133">
        <f>ROUND((M1133*0.25)+(N1133*0.20)+(O1133*0.15)+(P1133*0.15)+(Q1133*0.10)+(R1133*0.10)+(S1133*0.05),2)</f>
        <v/>
      </c>
      <c r="U1133">
        <f>IF(T1133&gt;=4.25,"Critical",IF(T1133&gt;=3.5,"High",IF(T1133&gt;=2,"Medium","Low")))</f>
        <v/>
      </c>
    </row>
    <row r="1134">
      <c r="R1134">
        <f>IFERROR(XLOOKUP(XLOOKUP(D1134,tblReleaseChanges[Change_ID],tblReleaseChanges[Oracle_Severity],""),tblSeverityMap[Severity_Text],tblSeverityMap[Score],0),0)</f>
        <v/>
      </c>
      <c r="T1134">
        <f>ROUND((M1134*0.25)+(N1134*0.20)+(O1134*0.15)+(P1134*0.15)+(Q1134*0.10)+(R1134*0.10)+(S1134*0.05),2)</f>
        <v/>
      </c>
      <c r="U1134">
        <f>IF(T1134&gt;=4.25,"Critical",IF(T1134&gt;=3.5,"High",IF(T1134&gt;=2,"Medium","Low")))</f>
        <v/>
      </c>
    </row>
    <row r="1135">
      <c r="R1135">
        <f>IFERROR(XLOOKUP(XLOOKUP(D1135,tblReleaseChanges[Change_ID],tblReleaseChanges[Oracle_Severity],""),tblSeverityMap[Severity_Text],tblSeverityMap[Score],0),0)</f>
        <v/>
      </c>
      <c r="T1135">
        <f>ROUND((M1135*0.25)+(N1135*0.20)+(O1135*0.15)+(P1135*0.15)+(Q1135*0.10)+(R1135*0.10)+(S1135*0.05),2)</f>
        <v/>
      </c>
      <c r="U1135">
        <f>IF(T1135&gt;=4.25,"Critical",IF(T1135&gt;=3.5,"High",IF(T1135&gt;=2,"Medium","Low")))</f>
        <v/>
      </c>
    </row>
    <row r="1136">
      <c r="R1136">
        <f>IFERROR(XLOOKUP(XLOOKUP(D1136,tblReleaseChanges[Change_ID],tblReleaseChanges[Oracle_Severity],""),tblSeverityMap[Severity_Text],tblSeverityMap[Score],0),0)</f>
        <v/>
      </c>
      <c r="T1136">
        <f>ROUND((M1136*0.25)+(N1136*0.20)+(O1136*0.15)+(P1136*0.15)+(Q1136*0.10)+(R1136*0.10)+(S1136*0.05),2)</f>
        <v/>
      </c>
      <c r="U1136">
        <f>IF(T1136&gt;=4.25,"Critical",IF(T1136&gt;=3.5,"High",IF(T1136&gt;=2,"Medium","Low")))</f>
        <v/>
      </c>
    </row>
    <row r="1137">
      <c r="R1137">
        <f>IFERROR(XLOOKUP(XLOOKUP(D1137,tblReleaseChanges[Change_ID],tblReleaseChanges[Oracle_Severity],""),tblSeverityMap[Severity_Text],tblSeverityMap[Score],0),0)</f>
        <v/>
      </c>
      <c r="T1137">
        <f>ROUND((M1137*0.25)+(N1137*0.20)+(O1137*0.15)+(P1137*0.15)+(Q1137*0.10)+(R1137*0.10)+(S1137*0.05),2)</f>
        <v/>
      </c>
      <c r="U1137">
        <f>IF(T1137&gt;=4.25,"Critical",IF(T1137&gt;=3.5,"High",IF(T1137&gt;=2,"Medium","Low")))</f>
        <v/>
      </c>
    </row>
    <row r="1138">
      <c r="R1138">
        <f>IFERROR(XLOOKUP(XLOOKUP(D1138,tblReleaseChanges[Change_ID],tblReleaseChanges[Oracle_Severity],""),tblSeverityMap[Severity_Text],tblSeverityMap[Score],0),0)</f>
        <v/>
      </c>
      <c r="T1138">
        <f>ROUND((M1138*0.25)+(N1138*0.20)+(O1138*0.15)+(P1138*0.15)+(Q1138*0.10)+(R1138*0.10)+(S1138*0.05),2)</f>
        <v/>
      </c>
      <c r="U1138">
        <f>IF(T1138&gt;=4.25,"Critical",IF(T1138&gt;=3.5,"High",IF(T1138&gt;=2,"Medium","Low")))</f>
        <v/>
      </c>
    </row>
    <row r="1139">
      <c r="R1139">
        <f>IFERROR(XLOOKUP(XLOOKUP(D1139,tblReleaseChanges[Change_ID],tblReleaseChanges[Oracle_Severity],""),tblSeverityMap[Severity_Text],tblSeverityMap[Score],0),0)</f>
        <v/>
      </c>
      <c r="T1139">
        <f>ROUND((M1139*0.25)+(N1139*0.20)+(O1139*0.15)+(P1139*0.15)+(Q1139*0.10)+(R1139*0.10)+(S1139*0.05),2)</f>
        <v/>
      </c>
      <c r="U1139">
        <f>IF(T1139&gt;=4.25,"Critical",IF(T1139&gt;=3.5,"High",IF(T1139&gt;=2,"Medium","Low")))</f>
        <v/>
      </c>
    </row>
    <row r="1140">
      <c r="R1140">
        <f>IFERROR(XLOOKUP(XLOOKUP(D1140,tblReleaseChanges[Change_ID],tblReleaseChanges[Oracle_Severity],""),tblSeverityMap[Severity_Text],tblSeverityMap[Score],0),0)</f>
        <v/>
      </c>
      <c r="T1140">
        <f>ROUND((M1140*0.25)+(N1140*0.20)+(O1140*0.15)+(P1140*0.15)+(Q1140*0.10)+(R1140*0.10)+(S1140*0.05),2)</f>
        <v/>
      </c>
      <c r="U1140">
        <f>IF(T1140&gt;=4.25,"Critical",IF(T1140&gt;=3.5,"High",IF(T1140&gt;=2,"Medium","Low")))</f>
        <v/>
      </c>
    </row>
    <row r="1141">
      <c r="R1141">
        <f>IFERROR(XLOOKUP(XLOOKUP(D1141,tblReleaseChanges[Change_ID],tblReleaseChanges[Oracle_Severity],""),tblSeverityMap[Severity_Text],tblSeverityMap[Score],0),0)</f>
        <v/>
      </c>
      <c r="T1141">
        <f>ROUND((M1141*0.25)+(N1141*0.20)+(O1141*0.15)+(P1141*0.15)+(Q1141*0.10)+(R1141*0.10)+(S1141*0.05),2)</f>
        <v/>
      </c>
      <c r="U1141">
        <f>IF(T1141&gt;=4.25,"Critical",IF(T1141&gt;=3.5,"High",IF(T1141&gt;=2,"Medium","Low")))</f>
        <v/>
      </c>
    </row>
    <row r="1142">
      <c r="R1142">
        <f>IFERROR(XLOOKUP(XLOOKUP(D1142,tblReleaseChanges[Change_ID],tblReleaseChanges[Oracle_Severity],""),tblSeverityMap[Severity_Text],tblSeverityMap[Score],0),0)</f>
        <v/>
      </c>
      <c r="T1142">
        <f>ROUND((M1142*0.25)+(N1142*0.20)+(O1142*0.15)+(P1142*0.15)+(Q1142*0.10)+(R1142*0.10)+(S1142*0.05),2)</f>
        <v/>
      </c>
      <c r="U1142">
        <f>IF(T1142&gt;=4.25,"Critical",IF(T1142&gt;=3.5,"High",IF(T1142&gt;=2,"Medium","Low")))</f>
        <v/>
      </c>
    </row>
    <row r="1143">
      <c r="R1143">
        <f>IFERROR(XLOOKUP(XLOOKUP(D1143,tblReleaseChanges[Change_ID],tblReleaseChanges[Oracle_Severity],""),tblSeverityMap[Severity_Text],tblSeverityMap[Score],0),0)</f>
        <v/>
      </c>
      <c r="T1143">
        <f>ROUND((M1143*0.25)+(N1143*0.20)+(O1143*0.15)+(P1143*0.15)+(Q1143*0.10)+(R1143*0.10)+(S1143*0.05),2)</f>
        <v/>
      </c>
      <c r="U1143">
        <f>IF(T1143&gt;=4.25,"Critical",IF(T1143&gt;=3.5,"High",IF(T1143&gt;=2,"Medium","Low")))</f>
        <v/>
      </c>
    </row>
    <row r="1144">
      <c r="R1144">
        <f>IFERROR(XLOOKUP(XLOOKUP(D1144,tblReleaseChanges[Change_ID],tblReleaseChanges[Oracle_Severity],""),tblSeverityMap[Severity_Text],tblSeverityMap[Score],0),0)</f>
        <v/>
      </c>
      <c r="T1144">
        <f>ROUND((M1144*0.25)+(N1144*0.20)+(O1144*0.15)+(P1144*0.15)+(Q1144*0.10)+(R1144*0.10)+(S1144*0.05),2)</f>
        <v/>
      </c>
      <c r="U1144">
        <f>IF(T1144&gt;=4.25,"Critical",IF(T1144&gt;=3.5,"High",IF(T1144&gt;=2,"Medium","Low")))</f>
        <v/>
      </c>
    </row>
    <row r="1145">
      <c r="R1145">
        <f>IFERROR(XLOOKUP(XLOOKUP(D1145,tblReleaseChanges[Change_ID],tblReleaseChanges[Oracle_Severity],""),tblSeverityMap[Severity_Text],tblSeverityMap[Score],0),0)</f>
        <v/>
      </c>
      <c r="T1145">
        <f>ROUND((M1145*0.25)+(N1145*0.20)+(O1145*0.15)+(P1145*0.15)+(Q1145*0.10)+(R1145*0.10)+(S1145*0.05),2)</f>
        <v/>
      </c>
      <c r="U1145">
        <f>IF(T1145&gt;=4.25,"Critical",IF(T1145&gt;=3.5,"High",IF(T1145&gt;=2,"Medium","Low")))</f>
        <v/>
      </c>
    </row>
    <row r="1146">
      <c r="R1146">
        <f>IFERROR(XLOOKUP(XLOOKUP(D1146,tblReleaseChanges[Change_ID],tblReleaseChanges[Oracle_Severity],""),tblSeverityMap[Severity_Text],tblSeverityMap[Score],0),0)</f>
        <v/>
      </c>
      <c r="T1146">
        <f>ROUND((M1146*0.25)+(N1146*0.20)+(O1146*0.15)+(P1146*0.15)+(Q1146*0.10)+(R1146*0.10)+(S1146*0.05),2)</f>
        <v/>
      </c>
      <c r="U1146">
        <f>IF(T1146&gt;=4.25,"Critical",IF(T1146&gt;=3.5,"High",IF(T1146&gt;=2,"Medium","Low")))</f>
        <v/>
      </c>
    </row>
    <row r="1147">
      <c r="R1147">
        <f>IFERROR(XLOOKUP(XLOOKUP(D1147,tblReleaseChanges[Change_ID],tblReleaseChanges[Oracle_Severity],""),tblSeverityMap[Severity_Text],tblSeverityMap[Score],0),0)</f>
        <v/>
      </c>
      <c r="T1147">
        <f>ROUND((M1147*0.25)+(N1147*0.20)+(O1147*0.15)+(P1147*0.15)+(Q1147*0.10)+(R1147*0.10)+(S1147*0.05),2)</f>
        <v/>
      </c>
      <c r="U1147">
        <f>IF(T1147&gt;=4.25,"Critical",IF(T1147&gt;=3.5,"High",IF(T1147&gt;=2,"Medium","Low")))</f>
        <v/>
      </c>
    </row>
    <row r="1148">
      <c r="R1148">
        <f>IFERROR(XLOOKUP(XLOOKUP(D1148,tblReleaseChanges[Change_ID],tblReleaseChanges[Oracle_Severity],""),tblSeverityMap[Severity_Text],tblSeverityMap[Score],0),0)</f>
        <v/>
      </c>
      <c r="T1148">
        <f>ROUND((M1148*0.25)+(N1148*0.20)+(O1148*0.15)+(P1148*0.15)+(Q1148*0.10)+(R1148*0.10)+(S1148*0.05),2)</f>
        <v/>
      </c>
      <c r="U1148">
        <f>IF(T1148&gt;=4.25,"Critical",IF(T1148&gt;=3.5,"High",IF(T1148&gt;=2,"Medium","Low")))</f>
        <v/>
      </c>
    </row>
    <row r="1149">
      <c r="R1149">
        <f>IFERROR(XLOOKUP(XLOOKUP(D1149,tblReleaseChanges[Change_ID],tblReleaseChanges[Oracle_Severity],""),tblSeverityMap[Severity_Text],tblSeverityMap[Score],0),0)</f>
        <v/>
      </c>
      <c r="T1149">
        <f>ROUND((M1149*0.25)+(N1149*0.20)+(O1149*0.15)+(P1149*0.15)+(Q1149*0.10)+(R1149*0.10)+(S1149*0.05),2)</f>
        <v/>
      </c>
      <c r="U1149">
        <f>IF(T1149&gt;=4.25,"Critical",IF(T1149&gt;=3.5,"High",IF(T1149&gt;=2,"Medium","Low")))</f>
        <v/>
      </c>
    </row>
    <row r="1150">
      <c r="R1150">
        <f>IFERROR(XLOOKUP(XLOOKUP(D1150,tblReleaseChanges[Change_ID],tblReleaseChanges[Oracle_Severity],""),tblSeverityMap[Severity_Text],tblSeverityMap[Score],0),0)</f>
        <v/>
      </c>
      <c r="T1150">
        <f>ROUND((M1150*0.25)+(N1150*0.20)+(O1150*0.15)+(P1150*0.15)+(Q1150*0.10)+(R1150*0.10)+(S1150*0.05),2)</f>
        <v/>
      </c>
      <c r="U1150">
        <f>IF(T1150&gt;=4.25,"Critical",IF(T1150&gt;=3.5,"High",IF(T1150&gt;=2,"Medium","Low")))</f>
        <v/>
      </c>
    </row>
    <row r="1151">
      <c r="R1151">
        <f>IFERROR(XLOOKUP(XLOOKUP(D1151,tblReleaseChanges[Change_ID],tblReleaseChanges[Oracle_Severity],""),tblSeverityMap[Severity_Text],tblSeverityMap[Score],0),0)</f>
        <v/>
      </c>
      <c r="T1151">
        <f>ROUND((M1151*0.25)+(N1151*0.20)+(O1151*0.15)+(P1151*0.15)+(Q1151*0.10)+(R1151*0.10)+(S1151*0.05),2)</f>
        <v/>
      </c>
      <c r="U1151">
        <f>IF(T1151&gt;=4.25,"Critical",IF(T1151&gt;=3.5,"High",IF(T1151&gt;=2,"Medium","Low")))</f>
        <v/>
      </c>
    </row>
    <row r="1152">
      <c r="R1152">
        <f>IFERROR(XLOOKUP(XLOOKUP(D1152,tblReleaseChanges[Change_ID],tblReleaseChanges[Oracle_Severity],""),tblSeverityMap[Severity_Text],tblSeverityMap[Score],0),0)</f>
        <v/>
      </c>
      <c r="T1152">
        <f>ROUND((M1152*0.25)+(N1152*0.20)+(O1152*0.15)+(P1152*0.15)+(Q1152*0.10)+(R1152*0.10)+(S1152*0.05),2)</f>
        <v/>
      </c>
      <c r="U1152">
        <f>IF(T1152&gt;=4.25,"Critical",IF(T1152&gt;=3.5,"High",IF(T1152&gt;=2,"Medium","Low")))</f>
        <v/>
      </c>
    </row>
    <row r="1153">
      <c r="R1153">
        <f>IFERROR(XLOOKUP(XLOOKUP(D1153,tblReleaseChanges[Change_ID],tblReleaseChanges[Oracle_Severity],""),tblSeverityMap[Severity_Text],tblSeverityMap[Score],0),0)</f>
        <v/>
      </c>
      <c r="T1153">
        <f>ROUND((M1153*0.25)+(N1153*0.20)+(O1153*0.15)+(P1153*0.15)+(Q1153*0.10)+(R1153*0.10)+(S1153*0.05),2)</f>
        <v/>
      </c>
      <c r="U1153">
        <f>IF(T1153&gt;=4.25,"Critical",IF(T1153&gt;=3.5,"High",IF(T1153&gt;=2,"Medium","Low")))</f>
        <v/>
      </c>
    </row>
    <row r="1154">
      <c r="R1154">
        <f>IFERROR(XLOOKUP(XLOOKUP(D1154,tblReleaseChanges[Change_ID],tblReleaseChanges[Oracle_Severity],""),tblSeverityMap[Severity_Text],tblSeverityMap[Score],0),0)</f>
        <v/>
      </c>
      <c r="T1154">
        <f>ROUND((M1154*0.25)+(N1154*0.20)+(O1154*0.15)+(P1154*0.15)+(Q1154*0.10)+(R1154*0.10)+(S1154*0.05),2)</f>
        <v/>
      </c>
      <c r="U1154">
        <f>IF(T1154&gt;=4.25,"Critical",IF(T1154&gt;=3.5,"High",IF(T1154&gt;=2,"Medium","Low")))</f>
        <v/>
      </c>
    </row>
    <row r="1155">
      <c r="R1155">
        <f>IFERROR(XLOOKUP(XLOOKUP(D1155,tblReleaseChanges[Change_ID],tblReleaseChanges[Oracle_Severity],""),tblSeverityMap[Severity_Text],tblSeverityMap[Score],0),0)</f>
        <v/>
      </c>
      <c r="T1155">
        <f>ROUND((M1155*0.25)+(N1155*0.20)+(O1155*0.15)+(P1155*0.15)+(Q1155*0.10)+(R1155*0.10)+(S1155*0.05),2)</f>
        <v/>
      </c>
      <c r="U1155">
        <f>IF(T1155&gt;=4.25,"Critical",IF(T1155&gt;=3.5,"High",IF(T1155&gt;=2,"Medium","Low")))</f>
        <v/>
      </c>
    </row>
    <row r="1156">
      <c r="R1156">
        <f>IFERROR(XLOOKUP(XLOOKUP(D1156,tblReleaseChanges[Change_ID],tblReleaseChanges[Oracle_Severity],""),tblSeverityMap[Severity_Text],tblSeverityMap[Score],0),0)</f>
        <v/>
      </c>
      <c r="T1156">
        <f>ROUND((M1156*0.25)+(N1156*0.20)+(O1156*0.15)+(P1156*0.15)+(Q1156*0.10)+(R1156*0.10)+(S1156*0.05),2)</f>
        <v/>
      </c>
      <c r="U1156">
        <f>IF(T1156&gt;=4.25,"Critical",IF(T1156&gt;=3.5,"High",IF(T1156&gt;=2,"Medium","Low")))</f>
        <v/>
      </c>
    </row>
    <row r="1157">
      <c r="R1157">
        <f>IFERROR(XLOOKUP(XLOOKUP(D1157,tblReleaseChanges[Change_ID],tblReleaseChanges[Oracle_Severity],""),tblSeverityMap[Severity_Text],tblSeverityMap[Score],0),0)</f>
        <v/>
      </c>
      <c r="T1157">
        <f>ROUND((M1157*0.25)+(N1157*0.20)+(O1157*0.15)+(P1157*0.15)+(Q1157*0.10)+(R1157*0.10)+(S1157*0.05),2)</f>
        <v/>
      </c>
      <c r="U1157">
        <f>IF(T1157&gt;=4.25,"Critical",IF(T1157&gt;=3.5,"High",IF(T1157&gt;=2,"Medium","Low")))</f>
        <v/>
      </c>
    </row>
    <row r="1158">
      <c r="R1158">
        <f>IFERROR(XLOOKUP(XLOOKUP(D1158,tblReleaseChanges[Change_ID],tblReleaseChanges[Oracle_Severity],""),tblSeverityMap[Severity_Text],tblSeverityMap[Score],0),0)</f>
        <v/>
      </c>
      <c r="T1158">
        <f>ROUND((M1158*0.25)+(N1158*0.20)+(O1158*0.15)+(P1158*0.15)+(Q1158*0.10)+(R1158*0.10)+(S1158*0.05),2)</f>
        <v/>
      </c>
      <c r="U1158">
        <f>IF(T1158&gt;=4.25,"Critical",IF(T1158&gt;=3.5,"High",IF(T1158&gt;=2,"Medium","Low")))</f>
        <v/>
      </c>
    </row>
    <row r="1159">
      <c r="R1159">
        <f>IFERROR(XLOOKUP(XLOOKUP(D1159,tblReleaseChanges[Change_ID],tblReleaseChanges[Oracle_Severity],""),tblSeverityMap[Severity_Text],tblSeverityMap[Score],0),0)</f>
        <v/>
      </c>
      <c r="T1159">
        <f>ROUND((M1159*0.25)+(N1159*0.20)+(O1159*0.15)+(P1159*0.15)+(Q1159*0.10)+(R1159*0.10)+(S1159*0.05),2)</f>
        <v/>
      </c>
      <c r="U1159">
        <f>IF(T1159&gt;=4.25,"Critical",IF(T1159&gt;=3.5,"High",IF(T1159&gt;=2,"Medium","Low")))</f>
        <v/>
      </c>
    </row>
    <row r="1160">
      <c r="R1160">
        <f>IFERROR(XLOOKUP(XLOOKUP(D1160,tblReleaseChanges[Change_ID],tblReleaseChanges[Oracle_Severity],""),tblSeverityMap[Severity_Text],tblSeverityMap[Score],0),0)</f>
        <v/>
      </c>
      <c r="T1160">
        <f>ROUND((M1160*0.25)+(N1160*0.20)+(O1160*0.15)+(P1160*0.15)+(Q1160*0.10)+(R1160*0.10)+(S1160*0.05),2)</f>
        <v/>
      </c>
      <c r="U1160">
        <f>IF(T1160&gt;=4.25,"Critical",IF(T1160&gt;=3.5,"High",IF(T1160&gt;=2,"Medium","Low")))</f>
        <v/>
      </c>
    </row>
    <row r="1161">
      <c r="R1161">
        <f>IFERROR(XLOOKUP(XLOOKUP(D1161,tblReleaseChanges[Change_ID],tblReleaseChanges[Oracle_Severity],""),tblSeverityMap[Severity_Text],tblSeverityMap[Score],0),0)</f>
        <v/>
      </c>
      <c r="T1161">
        <f>ROUND((M1161*0.25)+(N1161*0.20)+(O1161*0.15)+(P1161*0.15)+(Q1161*0.10)+(R1161*0.10)+(S1161*0.05),2)</f>
        <v/>
      </c>
      <c r="U1161">
        <f>IF(T1161&gt;=4.25,"Critical",IF(T1161&gt;=3.5,"High",IF(T1161&gt;=2,"Medium","Low")))</f>
        <v/>
      </c>
    </row>
    <row r="1162">
      <c r="R1162">
        <f>IFERROR(XLOOKUP(XLOOKUP(D1162,tblReleaseChanges[Change_ID],tblReleaseChanges[Oracle_Severity],""),tblSeverityMap[Severity_Text],tblSeverityMap[Score],0),0)</f>
        <v/>
      </c>
      <c r="T1162">
        <f>ROUND((M1162*0.25)+(N1162*0.20)+(O1162*0.15)+(P1162*0.15)+(Q1162*0.10)+(R1162*0.10)+(S1162*0.05),2)</f>
        <v/>
      </c>
      <c r="U1162">
        <f>IF(T1162&gt;=4.25,"Critical",IF(T1162&gt;=3.5,"High",IF(T1162&gt;=2,"Medium","Low")))</f>
        <v/>
      </c>
    </row>
    <row r="1163">
      <c r="R1163">
        <f>IFERROR(XLOOKUP(XLOOKUP(D1163,tblReleaseChanges[Change_ID],tblReleaseChanges[Oracle_Severity],""),tblSeverityMap[Severity_Text],tblSeverityMap[Score],0),0)</f>
        <v/>
      </c>
      <c r="T1163">
        <f>ROUND((M1163*0.25)+(N1163*0.20)+(O1163*0.15)+(P1163*0.15)+(Q1163*0.10)+(R1163*0.10)+(S1163*0.05),2)</f>
        <v/>
      </c>
      <c r="U1163">
        <f>IF(T1163&gt;=4.25,"Critical",IF(T1163&gt;=3.5,"High",IF(T1163&gt;=2,"Medium","Low")))</f>
        <v/>
      </c>
    </row>
    <row r="1164">
      <c r="R1164">
        <f>IFERROR(XLOOKUP(XLOOKUP(D1164,tblReleaseChanges[Change_ID],tblReleaseChanges[Oracle_Severity],""),tblSeverityMap[Severity_Text],tblSeverityMap[Score],0),0)</f>
        <v/>
      </c>
      <c r="T1164">
        <f>ROUND((M1164*0.25)+(N1164*0.20)+(O1164*0.15)+(P1164*0.15)+(Q1164*0.10)+(R1164*0.10)+(S1164*0.05),2)</f>
        <v/>
      </c>
      <c r="U1164">
        <f>IF(T1164&gt;=4.25,"Critical",IF(T1164&gt;=3.5,"High",IF(T1164&gt;=2,"Medium","Low")))</f>
        <v/>
      </c>
    </row>
    <row r="1165">
      <c r="R1165">
        <f>IFERROR(XLOOKUP(XLOOKUP(D1165,tblReleaseChanges[Change_ID],tblReleaseChanges[Oracle_Severity],""),tblSeverityMap[Severity_Text],tblSeverityMap[Score],0),0)</f>
        <v/>
      </c>
      <c r="T1165">
        <f>ROUND((M1165*0.25)+(N1165*0.20)+(O1165*0.15)+(P1165*0.15)+(Q1165*0.10)+(R1165*0.10)+(S1165*0.05),2)</f>
        <v/>
      </c>
      <c r="U1165">
        <f>IF(T1165&gt;=4.25,"Critical",IF(T1165&gt;=3.5,"High",IF(T1165&gt;=2,"Medium","Low")))</f>
        <v/>
      </c>
    </row>
    <row r="1166">
      <c r="R1166">
        <f>IFERROR(XLOOKUP(XLOOKUP(D1166,tblReleaseChanges[Change_ID],tblReleaseChanges[Oracle_Severity],""),tblSeverityMap[Severity_Text],tblSeverityMap[Score],0),0)</f>
        <v/>
      </c>
      <c r="T1166">
        <f>ROUND((M1166*0.25)+(N1166*0.20)+(O1166*0.15)+(P1166*0.15)+(Q1166*0.10)+(R1166*0.10)+(S1166*0.05),2)</f>
        <v/>
      </c>
      <c r="U1166">
        <f>IF(T1166&gt;=4.25,"Critical",IF(T1166&gt;=3.5,"High",IF(T1166&gt;=2,"Medium","Low")))</f>
        <v/>
      </c>
    </row>
    <row r="1167">
      <c r="R1167">
        <f>IFERROR(XLOOKUP(XLOOKUP(D1167,tblReleaseChanges[Change_ID],tblReleaseChanges[Oracle_Severity],""),tblSeverityMap[Severity_Text],tblSeverityMap[Score],0),0)</f>
        <v/>
      </c>
      <c r="T1167">
        <f>ROUND((M1167*0.25)+(N1167*0.20)+(O1167*0.15)+(P1167*0.15)+(Q1167*0.10)+(R1167*0.10)+(S1167*0.05),2)</f>
        <v/>
      </c>
      <c r="U1167">
        <f>IF(T1167&gt;=4.25,"Critical",IF(T1167&gt;=3.5,"High",IF(T1167&gt;=2,"Medium","Low")))</f>
        <v/>
      </c>
    </row>
    <row r="1168">
      <c r="R1168">
        <f>IFERROR(XLOOKUP(XLOOKUP(D1168,tblReleaseChanges[Change_ID],tblReleaseChanges[Oracle_Severity],""),tblSeverityMap[Severity_Text],tblSeverityMap[Score],0),0)</f>
        <v/>
      </c>
      <c r="T1168">
        <f>ROUND((M1168*0.25)+(N1168*0.20)+(O1168*0.15)+(P1168*0.15)+(Q1168*0.10)+(R1168*0.10)+(S1168*0.05),2)</f>
        <v/>
      </c>
      <c r="U1168">
        <f>IF(T1168&gt;=4.25,"Critical",IF(T1168&gt;=3.5,"High",IF(T1168&gt;=2,"Medium","Low")))</f>
        <v/>
      </c>
    </row>
    <row r="1169">
      <c r="R1169">
        <f>IFERROR(XLOOKUP(XLOOKUP(D1169,tblReleaseChanges[Change_ID],tblReleaseChanges[Oracle_Severity],""),tblSeverityMap[Severity_Text],tblSeverityMap[Score],0),0)</f>
        <v/>
      </c>
      <c r="T1169">
        <f>ROUND((M1169*0.25)+(N1169*0.20)+(O1169*0.15)+(P1169*0.15)+(Q1169*0.10)+(R1169*0.10)+(S1169*0.05),2)</f>
        <v/>
      </c>
      <c r="U1169">
        <f>IF(T1169&gt;=4.25,"Critical",IF(T1169&gt;=3.5,"High",IF(T1169&gt;=2,"Medium","Low")))</f>
        <v/>
      </c>
    </row>
    <row r="1170">
      <c r="R1170">
        <f>IFERROR(XLOOKUP(XLOOKUP(D1170,tblReleaseChanges[Change_ID],tblReleaseChanges[Oracle_Severity],""),tblSeverityMap[Severity_Text],tblSeverityMap[Score],0),0)</f>
        <v/>
      </c>
      <c r="T1170">
        <f>ROUND((M1170*0.25)+(N1170*0.20)+(O1170*0.15)+(P1170*0.15)+(Q1170*0.10)+(R1170*0.10)+(S1170*0.05),2)</f>
        <v/>
      </c>
      <c r="U1170">
        <f>IF(T1170&gt;=4.25,"Critical",IF(T1170&gt;=3.5,"High",IF(T1170&gt;=2,"Medium","Low")))</f>
        <v/>
      </c>
    </row>
    <row r="1171">
      <c r="R1171">
        <f>IFERROR(XLOOKUP(XLOOKUP(D1171,tblReleaseChanges[Change_ID],tblReleaseChanges[Oracle_Severity],""),tblSeverityMap[Severity_Text],tblSeverityMap[Score],0),0)</f>
        <v/>
      </c>
      <c r="T1171">
        <f>ROUND((M1171*0.25)+(N1171*0.20)+(O1171*0.15)+(P1171*0.15)+(Q1171*0.10)+(R1171*0.10)+(S1171*0.05),2)</f>
        <v/>
      </c>
      <c r="U1171">
        <f>IF(T1171&gt;=4.25,"Critical",IF(T1171&gt;=3.5,"High",IF(T1171&gt;=2,"Medium","Low")))</f>
        <v/>
      </c>
    </row>
    <row r="1172">
      <c r="R1172">
        <f>IFERROR(XLOOKUP(XLOOKUP(D1172,tblReleaseChanges[Change_ID],tblReleaseChanges[Oracle_Severity],""),tblSeverityMap[Severity_Text],tblSeverityMap[Score],0),0)</f>
        <v/>
      </c>
      <c r="T1172">
        <f>ROUND((M1172*0.25)+(N1172*0.20)+(O1172*0.15)+(P1172*0.15)+(Q1172*0.10)+(R1172*0.10)+(S1172*0.05),2)</f>
        <v/>
      </c>
      <c r="U1172">
        <f>IF(T1172&gt;=4.25,"Critical",IF(T1172&gt;=3.5,"High",IF(T1172&gt;=2,"Medium","Low")))</f>
        <v/>
      </c>
    </row>
    <row r="1173">
      <c r="R1173">
        <f>IFERROR(XLOOKUP(XLOOKUP(D1173,tblReleaseChanges[Change_ID],tblReleaseChanges[Oracle_Severity],""),tblSeverityMap[Severity_Text],tblSeverityMap[Score],0),0)</f>
        <v/>
      </c>
      <c r="T1173">
        <f>ROUND((M1173*0.25)+(N1173*0.20)+(O1173*0.15)+(P1173*0.15)+(Q1173*0.10)+(R1173*0.10)+(S1173*0.05),2)</f>
        <v/>
      </c>
      <c r="U1173">
        <f>IF(T1173&gt;=4.25,"Critical",IF(T1173&gt;=3.5,"High",IF(T1173&gt;=2,"Medium","Low")))</f>
        <v/>
      </c>
    </row>
    <row r="1174">
      <c r="R1174">
        <f>IFERROR(XLOOKUP(XLOOKUP(D1174,tblReleaseChanges[Change_ID],tblReleaseChanges[Oracle_Severity],""),tblSeverityMap[Severity_Text],tblSeverityMap[Score],0),0)</f>
        <v/>
      </c>
      <c r="T1174">
        <f>ROUND((M1174*0.25)+(N1174*0.20)+(O1174*0.15)+(P1174*0.15)+(Q1174*0.10)+(R1174*0.10)+(S1174*0.05),2)</f>
        <v/>
      </c>
      <c r="U1174">
        <f>IF(T1174&gt;=4.25,"Critical",IF(T1174&gt;=3.5,"High",IF(T1174&gt;=2,"Medium","Low")))</f>
        <v/>
      </c>
    </row>
    <row r="1175">
      <c r="R1175">
        <f>IFERROR(XLOOKUP(XLOOKUP(D1175,tblReleaseChanges[Change_ID],tblReleaseChanges[Oracle_Severity],""),tblSeverityMap[Severity_Text],tblSeverityMap[Score],0),0)</f>
        <v/>
      </c>
      <c r="T1175">
        <f>ROUND((M1175*0.25)+(N1175*0.20)+(O1175*0.15)+(P1175*0.15)+(Q1175*0.10)+(R1175*0.10)+(S1175*0.05),2)</f>
        <v/>
      </c>
      <c r="U1175">
        <f>IF(T1175&gt;=4.25,"Critical",IF(T1175&gt;=3.5,"High",IF(T1175&gt;=2,"Medium","Low")))</f>
        <v/>
      </c>
    </row>
    <row r="1176">
      <c r="R1176">
        <f>IFERROR(XLOOKUP(XLOOKUP(D1176,tblReleaseChanges[Change_ID],tblReleaseChanges[Oracle_Severity],""),tblSeverityMap[Severity_Text],tblSeverityMap[Score],0),0)</f>
        <v/>
      </c>
      <c r="T1176">
        <f>ROUND((M1176*0.25)+(N1176*0.20)+(O1176*0.15)+(P1176*0.15)+(Q1176*0.10)+(R1176*0.10)+(S1176*0.05),2)</f>
        <v/>
      </c>
      <c r="U1176">
        <f>IF(T1176&gt;=4.25,"Critical",IF(T1176&gt;=3.5,"High",IF(T1176&gt;=2,"Medium","Low")))</f>
        <v/>
      </c>
    </row>
    <row r="1177">
      <c r="R1177">
        <f>IFERROR(XLOOKUP(XLOOKUP(D1177,tblReleaseChanges[Change_ID],tblReleaseChanges[Oracle_Severity],""),tblSeverityMap[Severity_Text],tblSeverityMap[Score],0),0)</f>
        <v/>
      </c>
      <c r="T1177">
        <f>ROUND((M1177*0.25)+(N1177*0.20)+(O1177*0.15)+(P1177*0.15)+(Q1177*0.10)+(R1177*0.10)+(S1177*0.05),2)</f>
        <v/>
      </c>
      <c r="U1177">
        <f>IF(T1177&gt;=4.25,"Critical",IF(T1177&gt;=3.5,"High",IF(T1177&gt;=2,"Medium","Low")))</f>
        <v/>
      </c>
    </row>
    <row r="1178">
      <c r="R1178">
        <f>IFERROR(XLOOKUP(XLOOKUP(D1178,tblReleaseChanges[Change_ID],tblReleaseChanges[Oracle_Severity],""),tblSeverityMap[Severity_Text],tblSeverityMap[Score],0),0)</f>
        <v/>
      </c>
      <c r="T1178">
        <f>ROUND((M1178*0.25)+(N1178*0.20)+(O1178*0.15)+(P1178*0.15)+(Q1178*0.10)+(R1178*0.10)+(S1178*0.05),2)</f>
        <v/>
      </c>
      <c r="U1178">
        <f>IF(T1178&gt;=4.25,"Critical",IF(T1178&gt;=3.5,"High",IF(T1178&gt;=2,"Medium","Low")))</f>
        <v/>
      </c>
    </row>
    <row r="1179">
      <c r="R1179">
        <f>IFERROR(XLOOKUP(XLOOKUP(D1179,tblReleaseChanges[Change_ID],tblReleaseChanges[Oracle_Severity],""),tblSeverityMap[Severity_Text],tblSeverityMap[Score],0),0)</f>
        <v/>
      </c>
      <c r="T1179">
        <f>ROUND((M1179*0.25)+(N1179*0.20)+(O1179*0.15)+(P1179*0.15)+(Q1179*0.10)+(R1179*0.10)+(S1179*0.05),2)</f>
        <v/>
      </c>
      <c r="U1179">
        <f>IF(T1179&gt;=4.25,"Critical",IF(T1179&gt;=3.5,"High",IF(T1179&gt;=2,"Medium","Low")))</f>
        <v/>
      </c>
    </row>
    <row r="1180">
      <c r="R1180">
        <f>IFERROR(XLOOKUP(XLOOKUP(D1180,tblReleaseChanges[Change_ID],tblReleaseChanges[Oracle_Severity],""),tblSeverityMap[Severity_Text],tblSeverityMap[Score],0),0)</f>
        <v/>
      </c>
      <c r="T1180">
        <f>ROUND((M1180*0.25)+(N1180*0.20)+(O1180*0.15)+(P1180*0.15)+(Q1180*0.10)+(R1180*0.10)+(S1180*0.05),2)</f>
        <v/>
      </c>
      <c r="U1180">
        <f>IF(T1180&gt;=4.25,"Critical",IF(T1180&gt;=3.5,"High",IF(T1180&gt;=2,"Medium","Low")))</f>
        <v/>
      </c>
    </row>
    <row r="1181">
      <c r="R1181">
        <f>IFERROR(XLOOKUP(XLOOKUP(D1181,tblReleaseChanges[Change_ID],tblReleaseChanges[Oracle_Severity],""),tblSeverityMap[Severity_Text],tblSeverityMap[Score],0),0)</f>
        <v/>
      </c>
      <c r="T1181">
        <f>ROUND((M1181*0.25)+(N1181*0.20)+(O1181*0.15)+(P1181*0.15)+(Q1181*0.10)+(R1181*0.10)+(S1181*0.05),2)</f>
        <v/>
      </c>
      <c r="U1181">
        <f>IF(T1181&gt;=4.25,"Critical",IF(T1181&gt;=3.5,"High",IF(T1181&gt;=2,"Medium","Low")))</f>
        <v/>
      </c>
    </row>
    <row r="1182">
      <c r="R1182">
        <f>IFERROR(XLOOKUP(XLOOKUP(D1182,tblReleaseChanges[Change_ID],tblReleaseChanges[Oracle_Severity],""),tblSeverityMap[Severity_Text],tblSeverityMap[Score],0),0)</f>
        <v/>
      </c>
      <c r="T1182">
        <f>ROUND((M1182*0.25)+(N1182*0.20)+(O1182*0.15)+(P1182*0.15)+(Q1182*0.10)+(R1182*0.10)+(S1182*0.05),2)</f>
        <v/>
      </c>
      <c r="U1182">
        <f>IF(T1182&gt;=4.25,"Critical",IF(T1182&gt;=3.5,"High",IF(T1182&gt;=2,"Medium","Low")))</f>
        <v/>
      </c>
    </row>
    <row r="1183">
      <c r="R1183">
        <f>IFERROR(XLOOKUP(XLOOKUP(D1183,tblReleaseChanges[Change_ID],tblReleaseChanges[Oracle_Severity],""),tblSeverityMap[Severity_Text],tblSeverityMap[Score],0),0)</f>
        <v/>
      </c>
      <c r="T1183">
        <f>ROUND((M1183*0.25)+(N1183*0.20)+(O1183*0.15)+(P1183*0.15)+(Q1183*0.10)+(R1183*0.10)+(S1183*0.05),2)</f>
        <v/>
      </c>
      <c r="U1183">
        <f>IF(T1183&gt;=4.25,"Critical",IF(T1183&gt;=3.5,"High",IF(T1183&gt;=2,"Medium","Low")))</f>
        <v/>
      </c>
    </row>
    <row r="1184">
      <c r="R1184">
        <f>IFERROR(XLOOKUP(XLOOKUP(D1184,tblReleaseChanges[Change_ID],tblReleaseChanges[Oracle_Severity],""),tblSeverityMap[Severity_Text],tblSeverityMap[Score],0),0)</f>
        <v/>
      </c>
      <c r="T1184">
        <f>ROUND((M1184*0.25)+(N1184*0.20)+(O1184*0.15)+(P1184*0.15)+(Q1184*0.10)+(R1184*0.10)+(S1184*0.05),2)</f>
        <v/>
      </c>
      <c r="U1184">
        <f>IF(T1184&gt;=4.25,"Critical",IF(T1184&gt;=3.5,"High",IF(T1184&gt;=2,"Medium","Low")))</f>
        <v/>
      </c>
    </row>
    <row r="1185">
      <c r="R1185">
        <f>IFERROR(XLOOKUP(XLOOKUP(D1185,tblReleaseChanges[Change_ID],tblReleaseChanges[Oracle_Severity],""),tblSeverityMap[Severity_Text],tblSeverityMap[Score],0),0)</f>
        <v/>
      </c>
      <c r="T1185">
        <f>ROUND((M1185*0.25)+(N1185*0.20)+(O1185*0.15)+(P1185*0.15)+(Q1185*0.10)+(R1185*0.10)+(S1185*0.05),2)</f>
        <v/>
      </c>
      <c r="U1185">
        <f>IF(T1185&gt;=4.25,"Critical",IF(T1185&gt;=3.5,"High",IF(T1185&gt;=2,"Medium","Low")))</f>
        <v/>
      </c>
    </row>
    <row r="1186">
      <c r="R1186">
        <f>IFERROR(XLOOKUP(XLOOKUP(D1186,tblReleaseChanges[Change_ID],tblReleaseChanges[Oracle_Severity],""),tblSeverityMap[Severity_Text],tblSeverityMap[Score],0),0)</f>
        <v/>
      </c>
      <c r="T1186">
        <f>ROUND((M1186*0.25)+(N1186*0.20)+(O1186*0.15)+(P1186*0.15)+(Q1186*0.10)+(R1186*0.10)+(S1186*0.05),2)</f>
        <v/>
      </c>
      <c r="U1186">
        <f>IF(T1186&gt;=4.25,"Critical",IF(T1186&gt;=3.5,"High",IF(T1186&gt;=2,"Medium","Low")))</f>
        <v/>
      </c>
    </row>
    <row r="1187">
      <c r="R1187">
        <f>IFERROR(XLOOKUP(XLOOKUP(D1187,tblReleaseChanges[Change_ID],tblReleaseChanges[Oracle_Severity],""),tblSeverityMap[Severity_Text],tblSeverityMap[Score],0),0)</f>
        <v/>
      </c>
      <c r="T1187">
        <f>ROUND((M1187*0.25)+(N1187*0.20)+(O1187*0.15)+(P1187*0.15)+(Q1187*0.10)+(R1187*0.10)+(S1187*0.05),2)</f>
        <v/>
      </c>
      <c r="U1187">
        <f>IF(T1187&gt;=4.25,"Critical",IF(T1187&gt;=3.5,"High",IF(T1187&gt;=2,"Medium","Low")))</f>
        <v/>
      </c>
    </row>
    <row r="1188">
      <c r="R1188">
        <f>IFERROR(XLOOKUP(XLOOKUP(D1188,tblReleaseChanges[Change_ID],tblReleaseChanges[Oracle_Severity],""),tblSeverityMap[Severity_Text],tblSeverityMap[Score],0),0)</f>
        <v/>
      </c>
      <c r="T1188">
        <f>ROUND((M1188*0.25)+(N1188*0.20)+(O1188*0.15)+(P1188*0.15)+(Q1188*0.10)+(R1188*0.10)+(S1188*0.05),2)</f>
        <v/>
      </c>
      <c r="U1188">
        <f>IF(T1188&gt;=4.25,"Critical",IF(T1188&gt;=3.5,"High",IF(T1188&gt;=2,"Medium","Low")))</f>
        <v/>
      </c>
    </row>
    <row r="1189">
      <c r="R1189">
        <f>IFERROR(XLOOKUP(XLOOKUP(D1189,tblReleaseChanges[Change_ID],tblReleaseChanges[Oracle_Severity],""),tblSeverityMap[Severity_Text],tblSeverityMap[Score],0),0)</f>
        <v/>
      </c>
      <c r="T1189">
        <f>ROUND((M1189*0.25)+(N1189*0.20)+(O1189*0.15)+(P1189*0.15)+(Q1189*0.10)+(R1189*0.10)+(S1189*0.05),2)</f>
        <v/>
      </c>
      <c r="U1189">
        <f>IF(T1189&gt;=4.25,"Critical",IF(T1189&gt;=3.5,"High",IF(T1189&gt;=2,"Medium","Low")))</f>
        <v/>
      </c>
    </row>
    <row r="1190">
      <c r="R1190">
        <f>IFERROR(XLOOKUP(XLOOKUP(D1190,tblReleaseChanges[Change_ID],tblReleaseChanges[Oracle_Severity],""),tblSeverityMap[Severity_Text],tblSeverityMap[Score],0),0)</f>
        <v/>
      </c>
      <c r="T1190">
        <f>ROUND((M1190*0.25)+(N1190*0.20)+(O1190*0.15)+(P1190*0.15)+(Q1190*0.10)+(R1190*0.10)+(S1190*0.05),2)</f>
        <v/>
      </c>
      <c r="U1190">
        <f>IF(T1190&gt;=4.25,"Critical",IF(T1190&gt;=3.5,"High",IF(T1190&gt;=2,"Medium","Low")))</f>
        <v/>
      </c>
    </row>
    <row r="1191">
      <c r="R1191">
        <f>IFERROR(XLOOKUP(XLOOKUP(D1191,tblReleaseChanges[Change_ID],tblReleaseChanges[Oracle_Severity],""),tblSeverityMap[Severity_Text],tblSeverityMap[Score],0),0)</f>
        <v/>
      </c>
      <c r="T1191">
        <f>ROUND((M1191*0.25)+(N1191*0.20)+(O1191*0.15)+(P1191*0.15)+(Q1191*0.10)+(R1191*0.10)+(S1191*0.05),2)</f>
        <v/>
      </c>
      <c r="U1191">
        <f>IF(T1191&gt;=4.25,"Critical",IF(T1191&gt;=3.5,"High",IF(T1191&gt;=2,"Medium","Low")))</f>
        <v/>
      </c>
    </row>
    <row r="1192">
      <c r="R1192">
        <f>IFERROR(XLOOKUP(XLOOKUP(D1192,tblReleaseChanges[Change_ID],tblReleaseChanges[Oracle_Severity],""),tblSeverityMap[Severity_Text],tblSeverityMap[Score],0),0)</f>
        <v/>
      </c>
      <c r="T1192">
        <f>ROUND((M1192*0.25)+(N1192*0.20)+(O1192*0.15)+(P1192*0.15)+(Q1192*0.10)+(R1192*0.10)+(S1192*0.05),2)</f>
        <v/>
      </c>
      <c r="U1192">
        <f>IF(T1192&gt;=4.25,"Critical",IF(T1192&gt;=3.5,"High",IF(T1192&gt;=2,"Medium","Low")))</f>
        <v/>
      </c>
    </row>
    <row r="1193">
      <c r="R1193">
        <f>IFERROR(XLOOKUP(XLOOKUP(D1193,tblReleaseChanges[Change_ID],tblReleaseChanges[Oracle_Severity],""),tblSeverityMap[Severity_Text],tblSeverityMap[Score],0),0)</f>
        <v/>
      </c>
      <c r="T1193">
        <f>ROUND((M1193*0.25)+(N1193*0.20)+(O1193*0.15)+(P1193*0.15)+(Q1193*0.10)+(R1193*0.10)+(S1193*0.05),2)</f>
        <v/>
      </c>
      <c r="U1193">
        <f>IF(T1193&gt;=4.25,"Critical",IF(T1193&gt;=3.5,"High",IF(T1193&gt;=2,"Medium","Low")))</f>
        <v/>
      </c>
    </row>
    <row r="1194">
      <c r="R1194">
        <f>IFERROR(XLOOKUP(XLOOKUP(D1194,tblReleaseChanges[Change_ID],tblReleaseChanges[Oracle_Severity],""),tblSeverityMap[Severity_Text],tblSeverityMap[Score],0),0)</f>
        <v/>
      </c>
      <c r="T1194">
        <f>ROUND((M1194*0.25)+(N1194*0.20)+(O1194*0.15)+(P1194*0.15)+(Q1194*0.10)+(R1194*0.10)+(S1194*0.05),2)</f>
        <v/>
      </c>
      <c r="U1194">
        <f>IF(T1194&gt;=4.25,"Critical",IF(T1194&gt;=3.5,"High",IF(T1194&gt;=2,"Medium","Low")))</f>
        <v/>
      </c>
    </row>
    <row r="1195">
      <c r="R1195">
        <f>IFERROR(XLOOKUP(XLOOKUP(D1195,tblReleaseChanges[Change_ID],tblReleaseChanges[Oracle_Severity],""),tblSeverityMap[Severity_Text],tblSeverityMap[Score],0),0)</f>
        <v/>
      </c>
      <c r="T1195">
        <f>ROUND((M1195*0.25)+(N1195*0.20)+(O1195*0.15)+(P1195*0.15)+(Q1195*0.10)+(R1195*0.10)+(S1195*0.05),2)</f>
        <v/>
      </c>
      <c r="U1195">
        <f>IF(T1195&gt;=4.25,"Critical",IF(T1195&gt;=3.5,"High",IF(T1195&gt;=2,"Medium","Low")))</f>
        <v/>
      </c>
    </row>
    <row r="1196">
      <c r="R1196">
        <f>IFERROR(XLOOKUP(XLOOKUP(D1196,tblReleaseChanges[Change_ID],tblReleaseChanges[Oracle_Severity],""),tblSeverityMap[Severity_Text],tblSeverityMap[Score],0),0)</f>
        <v/>
      </c>
      <c r="T1196">
        <f>ROUND((M1196*0.25)+(N1196*0.20)+(O1196*0.15)+(P1196*0.15)+(Q1196*0.10)+(R1196*0.10)+(S1196*0.05),2)</f>
        <v/>
      </c>
      <c r="U1196">
        <f>IF(T1196&gt;=4.25,"Critical",IF(T1196&gt;=3.5,"High",IF(T1196&gt;=2,"Medium","Low")))</f>
        <v/>
      </c>
    </row>
    <row r="1197">
      <c r="R1197">
        <f>IFERROR(XLOOKUP(XLOOKUP(D1197,tblReleaseChanges[Change_ID],tblReleaseChanges[Oracle_Severity],""),tblSeverityMap[Severity_Text],tblSeverityMap[Score],0),0)</f>
        <v/>
      </c>
      <c r="T1197">
        <f>ROUND((M1197*0.25)+(N1197*0.20)+(O1197*0.15)+(P1197*0.15)+(Q1197*0.10)+(R1197*0.10)+(S1197*0.05),2)</f>
        <v/>
      </c>
      <c r="U1197">
        <f>IF(T1197&gt;=4.25,"Critical",IF(T1197&gt;=3.5,"High",IF(T1197&gt;=2,"Medium","Low")))</f>
        <v/>
      </c>
    </row>
    <row r="1198">
      <c r="R1198">
        <f>IFERROR(XLOOKUP(XLOOKUP(D1198,tblReleaseChanges[Change_ID],tblReleaseChanges[Oracle_Severity],""),tblSeverityMap[Severity_Text],tblSeverityMap[Score],0),0)</f>
        <v/>
      </c>
      <c r="T1198">
        <f>ROUND((M1198*0.25)+(N1198*0.20)+(O1198*0.15)+(P1198*0.15)+(Q1198*0.10)+(R1198*0.10)+(S1198*0.05),2)</f>
        <v/>
      </c>
      <c r="U1198">
        <f>IF(T1198&gt;=4.25,"Critical",IF(T1198&gt;=3.5,"High",IF(T1198&gt;=2,"Medium","Low")))</f>
        <v/>
      </c>
    </row>
    <row r="1199">
      <c r="R1199">
        <f>IFERROR(XLOOKUP(XLOOKUP(D1199,tblReleaseChanges[Change_ID],tblReleaseChanges[Oracle_Severity],""),tblSeverityMap[Severity_Text],tblSeverityMap[Score],0),0)</f>
        <v/>
      </c>
      <c r="T1199">
        <f>ROUND((M1199*0.25)+(N1199*0.20)+(O1199*0.15)+(P1199*0.15)+(Q1199*0.10)+(R1199*0.10)+(S1199*0.05),2)</f>
        <v/>
      </c>
      <c r="U1199">
        <f>IF(T1199&gt;=4.25,"Critical",IF(T1199&gt;=3.5,"High",IF(T1199&gt;=2,"Medium","Low")))</f>
        <v/>
      </c>
    </row>
    <row r="1200">
      <c r="R1200">
        <f>IFERROR(XLOOKUP(XLOOKUP(D1200,tblReleaseChanges[Change_ID],tblReleaseChanges[Oracle_Severity],""),tblSeverityMap[Severity_Text],tblSeverityMap[Score],0),0)</f>
        <v/>
      </c>
      <c r="T1200">
        <f>ROUND((M1200*0.25)+(N1200*0.20)+(O1200*0.15)+(P1200*0.15)+(Q1200*0.10)+(R1200*0.10)+(S1200*0.05),2)</f>
        <v/>
      </c>
      <c r="U1200">
        <f>IF(T1200&gt;=4.25,"Critical",IF(T1200&gt;=3.5,"High",IF(T1200&gt;=2,"Medium","Low")))</f>
        <v/>
      </c>
    </row>
    <row r="1201">
      <c r="R1201">
        <f>IFERROR(XLOOKUP(XLOOKUP(D1201,tblReleaseChanges[Change_ID],tblReleaseChanges[Oracle_Severity],""),tblSeverityMap[Severity_Text],tblSeverityMap[Score],0),0)</f>
        <v/>
      </c>
      <c r="T1201">
        <f>ROUND((M1201*0.25)+(N1201*0.20)+(O1201*0.15)+(P1201*0.15)+(Q1201*0.10)+(R1201*0.10)+(S1201*0.05),2)</f>
        <v/>
      </c>
      <c r="U1201">
        <f>IF(T1201&gt;=4.25,"Critical",IF(T1201&gt;=3.5,"High",IF(T1201&gt;=2,"Medium","Low")))</f>
        <v/>
      </c>
    </row>
    <row r="1202">
      <c r="R1202">
        <f>IFERROR(XLOOKUP(XLOOKUP(D1202,tblReleaseChanges[Change_ID],tblReleaseChanges[Oracle_Severity],""),tblSeverityMap[Severity_Text],tblSeverityMap[Score],0),0)</f>
        <v/>
      </c>
      <c r="T1202">
        <f>ROUND((M1202*0.25)+(N1202*0.20)+(O1202*0.15)+(P1202*0.15)+(Q1202*0.10)+(R1202*0.10)+(S1202*0.05),2)</f>
        <v/>
      </c>
      <c r="U1202">
        <f>IF(T1202&gt;=4.25,"Critical",IF(T1202&gt;=3.5,"High",IF(T1202&gt;=2,"Medium","Low")))</f>
        <v/>
      </c>
    </row>
    <row r="1203">
      <c r="R1203">
        <f>IFERROR(XLOOKUP(XLOOKUP(D1203,tblReleaseChanges[Change_ID],tblReleaseChanges[Oracle_Severity],""),tblSeverityMap[Severity_Text],tblSeverityMap[Score],0),0)</f>
        <v/>
      </c>
      <c r="T1203">
        <f>ROUND((M1203*0.25)+(N1203*0.20)+(O1203*0.15)+(P1203*0.15)+(Q1203*0.10)+(R1203*0.10)+(S1203*0.05),2)</f>
        <v/>
      </c>
      <c r="U1203">
        <f>IF(T1203&gt;=4.25,"Critical",IF(T1203&gt;=3.5,"High",IF(T1203&gt;=2,"Medium","Low")))</f>
        <v/>
      </c>
    </row>
    <row r="1204">
      <c r="R1204">
        <f>IFERROR(XLOOKUP(XLOOKUP(D1204,tblReleaseChanges[Change_ID],tblReleaseChanges[Oracle_Severity],""),tblSeverityMap[Severity_Text],tblSeverityMap[Score],0),0)</f>
        <v/>
      </c>
      <c r="T1204">
        <f>ROUND((M1204*0.25)+(N1204*0.20)+(O1204*0.15)+(P1204*0.15)+(Q1204*0.10)+(R1204*0.10)+(S1204*0.05),2)</f>
        <v/>
      </c>
      <c r="U1204">
        <f>IF(T1204&gt;=4.25,"Critical",IF(T1204&gt;=3.5,"High",IF(T1204&gt;=2,"Medium","Low")))</f>
        <v/>
      </c>
    </row>
    <row r="1205">
      <c r="R1205">
        <f>IFERROR(XLOOKUP(XLOOKUP(D1205,tblReleaseChanges[Change_ID],tblReleaseChanges[Oracle_Severity],""),tblSeverityMap[Severity_Text],tblSeverityMap[Score],0),0)</f>
        <v/>
      </c>
      <c r="T1205">
        <f>ROUND((M1205*0.25)+(N1205*0.20)+(O1205*0.15)+(P1205*0.15)+(Q1205*0.10)+(R1205*0.10)+(S1205*0.05),2)</f>
        <v/>
      </c>
      <c r="U1205">
        <f>IF(T1205&gt;=4.25,"Critical",IF(T1205&gt;=3.5,"High",IF(T1205&gt;=2,"Medium","Low")))</f>
        <v/>
      </c>
    </row>
    <row r="1206">
      <c r="R1206">
        <f>IFERROR(XLOOKUP(XLOOKUP(D1206,tblReleaseChanges[Change_ID],tblReleaseChanges[Oracle_Severity],""),tblSeverityMap[Severity_Text],tblSeverityMap[Score],0),0)</f>
        <v/>
      </c>
      <c r="T1206">
        <f>ROUND((M1206*0.25)+(N1206*0.20)+(O1206*0.15)+(P1206*0.15)+(Q1206*0.10)+(R1206*0.10)+(S1206*0.05),2)</f>
        <v/>
      </c>
      <c r="U1206">
        <f>IF(T1206&gt;=4.25,"Critical",IF(T1206&gt;=3.5,"High",IF(T1206&gt;=2,"Medium","Low")))</f>
        <v/>
      </c>
    </row>
    <row r="1207">
      <c r="R1207">
        <f>IFERROR(XLOOKUP(XLOOKUP(D1207,tblReleaseChanges[Change_ID],tblReleaseChanges[Oracle_Severity],""),tblSeverityMap[Severity_Text],tblSeverityMap[Score],0),0)</f>
        <v/>
      </c>
      <c r="T1207">
        <f>ROUND((M1207*0.25)+(N1207*0.20)+(O1207*0.15)+(P1207*0.15)+(Q1207*0.10)+(R1207*0.10)+(S1207*0.05),2)</f>
        <v/>
      </c>
      <c r="U1207">
        <f>IF(T1207&gt;=4.25,"Critical",IF(T1207&gt;=3.5,"High",IF(T1207&gt;=2,"Medium","Low")))</f>
        <v/>
      </c>
    </row>
    <row r="1208">
      <c r="R1208">
        <f>IFERROR(XLOOKUP(XLOOKUP(D1208,tblReleaseChanges[Change_ID],tblReleaseChanges[Oracle_Severity],""),tblSeverityMap[Severity_Text],tblSeverityMap[Score],0),0)</f>
        <v/>
      </c>
      <c r="T1208">
        <f>ROUND((M1208*0.25)+(N1208*0.20)+(O1208*0.15)+(P1208*0.15)+(Q1208*0.10)+(R1208*0.10)+(S1208*0.05),2)</f>
        <v/>
      </c>
      <c r="U1208">
        <f>IF(T1208&gt;=4.25,"Critical",IF(T1208&gt;=3.5,"High",IF(T1208&gt;=2,"Medium","Low")))</f>
        <v/>
      </c>
    </row>
    <row r="1209">
      <c r="R1209">
        <f>IFERROR(XLOOKUP(XLOOKUP(D1209,tblReleaseChanges[Change_ID],tblReleaseChanges[Oracle_Severity],""),tblSeverityMap[Severity_Text],tblSeverityMap[Score],0),0)</f>
        <v/>
      </c>
      <c r="T1209">
        <f>ROUND((M1209*0.25)+(N1209*0.20)+(O1209*0.15)+(P1209*0.15)+(Q1209*0.10)+(R1209*0.10)+(S1209*0.05),2)</f>
        <v/>
      </c>
      <c r="U1209">
        <f>IF(T1209&gt;=4.25,"Critical",IF(T1209&gt;=3.5,"High",IF(T1209&gt;=2,"Medium","Low")))</f>
        <v/>
      </c>
    </row>
    <row r="1210">
      <c r="R1210">
        <f>IFERROR(XLOOKUP(XLOOKUP(D1210,tblReleaseChanges[Change_ID],tblReleaseChanges[Oracle_Severity],""),tblSeverityMap[Severity_Text],tblSeverityMap[Score],0),0)</f>
        <v/>
      </c>
      <c r="T1210">
        <f>ROUND((M1210*0.25)+(N1210*0.20)+(O1210*0.15)+(P1210*0.15)+(Q1210*0.10)+(R1210*0.10)+(S1210*0.05),2)</f>
        <v/>
      </c>
      <c r="U1210">
        <f>IF(T1210&gt;=4.25,"Critical",IF(T1210&gt;=3.5,"High",IF(T1210&gt;=2,"Medium","Low")))</f>
        <v/>
      </c>
    </row>
    <row r="1211">
      <c r="R1211">
        <f>IFERROR(XLOOKUP(XLOOKUP(D1211,tblReleaseChanges[Change_ID],tblReleaseChanges[Oracle_Severity],""),tblSeverityMap[Severity_Text],tblSeverityMap[Score],0),0)</f>
        <v/>
      </c>
      <c r="T1211">
        <f>ROUND((M1211*0.25)+(N1211*0.20)+(O1211*0.15)+(P1211*0.15)+(Q1211*0.10)+(R1211*0.10)+(S1211*0.05),2)</f>
        <v/>
      </c>
      <c r="U1211">
        <f>IF(T1211&gt;=4.25,"Critical",IF(T1211&gt;=3.5,"High",IF(T1211&gt;=2,"Medium","Low")))</f>
        <v/>
      </c>
    </row>
    <row r="1212">
      <c r="R1212">
        <f>IFERROR(XLOOKUP(XLOOKUP(D1212,tblReleaseChanges[Change_ID],tblReleaseChanges[Oracle_Severity],""),tblSeverityMap[Severity_Text],tblSeverityMap[Score],0),0)</f>
        <v/>
      </c>
      <c r="T1212">
        <f>ROUND((M1212*0.25)+(N1212*0.20)+(O1212*0.15)+(P1212*0.15)+(Q1212*0.10)+(R1212*0.10)+(S1212*0.05),2)</f>
        <v/>
      </c>
      <c r="U1212">
        <f>IF(T1212&gt;=4.25,"Critical",IF(T1212&gt;=3.5,"High",IF(T1212&gt;=2,"Medium","Low")))</f>
        <v/>
      </c>
    </row>
    <row r="1213">
      <c r="R1213">
        <f>IFERROR(XLOOKUP(XLOOKUP(D1213,tblReleaseChanges[Change_ID],tblReleaseChanges[Oracle_Severity],""),tblSeverityMap[Severity_Text],tblSeverityMap[Score],0),0)</f>
        <v/>
      </c>
      <c r="T1213">
        <f>ROUND((M1213*0.25)+(N1213*0.20)+(O1213*0.15)+(P1213*0.15)+(Q1213*0.10)+(R1213*0.10)+(S1213*0.05),2)</f>
        <v/>
      </c>
      <c r="U1213">
        <f>IF(T1213&gt;=4.25,"Critical",IF(T1213&gt;=3.5,"High",IF(T1213&gt;=2,"Medium","Low")))</f>
        <v/>
      </c>
    </row>
    <row r="1214">
      <c r="R1214">
        <f>IFERROR(XLOOKUP(XLOOKUP(D1214,tblReleaseChanges[Change_ID],tblReleaseChanges[Oracle_Severity],""),tblSeverityMap[Severity_Text],tblSeverityMap[Score],0),0)</f>
        <v/>
      </c>
      <c r="T1214">
        <f>ROUND((M1214*0.25)+(N1214*0.20)+(O1214*0.15)+(P1214*0.15)+(Q1214*0.10)+(R1214*0.10)+(S1214*0.05),2)</f>
        <v/>
      </c>
      <c r="U1214">
        <f>IF(T1214&gt;=4.25,"Critical",IF(T1214&gt;=3.5,"High",IF(T1214&gt;=2,"Medium","Low")))</f>
        <v/>
      </c>
    </row>
    <row r="1215">
      <c r="R1215">
        <f>IFERROR(XLOOKUP(XLOOKUP(D1215,tblReleaseChanges[Change_ID],tblReleaseChanges[Oracle_Severity],""),tblSeverityMap[Severity_Text],tblSeverityMap[Score],0),0)</f>
        <v/>
      </c>
      <c r="T1215">
        <f>ROUND((M1215*0.25)+(N1215*0.20)+(O1215*0.15)+(P1215*0.15)+(Q1215*0.10)+(R1215*0.10)+(S1215*0.05),2)</f>
        <v/>
      </c>
      <c r="U1215">
        <f>IF(T1215&gt;=4.25,"Critical",IF(T1215&gt;=3.5,"High",IF(T1215&gt;=2,"Medium","Low")))</f>
        <v/>
      </c>
    </row>
    <row r="1216">
      <c r="R1216">
        <f>IFERROR(XLOOKUP(XLOOKUP(D1216,tblReleaseChanges[Change_ID],tblReleaseChanges[Oracle_Severity],""),tblSeverityMap[Severity_Text],tblSeverityMap[Score],0),0)</f>
        <v/>
      </c>
      <c r="T1216">
        <f>ROUND((M1216*0.25)+(N1216*0.20)+(O1216*0.15)+(P1216*0.15)+(Q1216*0.10)+(R1216*0.10)+(S1216*0.05),2)</f>
        <v/>
      </c>
      <c r="U1216">
        <f>IF(T1216&gt;=4.25,"Critical",IF(T1216&gt;=3.5,"High",IF(T1216&gt;=2,"Medium","Low")))</f>
        <v/>
      </c>
    </row>
    <row r="1217">
      <c r="R1217">
        <f>IFERROR(XLOOKUP(XLOOKUP(D1217,tblReleaseChanges[Change_ID],tblReleaseChanges[Oracle_Severity],""),tblSeverityMap[Severity_Text],tblSeverityMap[Score],0),0)</f>
        <v/>
      </c>
      <c r="T1217">
        <f>ROUND((M1217*0.25)+(N1217*0.20)+(O1217*0.15)+(P1217*0.15)+(Q1217*0.10)+(R1217*0.10)+(S1217*0.05),2)</f>
        <v/>
      </c>
      <c r="U1217">
        <f>IF(T1217&gt;=4.25,"Critical",IF(T1217&gt;=3.5,"High",IF(T1217&gt;=2,"Medium","Low")))</f>
        <v/>
      </c>
    </row>
    <row r="1218">
      <c r="R1218">
        <f>IFERROR(XLOOKUP(XLOOKUP(D1218,tblReleaseChanges[Change_ID],tblReleaseChanges[Oracle_Severity],""),tblSeverityMap[Severity_Text],tblSeverityMap[Score],0),0)</f>
        <v/>
      </c>
      <c r="T1218">
        <f>ROUND((M1218*0.25)+(N1218*0.20)+(O1218*0.15)+(P1218*0.15)+(Q1218*0.10)+(R1218*0.10)+(S1218*0.05),2)</f>
        <v/>
      </c>
      <c r="U1218">
        <f>IF(T1218&gt;=4.25,"Critical",IF(T1218&gt;=3.5,"High",IF(T1218&gt;=2,"Medium","Low")))</f>
        <v/>
      </c>
    </row>
    <row r="1219">
      <c r="R1219">
        <f>IFERROR(XLOOKUP(XLOOKUP(D1219,tblReleaseChanges[Change_ID],tblReleaseChanges[Oracle_Severity],""),tblSeverityMap[Severity_Text],tblSeverityMap[Score],0),0)</f>
        <v/>
      </c>
      <c r="T1219">
        <f>ROUND((M1219*0.25)+(N1219*0.20)+(O1219*0.15)+(P1219*0.15)+(Q1219*0.10)+(R1219*0.10)+(S1219*0.05),2)</f>
        <v/>
      </c>
      <c r="U1219">
        <f>IF(T1219&gt;=4.25,"Critical",IF(T1219&gt;=3.5,"High",IF(T1219&gt;=2,"Medium","Low")))</f>
        <v/>
      </c>
    </row>
    <row r="1220">
      <c r="R1220">
        <f>IFERROR(XLOOKUP(XLOOKUP(D1220,tblReleaseChanges[Change_ID],tblReleaseChanges[Oracle_Severity],""),tblSeverityMap[Severity_Text],tblSeverityMap[Score],0),0)</f>
        <v/>
      </c>
      <c r="T1220">
        <f>ROUND((M1220*0.25)+(N1220*0.20)+(O1220*0.15)+(P1220*0.15)+(Q1220*0.10)+(R1220*0.10)+(S1220*0.05),2)</f>
        <v/>
      </c>
      <c r="U1220">
        <f>IF(T1220&gt;=4.25,"Critical",IF(T1220&gt;=3.5,"High",IF(T1220&gt;=2,"Medium","Low")))</f>
        <v/>
      </c>
    </row>
    <row r="1221">
      <c r="R1221">
        <f>IFERROR(XLOOKUP(XLOOKUP(D1221,tblReleaseChanges[Change_ID],tblReleaseChanges[Oracle_Severity],""),tblSeverityMap[Severity_Text],tblSeverityMap[Score],0),0)</f>
        <v/>
      </c>
      <c r="T1221">
        <f>ROUND((M1221*0.25)+(N1221*0.20)+(O1221*0.15)+(P1221*0.15)+(Q1221*0.10)+(R1221*0.10)+(S1221*0.05),2)</f>
        <v/>
      </c>
      <c r="U1221">
        <f>IF(T1221&gt;=4.25,"Critical",IF(T1221&gt;=3.5,"High",IF(T1221&gt;=2,"Medium","Low")))</f>
        <v/>
      </c>
    </row>
    <row r="1222">
      <c r="R1222">
        <f>IFERROR(XLOOKUP(XLOOKUP(D1222,tblReleaseChanges[Change_ID],tblReleaseChanges[Oracle_Severity],""),tblSeverityMap[Severity_Text],tblSeverityMap[Score],0),0)</f>
        <v/>
      </c>
      <c r="T1222">
        <f>ROUND((M1222*0.25)+(N1222*0.20)+(O1222*0.15)+(P1222*0.15)+(Q1222*0.10)+(R1222*0.10)+(S1222*0.05),2)</f>
        <v/>
      </c>
      <c r="U1222">
        <f>IF(T1222&gt;=4.25,"Critical",IF(T1222&gt;=3.5,"High",IF(T1222&gt;=2,"Medium","Low")))</f>
        <v/>
      </c>
    </row>
    <row r="1223">
      <c r="R1223">
        <f>IFERROR(XLOOKUP(XLOOKUP(D1223,tblReleaseChanges[Change_ID],tblReleaseChanges[Oracle_Severity],""),tblSeverityMap[Severity_Text],tblSeverityMap[Score],0),0)</f>
        <v/>
      </c>
      <c r="T1223">
        <f>ROUND((M1223*0.25)+(N1223*0.20)+(O1223*0.15)+(P1223*0.15)+(Q1223*0.10)+(R1223*0.10)+(S1223*0.05),2)</f>
        <v/>
      </c>
      <c r="U1223">
        <f>IF(T1223&gt;=4.25,"Critical",IF(T1223&gt;=3.5,"High",IF(T1223&gt;=2,"Medium","Low")))</f>
        <v/>
      </c>
    </row>
    <row r="1224">
      <c r="R1224">
        <f>IFERROR(XLOOKUP(XLOOKUP(D1224,tblReleaseChanges[Change_ID],tblReleaseChanges[Oracle_Severity],""),tblSeverityMap[Severity_Text],tblSeverityMap[Score],0),0)</f>
        <v/>
      </c>
      <c r="T1224">
        <f>ROUND((M1224*0.25)+(N1224*0.20)+(O1224*0.15)+(P1224*0.15)+(Q1224*0.10)+(R1224*0.10)+(S1224*0.05),2)</f>
        <v/>
      </c>
      <c r="U1224">
        <f>IF(T1224&gt;=4.25,"Critical",IF(T1224&gt;=3.5,"High",IF(T1224&gt;=2,"Medium","Low")))</f>
        <v/>
      </c>
    </row>
    <row r="1225">
      <c r="R1225">
        <f>IFERROR(XLOOKUP(XLOOKUP(D1225,tblReleaseChanges[Change_ID],tblReleaseChanges[Oracle_Severity],""),tblSeverityMap[Severity_Text],tblSeverityMap[Score],0),0)</f>
        <v/>
      </c>
      <c r="T1225">
        <f>ROUND((M1225*0.25)+(N1225*0.20)+(O1225*0.15)+(P1225*0.15)+(Q1225*0.10)+(R1225*0.10)+(S1225*0.05),2)</f>
        <v/>
      </c>
      <c r="U1225">
        <f>IF(T1225&gt;=4.25,"Critical",IF(T1225&gt;=3.5,"High",IF(T1225&gt;=2,"Medium","Low")))</f>
        <v/>
      </c>
    </row>
    <row r="1226">
      <c r="R1226">
        <f>IFERROR(XLOOKUP(XLOOKUP(D1226,tblReleaseChanges[Change_ID],tblReleaseChanges[Oracle_Severity],""),tblSeverityMap[Severity_Text],tblSeverityMap[Score],0),0)</f>
        <v/>
      </c>
      <c r="T1226">
        <f>ROUND((M1226*0.25)+(N1226*0.20)+(O1226*0.15)+(P1226*0.15)+(Q1226*0.10)+(R1226*0.10)+(S1226*0.05),2)</f>
        <v/>
      </c>
      <c r="U1226">
        <f>IF(T1226&gt;=4.25,"Critical",IF(T1226&gt;=3.5,"High",IF(T1226&gt;=2,"Medium","Low")))</f>
        <v/>
      </c>
    </row>
    <row r="1227">
      <c r="R1227">
        <f>IFERROR(XLOOKUP(XLOOKUP(D1227,tblReleaseChanges[Change_ID],tblReleaseChanges[Oracle_Severity],""),tblSeverityMap[Severity_Text],tblSeverityMap[Score],0),0)</f>
        <v/>
      </c>
      <c r="T1227">
        <f>ROUND((M1227*0.25)+(N1227*0.20)+(O1227*0.15)+(P1227*0.15)+(Q1227*0.10)+(R1227*0.10)+(S1227*0.05),2)</f>
        <v/>
      </c>
      <c r="U1227">
        <f>IF(T1227&gt;=4.25,"Critical",IF(T1227&gt;=3.5,"High",IF(T1227&gt;=2,"Medium","Low")))</f>
        <v/>
      </c>
    </row>
    <row r="1228">
      <c r="R1228">
        <f>IFERROR(XLOOKUP(XLOOKUP(D1228,tblReleaseChanges[Change_ID],tblReleaseChanges[Oracle_Severity],""),tblSeverityMap[Severity_Text],tblSeverityMap[Score],0),0)</f>
        <v/>
      </c>
      <c r="T1228">
        <f>ROUND((M1228*0.25)+(N1228*0.20)+(O1228*0.15)+(P1228*0.15)+(Q1228*0.10)+(R1228*0.10)+(S1228*0.05),2)</f>
        <v/>
      </c>
      <c r="U1228">
        <f>IF(T1228&gt;=4.25,"Critical",IF(T1228&gt;=3.5,"High",IF(T1228&gt;=2,"Medium","Low")))</f>
        <v/>
      </c>
    </row>
    <row r="1229">
      <c r="R1229">
        <f>IFERROR(XLOOKUP(XLOOKUP(D1229,tblReleaseChanges[Change_ID],tblReleaseChanges[Oracle_Severity],""),tblSeverityMap[Severity_Text],tblSeverityMap[Score],0),0)</f>
        <v/>
      </c>
      <c r="T1229">
        <f>ROUND((M1229*0.25)+(N1229*0.20)+(O1229*0.15)+(P1229*0.15)+(Q1229*0.10)+(R1229*0.10)+(S1229*0.05),2)</f>
        <v/>
      </c>
      <c r="U1229">
        <f>IF(T1229&gt;=4.25,"Critical",IF(T1229&gt;=3.5,"High",IF(T1229&gt;=2,"Medium","Low")))</f>
        <v/>
      </c>
    </row>
    <row r="1230">
      <c r="R1230">
        <f>IFERROR(XLOOKUP(XLOOKUP(D1230,tblReleaseChanges[Change_ID],tblReleaseChanges[Oracle_Severity],""),tblSeverityMap[Severity_Text],tblSeverityMap[Score],0),0)</f>
        <v/>
      </c>
      <c r="T1230">
        <f>ROUND((M1230*0.25)+(N1230*0.20)+(O1230*0.15)+(P1230*0.15)+(Q1230*0.10)+(R1230*0.10)+(S1230*0.05),2)</f>
        <v/>
      </c>
      <c r="U1230">
        <f>IF(T1230&gt;=4.25,"Critical",IF(T1230&gt;=3.5,"High",IF(T1230&gt;=2,"Medium","Low")))</f>
        <v/>
      </c>
    </row>
    <row r="1231">
      <c r="R1231">
        <f>IFERROR(XLOOKUP(XLOOKUP(D1231,tblReleaseChanges[Change_ID],tblReleaseChanges[Oracle_Severity],""),tblSeverityMap[Severity_Text],tblSeverityMap[Score],0),0)</f>
        <v/>
      </c>
      <c r="T1231">
        <f>ROUND((M1231*0.25)+(N1231*0.20)+(O1231*0.15)+(P1231*0.15)+(Q1231*0.10)+(R1231*0.10)+(S1231*0.05),2)</f>
        <v/>
      </c>
      <c r="U1231">
        <f>IF(T1231&gt;=4.25,"Critical",IF(T1231&gt;=3.5,"High",IF(T1231&gt;=2,"Medium","Low")))</f>
        <v/>
      </c>
    </row>
    <row r="1232">
      <c r="R1232">
        <f>IFERROR(XLOOKUP(XLOOKUP(D1232,tblReleaseChanges[Change_ID],tblReleaseChanges[Oracle_Severity],""),tblSeverityMap[Severity_Text],tblSeverityMap[Score],0),0)</f>
        <v/>
      </c>
      <c r="T1232">
        <f>ROUND((M1232*0.25)+(N1232*0.20)+(O1232*0.15)+(P1232*0.15)+(Q1232*0.10)+(R1232*0.10)+(S1232*0.05),2)</f>
        <v/>
      </c>
      <c r="U1232">
        <f>IF(T1232&gt;=4.25,"Critical",IF(T1232&gt;=3.5,"High",IF(T1232&gt;=2,"Medium","Low")))</f>
        <v/>
      </c>
    </row>
    <row r="1233">
      <c r="R1233">
        <f>IFERROR(XLOOKUP(XLOOKUP(D1233,tblReleaseChanges[Change_ID],tblReleaseChanges[Oracle_Severity],""),tblSeverityMap[Severity_Text],tblSeverityMap[Score],0),0)</f>
        <v/>
      </c>
      <c r="T1233">
        <f>ROUND((M1233*0.25)+(N1233*0.20)+(O1233*0.15)+(P1233*0.15)+(Q1233*0.10)+(R1233*0.10)+(S1233*0.05),2)</f>
        <v/>
      </c>
      <c r="U1233">
        <f>IF(T1233&gt;=4.25,"Critical",IF(T1233&gt;=3.5,"High",IF(T1233&gt;=2,"Medium","Low")))</f>
        <v/>
      </c>
    </row>
    <row r="1234">
      <c r="R1234">
        <f>IFERROR(XLOOKUP(XLOOKUP(D1234,tblReleaseChanges[Change_ID],tblReleaseChanges[Oracle_Severity],""),tblSeverityMap[Severity_Text],tblSeverityMap[Score],0),0)</f>
        <v/>
      </c>
      <c r="T1234">
        <f>ROUND((M1234*0.25)+(N1234*0.20)+(O1234*0.15)+(P1234*0.15)+(Q1234*0.10)+(R1234*0.10)+(S1234*0.05),2)</f>
        <v/>
      </c>
      <c r="U1234">
        <f>IF(T1234&gt;=4.25,"Critical",IF(T1234&gt;=3.5,"High",IF(T1234&gt;=2,"Medium","Low")))</f>
        <v/>
      </c>
    </row>
    <row r="1235">
      <c r="R1235">
        <f>IFERROR(XLOOKUP(XLOOKUP(D1235,tblReleaseChanges[Change_ID],tblReleaseChanges[Oracle_Severity],""),tblSeverityMap[Severity_Text],tblSeverityMap[Score],0),0)</f>
        <v/>
      </c>
      <c r="T1235">
        <f>ROUND((M1235*0.25)+(N1235*0.20)+(O1235*0.15)+(P1235*0.15)+(Q1235*0.10)+(R1235*0.10)+(S1235*0.05),2)</f>
        <v/>
      </c>
      <c r="U1235">
        <f>IF(T1235&gt;=4.25,"Critical",IF(T1235&gt;=3.5,"High",IF(T1235&gt;=2,"Medium","Low")))</f>
        <v/>
      </c>
    </row>
    <row r="1236">
      <c r="R1236">
        <f>IFERROR(XLOOKUP(XLOOKUP(D1236,tblReleaseChanges[Change_ID],tblReleaseChanges[Oracle_Severity],""),tblSeverityMap[Severity_Text],tblSeverityMap[Score],0),0)</f>
        <v/>
      </c>
      <c r="T1236">
        <f>ROUND((M1236*0.25)+(N1236*0.20)+(O1236*0.15)+(P1236*0.15)+(Q1236*0.10)+(R1236*0.10)+(S1236*0.05),2)</f>
        <v/>
      </c>
      <c r="U1236">
        <f>IF(T1236&gt;=4.25,"Critical",IF(T1236&gt;=3.5,"High",IF(T1236&gt;=2,"Medium","Low")))</f>
        <v/>
      </c>
    </row>
    <row r="1237">
      <c r="R1237">
        <f>IFERROR(XLOOKUP(XLOOKUP(D1237,tblReleaseChanges[Change_ID],tblReleaseChanges[Oracle_Severity],""),tblSeverityMap[Severity_Text],tblSeverityMap[Score],0),0)</f>
        <v/>
      </c>
      <c r="T1237">
        <f>ROUND((M1237*0.25)+(N1237*0.20)+(O1237*0.15)+(P1237*0.15)+(Q1237*0.10)+(R1237*0.10)+(S1237*0.05),2)</f>
        <v/>
      </c>
      <c r="U1237">
        <f>IF(T1237&gt;=4.25,"Critical",IF(T1237&gt;=3.5,"High",IF(T1237&gt;=2,"Medium","Low")))</f>
        <v/>
      </c>
    </row>
    <row r="1238">
      <c r="R1238">
        <f>IFERROR(XLOOKUP(XLOOKUP(D1238,tblReleaseChanges[Change_ID],tblReleaseChanges[Oracle_Severity],""),tblSeverityMap[Severity_Text],tblSeverityMap[Score],0),0)</f>
        <v/>
      </c>
      <c r="T1238">
        <f>ROUND((M1238*0.25)+(N1238*0.20)+(O1238*0.15)+(P1238*0.15)+(Q1238*0.10)+(R1238*0.10)+(S1238*0.05),2)</f>
        <v/>
      </c>
      <c r="U1238">
        <f>IF(T1238&gt;=4.25,"Critical",IF(T1238&gt;=3.5,"High",IF(T1238&gt;=2,"Medium","Low")))</f>
        <v/>
      </c>
    </row>
    <row r="1239">
      <c r="R1239">
        <f>IFERROR(XLOOKUP(XLOOKUP(D1239,tblReleaseChanges[Change_ID],tblReleaseChanges[Oracle_Severity],""),tblSeverityMap[Severity_Text],tblSeverityMap[Score],0),0)</f>
        <v/>
      </c>
      <c r="T1239">
        <f>ROUND((M1239*0.25)+(N1239*0.20)+(O1239*0.15)+(P1239*0.15)+(Q1239*0.10)+(R1239*0.10)+(S1239*0.05),2)</f>
        <v/>
      </c>
      <c r="U1239">
        <f>IF(T1239&gt;=4.25,"Critical",IF(T1239&gt;=3.5,"High",IF(T1239&gt;=2,"Medium","Low")))</f>
        <v/>
      </c>
    </row>
    <row r="1240">
      <c r="R1240">
        <f>IFERROR(XLOOKUP(XLOOKUP(D1240,tblReleaseChanges[Change_ID],tblReleaseChanges[Oracle_Severity],""),tblSeverityMap[Severity_Text],tblSeverityMap[Score],0),0)</f>
        <v/>
      </c>
      <c r="T1240">
        <f>ROUND((M1240*0.25)+(N1240*0.20)+(O1240*0.15)+(P1240*0.15)+(Q1240*0.10)+(R1240*0.10)+(S1240*0.05),2)</f>
        <v/>
      </c>
      <c r="U1240">
        <f>IF(T1240&gt;=4.25,"Critical",IF(T1240&gt;=3.5,"High",IF(T1240&gt;=2,"Medium","Low")))</f>
        <v/>
      </c>
    </row>
    <row r="1241">
      <c r="R1241">
        <f>IFERROR(XLOOKUP(XLOOKUP(D1241,tblReleaseChanges[Change_ID],tblReleaseChanges[Oracle_Severity],""),tblSeverityMap[Severity_Text],tblSeverityMap[Score],0),0)</f>
        <v/>
      </c>
      <c r="T1241">
        <f>ROUND((M1241*0.25)+(N1241*0.20)+(O1241*0.15)+(P1241*0.15)+(Q1241*0.10)+(R1241*0.10)+(S1241*0.05),2)</f>
        <v/>
      </c>
      <c r="U1241">
        <f>IF(T1241&gt;=4.25,"Critical",IF(T1241&gt;=3.5,"High",IF(T1241&gt;=2,"Medium","Low")))</f>
        <v/>
      </c>
    </row>
    <row r="1242">
      <c r="R1242">
        <f>IFERROR(XLOOKUP(XLOOKUP(D1242,tblReleaseChanges[Change_ID],tblReleaseChanges[Oracle_Severity],""),tblSeverityMap[Severity_Text],tblSeverityMap[Score],0),0)</f>
        <v/>
      </c>
      <c r="T1242">
        <f>ROUND((M1242*0.25)+(N1242*0.20)+(O1242*0.15)+(P1242*0.15)+(Q1242*0.10)+(R1242*0.10)+(S1242*0.05),2)</f>
        <v/>
      </c>
      <c r="U1242">
        <f>IF(T1242&gt;=4.25,"Critical",IF(T1242&gt;=3.5,"High",IF(T1242&gt;=2,"Medium","Low")))</f>
        <v/>
      </c>
    </row>
    <row r="1243">
      <c r="R1243">
        <f>IFERROR(XLOOKUP(XLOOKUP(D1243,tblReleaseChanges[Change_ID],tblReleaseChanges[Oracle_Severity],""),tblSeverityMap[Severity_Text],tblSeverityMap[Score],0),0)</f>
        <v/>
      </c>
      <c r="T1243">
        <f>ROUND((M1243*0.25)+(N1243*0.20)+(O1243*0.15)+(P1243*0.15)+(Q1243*0.10)+(R1243*0.10)+(S1243*0.05),2)</f>
        <v/>
      </c>
      <c r="U1243">
        <f>IF(T1243&gt;=4.25,"Critical",IF(T1243&gt;=3.5,"High",IF(T1243&gt;=2,"Medium","Low")))</f>
        <v/>
      </c>
    </row>
    <row r="1244">
      <c r="R1244">
        <f>IFERROR(XLOOKUP(XLOOKUP(D1244,tblReleaseChanges[Change_ID],tblReleaseChanges[Oracle_Severity],""),tblSeverityMap[Severity_Text],tblSeverityMap[Score],0),0)</f>
        <v/>
      </c>
      <c r="T1244">
        <f>ROUND((M1244*0.25)+(N1244*0.20)+(O1244*0.15)+(P1244*0.15)+(Q1244*0.10)+(R1244*0.10)+(S1244*0.05),2)</f>
        <v/>
      </c>
      <c r="U1244">
        <f>IF(T1244&gt;=4.25,"Critical",IF(T1244&gt;=3.5,"High",IF(T1244&gt;=2,"Medium","Low")))</f>
        <v/>
      </c>
    </row>
    <row r="1245">
      <c r="R1245">
        <f>IFERROR(XLOOKUP(XLOOKUP(D1245,tblReleaseChanges[Change_ID],tblReleaseChanges[Oracle_Severity],""),tblSeverityMap[Severity_Text],tblSeverityMap[Score],0),0)</f>
        <v/>
      </c>
      <c r="T1245">
        <f>ROUND((M1245*0.25)+(N1245*0.20)+(O1245*0.15)+(P1245*0.15)+(Q1245*0.10)+(R1245*0.10)+(S1245*0.05),2)</f>
        <v/>
      </c>
      <c r="U1245">
        <f>IF(T1245&gt;=4.25,"Critical",IF(T1245&gt;=3.5,"High",IF(T1245&gt;=2,"Medium","Low")))</f>
        <v/>
      </c>
    </row>
    <row r="1246">
      <c r="R1246">
        <f>IFERROR(XLOOKUP(XLOOKUP(D1246,tblReleaseChanges[Change_ID],tblReleaseChanges[Oracle_Severity],""),tblSeverityMap[Severity_Text],tblSeverityMap[Score],0),0)</f>
        <v/>
      </c>
      <c r="T1246">
        <f>ROUND((M1246*0.25)+(N1246*0.20)+(O1246*0.15)+(P1246*0.15)+(Q1246*0.10)+(R1246*0.10)+(S1246*0.05),2)</f>
        <v/>
      </c>
      <c r="U1246">
        <f>IF(T1246&gt;=4.25,"Critical",IF(T1246&gt;=3.5,"High",IF(T1246&gt;=2,"Medium","Low")))</f>
        <v/>
      </c>
    </row>
    <row r="1247">
      <c r="R1247">
        <f>IFERROR(XLOOKUP(XLOOKUP(D1247,tblReleaseChanges[Change_ID],tblReleaseChanges[Oracle_Severity],""),tblSeverityMap[Severity_Text],tblSeverityMap[Score],0),0)</f>
        <v/>
      </c>
      <c r="T1247">
        <f>ROUND((M1247*0.25)+(N1247*0.20)+(O1247*0.15)+(P1247*0.15)+(Q1247*0.10)+(R1247*0.10)+(S1247*0.05),2)</f>
        <v/>
      </c>
      <c r="U1247">
        <f>IF(T1247&gt;=4.25,"Critical",IF(T1247&gt;=3.5,"High",IF(T1247&gt;=2,"Medium","Low")))</f>
        <v/>
      </c>
    </row>
    <row r="1248">
      <c r="R1248">
        <f>IFERROR(XLOOKUP(XLOOKUP(D1248,tblReleaseChanges[Change_ID],tblReleaseChanges[Oracle_Severity],""),tblSeverityMap[Severity_Text],tblSeverityMap[Score],0),0)</f>
        <v/>
      </c>
      <c r="T1248">
        <f>ROUND((M1248*0.25)+(N1248*0.20)+(O1248*0.15)+(P1248*0.15)+(Q1248*0.10)+(R1248*0.10)+(S1248*0.05),2)</f>
        <v/>
      </c>
      <c r="U1248">
        <f>IF(T1248&gt;=4.25,"Critical",IF(T1248&gt;=3.5,"High",IF(T1248&gt;=2,"Medium","Low")))</f>
        <v/>
      </c>
    </row>
    <row r="1249">
      <c r="R1249">
        <f>IFERROR(XLOOKUP(XLOOKUP(D1249,tblReleaseChanges[Change_ID],tblReleaseChanges[Oracle_Severity],""),tblSeverityMap[Severity_Text],tblSeverityMap[Score],0),0)</f>
        <v/>
      </c>
      <c r="T1249">
        <f>ROUND((M1249*0.25)+(N1249*0.20)+(O1249*0.15)+(P1249*0.15)+(Q1249*0.10)+(R1249*0.10)+(S1249*0.05),2)</f>
        <v/>
      </c>
      <c r="U1249">
        <f>IF(T1249&gt;=4.25,"Critical",IF(T1249&gt;=3.5,"High",IF(T1249&gt;=2,"Medium","Low")))</f>
        <v/>
      </c>
    </row>
    <row r="1250">
      <c r="R1250">
        <f>IFERROR(XLOOKUP(XLOOKUP(D1250,tblReleaseChanges[Change_ID],tblReleaseChanges[Oracle_Severity],""),tblSeverityMap[Severity_Text],tblSeverityMap[Score],0),0)</f>
        <v/>
      </c>
      <c r="T1250">
        <f>ROUND((M1250*0.25)+(N1250*0.20)+(O1250*0.15)+(P1250*0.15)+(Q1250*0.10)+(R1250*0.10)+(S1250*0.05),2)</f>
        <v/>
      </c>
      <c r="U1250">
        <f>IF(T1250&gt;=4.25,"Critical",IF(T1250&gt;=3.5,"High",IF(T1250&gt;=2,"Medium","Low")))</f>
        <v/>
      </c>
    </row>
    <row r="1251">
      <c r="R1251">
        <f>IFERROR(XLOOKUP(XLOOKUP(D1251,tblReleaseChanges[Change_ID],tblReleaseChanges[Oracle_Severity],""),tblSeverityMap[Severity_Text],tblSeverityMap[Score],0),0)</f>
        <v/>
      </c>
      <c r="T1251">
        <f>ROUND((M1251*0.25)+(N1251*0.20)+(O1251*0.15)+(P1251*0.15)+(Q1251*0.10)+(R1251*0.10)+(S1251*0.05),2)</f>
        <v/>
      </c>
      <c r="U1251">
        <f>IF(T1251&gt;=4.25,"Critical",IF(T1251&gt;=3.5,"High",IF(T1251&gt;=2,"Medium","Low")))</f>
        <v/>
      </c>
    </row>
    <row r="1252">
      <c r="R1252">
        <f>IFERROR(XLOOKUP(XLOOKUP(D1252,tblReleaseChanges[Change_ID],tblReleaseChanges[Oracle_Severity],""),tblSeverityMap[Severity_Text],tblSeverityMap[Score],0),0)</f>
        <v/>
      </c>
      <c r="T1252">
        <f>ROUND((M1252*0.25)+(N1252*0.20)+(O1252*0.15)+(P1252*0.15)+(Q1252*0.10)+(R1252*0.10)+(S1252*0.05),2)</f>
        <v/>
      </c>
      <c r="U1252">
        <f>IF(T1252&gt;=4.25,"Critical",IF(T1252&gt;=3.5,"High",IF(T1252&gt;=2,"Medium","Low")))</f>
        <v/>
      </c>
    </row>
    <row r="1253">
      <c r="R1253">
        <f>IFERROR(XLOOKUP(XLOOKUP(D1253,tblReleaseChanges[Change_ID],tblReleaseChanges[Oracle_Severity],""),tblSeverityMap[Severity_Text],tblSeverityMap[Score],0),0)</f>
        <v/>
      </c>
      <c r="T1253">
        <f>ROUND((M1253*0.25)+(N1253*0.20)+(O1253*0.15)+(P1253*0.15)+(Q1253*0.10)+(R1253*0.10)+(S1253*0.05),2)</f>
        <v/>
      </c>
      <c r="U1253">
        <f>IF(T1253&gt;=4.25,"Critical",IF(T1253&gt;=3.5,"High",IF(T1253&gt;=2,"Medium","Low")))</f>
        <v/>
      </c>
    </row>
    <row r="1254">
      <c r="R1254">
        <f>IFERROR(XLOOKUP(XLOOKUP(D1254,tblReleaseChanges[Change_ID],tblReleaseChanges[Oracle_Severity],""),tblSeverityMap[Severity_Text],tblSeverityMap[Score],0),0)</f>
        <v/>
      </c>
      <c r="T1254">
        <f>ROUND((M1254*0.25)+(N1254*0.20)+(O1254*0.15)+(P1254*0.15)+(Q1254*0.10)+(R1254*0.10)+(S1254*0.05),2)</f>
        <v/>
      </c>
      <c r="U1254">
        <f>IF(T1254&gt;=4.25,"Critical",IF(T1254&gt;=3.5,"High",IF(T1254&gt;=2,"Medium","Low")))</f>
        <v/>
      </c>
    </row>
    <row r="1255">
      <c r="R1255">
        <f>IFERROR(XLOOKUP(XLOOKUP(D1255,tblReleaseChanges[Change_ID],tblReleaseChanges[Oracle_Severity],""),tblSeverityMap[Severity_Text],tblSeverityMap[Score],0),0)</f>
        <v/>
      </c>
      <c r="T1255">
        <f>ROUND((M1255*0.25)+(N1255*0.20)+(O1255*0.15)+(P1255*0.15)+(Q1255*0.10)+(R1255*0.10)+(S1255*0.05),2)</f>
        <v/>
      </c>
      <c r="U1255">
        <f>IF(T1255&gt;=4.25,"Critical",IF(T1255&gt;=3.5,"High",IF(T1255&gt;=2,"Medium","Low")))</f>
        <v/>
      </c>
    </row>
    <row r="1256">
      <c r="R1256">
        <f>IFERROR(XLOOKUP(XLOOKUP(D1256,tblReleaseChanges[Change_ID],tblReleaseChanges[Oracle_Severity],""),tblSeverityMap[Severity_Text],tblSeverityMap[Score],0),0)</f>
        <v/>
      </c>
      <c r="T1256">
        <f>ROUND((M1256*0.25)+(N1256*0.20)+(O1256*0.15)+(P1256*0.15)+(Q1256*0.10)+(R1256*0.10)+(S1256*0.05),2)</f>
        <v/>
      </c>
      <c r="U1256">
        <f>IF(T1256&gt;=4.25,"Critical",IF(T1256&gt;=3.5,"High",IF(T1256&gt;=2,"Medium","Low")))</f>
        <v/>
      </c>
    </row>
    <row r="1257">
      <c r="R1257">
        <f>IFERROR(XLOOKUP(XLOOKUP(D1257,tblReleaseChanges[Change_ID],tblReleaseChanges[Oracle_Severity],""),tblSeverityMap[Severity_Text],tblSeverityMap[Score],0),0)</f>
        <v/>
      </c>
      <c r="T1257">
        <f>ROUND((M1257*0.25)+(N1257*0.20)+(O1257*0.15)+(P1257*0.15)+(Q1257*0.10)+(R1257*0.10)+(S1257*0.05),2)</f>
        <v/>
      </c>
      <c r="U1257">
        <f>IF(T1257&gt;=4.25,"Critical",IF(T1257&gt;=3.5,"High",IF(T1257&gt;=2,"Medium","Low")))</f>
        <v/>
      </c>
    </row>
    <row r="1258">
      <c r="R1258">
        <f>IFERROR(XLOOKUP(XLOOKUP(D1258,tblReleaseChanges[Change_ID],tblReleaseChanges[Oracle_Severity],""),tblSeverityMap[Severity_Text],tblSeverityMap[Score],0),0)</f>
        <v/>
      </c>
      <c r="T1258">
        <f>ROUND((M1258*0.25)+(N1258*0.20)+(O1258*0.15)+(P1258*0.15)+(Q1258*0.10)+(R1258*0.10)+(S1258*0.05),2)</f>
        <v/>
      </c>
      <c r="U1258">
        <f>IF(T1258&gt;=4.25,"Critical",IF(T1258&gt;=3.5,"High",IF(T1258&gt;=2,"Medium","Low")))</f>
        <v/>
      </c>
    </row>
    <row r="1259">
      <c r="R1259">
        <f>IFERROR(XLOOKUP(XLOOKUP(D1259,tblReleaseChanges[Change_ID],tblReleaseChanges[Oracle_Severity],""),tblSeverityMap[Severity_Text],tblSeverityMap[Score],0),0)</f>
        <v/>
      </c>
      <c r="T1259">
        <f>ROUND((M1259*0.25)+(N1259*0.20)+(O1259*0.15)+(P1259*0.15)+(Q1259*0.10)+(R1259*0.10)+(S1259*0.05),2)</f>
        <v/>
      </c>
      <c r="U1259">
        <f>IF(T1259&gt;=4.25,"Critical",IF(T1259&gt;=3.5,"High",IF(T1259&gt;=2,"Medium","Low")))</f>
        <v/>
      </c>
    </row>
    <row r="1260">
      <c r="R1260">
        <f>IFERROR(XLOOKUP(XLOOKUP(D1260,tblReleaseChanges[Change_ID],tblReleaseChanges[Oracle_Severity],""),tblSeverityMap[Severity_Text],tblSeverityMap[Score],0),0)</f>
        <v/>
      </c>
      <c r="T1260">
        <f>ROUND((M1260*0.25)+(N1260*0.20)+(O1260*0.15)+(P1260*0.15)+(Q1260*0.10)+(R1260*0.10)+(S1260*0.05),2)</f>
        <v/>
      </c>
      <c r="U1260">
        <f>IF(T1260&gt;=4.25,"Critical",IF(T1260&gt;=3.5,"High",IF(T1260&gt;=2,"Medium","Low")))</f>
        <v/>
      </c>
    </row>
    <row r="1261">
      <c r="R1261">
        <f>IFERROR(XLOOKUP(XLOOKUP(D1261,tblReleaseChanges[Change_ID],tblReleaseChanges[Oracle_Severity],""),tblSeverityMap[Severity_Text],tblSeverityMap[Score],0),0)</f>
        <v/>
      </c>
      <c r="T1261">
        <f>ROUND((M1261*0.25)+(N1261*0.20)+(O1261*0.15)+(P1261*0.15)+(Q1261*0.10)+(R1261*0.10)+(S1261*0.05),2)</f>
        <v/>
      </c>
      <c r="U1261">
        <f>IF(T1261&gt;=4.25,"Critical",IF(T1261&gt;=3.5,"High",IF(T1261&gt;=2,"Medium","Low")))</f>
        <v/>
      </c>
    </row>
    <row r="1262">
      <c r="R1262">
        <f>IFERROR(XLOOKUP(XLOOKUP(D1262,tblReleaseChanges[Change_ID],tblReleaseChanges[Oracle_Severity],""),tblSeverityMap[Severity_Text],tblSeverityMap[Score],0),0)</f>
        <v/>
      </c>
      <c r="T1262">
        <f>ROUND((M1262*0.25)+(N1262*0.20)+(O1262*0.15)+(P1262*0.15)+(Q1262*0.10)+(R1262*0.10)+(S1262*0.05),2)</f>
        <v/>
      </c>
      <c r="U1262">
        <f>IF(T1262&gt;=4.25,"Critical",IF(T1262&gt;=3.5,"High",IF(T1262&gt;=2,"Medium","Low")))</f>
        <v/>
      </c>
    </row>
    <row r="1263">
      <c r="R1263">
        <f>IFERROR(XLOOKUP(XLOOKUP(D1263,tblReleaseChanges[Change_ID],tblReleaseChanges[Oracle_Severity],""),tblSeverityMap[Severity_Text],tblSeverityMap[Score],0),0)</f>
        <v/>
      </c>
      <c r="T1263">
        <f>ROUND((M1263*0.25)+(N1263*0.20)+(O1263*0.15)+(P1263*0.15)+(Q1263*0.10)+(R1263*0.10)+(S1263*0.05),2)</f>
        <v/>
      </c>
      <c r="U1263">
        <f>IF(T1263&gt;=4.25,"Critical",IF(T1263&gt;=3.5,"High",IF(T1263&gt;=2,"Medium","Low")))</f>
        <v/>
      </c>
    </row>
    <row r="1264">
      <c r="R1264">
        <f>IFERROR(XLOOKUP(XLOOKUP(D1264,tblReleaseChanges[Change_ID],tblReleaseChanges[Oracle_Severity],""),tblSeverityMap[Severity_Text],tblSeverityMap[Score],0),0)</f>
        <v/>
      </c>
      <c r="T1264">
        <f>ROUND((M1264*0.25)+(N1264*0.20)+(O1264*0.15)+(P1264*0.15)+(Q1264*0.10)+(R1264*0.10)+(S1264*0.05),2)</f>
        <v/>
      </c>
      <c r="U1264">
        <f>IF(T1264&gt;=4.25,"Critical",IF(T1264&gt;=3.5,"High",IF(T1264&gt;=2,"Medium","Low")))</f>
        <v/>
      </c>
    </row>
    <row r="1265">
      <c r="R1265">
        <f>IFERROR(XLOOKUP(XLOOKUP(D1265,tblReleaseChanges[Change_ID],tblReleaseChanges[Oracle_Severity],""),tblSeverityMap[Severity_Text],tblSeverityMap[Score],0),0)</f>
        <v/>
      </c>
      <c r="T1265">
        <f>ROUND((M1265*0.25)+(N1265*0.20)+(O1265*0.15)+(P1265*0.15)+(Q1265*0.10)+(R1265*0.10)+(S1265*0.05),2)</f>
        <v/>
      </c>
      <c r="U1265">
        <f>IF(T1265&gt;=4.25,"Critical",IF(T1265&gt;=3.5,"High",IF(T1265&gt;=2,"Medium","Low")))</f>
        <v/>
      </c>
    </row>
    <row r="1266">
      <c r="R1266">
        <f>IFERROR(XLOOKUP(XLOOKUP(D1266,tblReleaseChanges[Change_ID],tblReleaseChanges[Oracle_Severity],""),tblSeverityMap[Severity_Text],tblSeverityMap[Score],0),0)</f>
        <v/>
      </c>
      <c r="T1266">
        <f>ROUND((M1266*0.25)+(N1266*0.20)+(O1266*0.15)+(P1266*0.15)+(Q1266*0.10)+(R1266*0.10)+(S1266*0.05),2)</f>
        <v/>
      </c>
      <c r="U1266">
        <f>IF(T1266&gt;=4.25,"Critical",IF(T1266&gt;=3.5,"High",IF(T1266&gt;=2,"Medium","Low")))</f>
        <v/>
      </c>
    </row>
    <row r="1267">
      <c r="R1267">
        <f>IFERROR(XLOOKUP(XLOOKUP(D1267,tblReleaseChanges[Change_ID],tblReleaseChanges[Oracle_Severity],""),tblSeverityMap[Severity_Text],tblSeverityMap[Score],0),0)</f>
        <v/>
      </c>
      <c r="T1267">
        <f>ROUND((M1267*0.25)+(N1267*0.20)+(O1267*0.15)+(P1267*0.15)+(Q1267*0.10)+(R1267*0.10)+(S1267*0.05),2)</f>
        <v/>
      </c>
      <c r="U1267">
        <f>IF(T1267&gt;=4.25,"Critical",IF(T1267&gt;=3.5,"High",IF(T1267&gt;=2,"Medium","Low")))</f>
        <v/>
      </c>
    </row>
    <row r="1268">
      <c r="R1268">
        <f>IFERROR(XLOOKUP(XLOOKUP(D1268,tblReleaseChanges[Change_ID],tblReleaseChanges[Oracle_Severity],""),tblSeverityMap[Severity_Text],tblSeverityMap[Score],0),0)</f>
        <v/>
      </c>
      <c r="T1268">
        <f>ROUND((M1268*0.25)+(N1268*0.20)+(O1268*0.15)+(P1268*0.15)+(Q1268*0.10)+(R1268*0.10)+(S1268*0.05),2)</f>
        <v/>
      </c>
      <c r="U1268">
        <f>IF(T1268&gt;=4.25,"Critical",IF(T1268&gt;=3.5,"High",IF(T1268&gt;=2,"Medium","Low")))</f>
        <v/>
      </c>
    </row>
    <row r="1269">
      <c r="R1269">
        <f>IFERROR(XLOOKUP(XLOOKUP(D1269,tblReleaseChanges[Change_ID],tblReleaseChanges[Oracle_Severity],""),tblSeverityMap[Severity_Text],tblSeverityMap[Score],0),0)</f>
        <v/>
      </c>
      <c r="T1269">
        <f>ROUND((M1269*0.25)+(N1269*0.20)+(O1269*0.15)+(P1269*0.15)+(Q1269*0.10)+(R1269*0.10)+(S1269*0.05),2)</f>
        <v/>
      </c>
      <c r="U1269">
        <f>IF(T1269&gt;=4.25,"Critical",IF(T1269&gt;=3.5,"High",IF(T1269&gt;=2,"Medium","Low")))</f>
        <v/>
      </c>
    </row>
    <row r="1270">
      <c r="R1270">
        <f>IFERROR(XLOOKUP(XLOOKUP(D1270,tblReleaseChanges[Change_ID],tblReleaseChanges[Oracle_Severity],""),tblSeverityMap[Severity_Text],tblSeverityMap[Score],0),0)</f>
        <v/>
      </c>
      <c r="T1270">
        <f>ROUND((M1270*0.25)+(N1270*0.20)+(O1270*0.15)+(P1270*0.15)+(Q1270*0.10)+(R1270*0.10)+(S1270*0.05),2)</f>
        <v/>
      </c>
      <c r="U1270">
        <f>IF(T1270&gt;=4.25,"Critical",IF(T1270&gt;=3.5,"High",IF(T1270&gt;=2,"Medium","Low")))</f>
        <v/>
      </c>
    </row>
    <row r="1271">
      <c r="R1271">
        <f>IFERROR(XLOOKUP(XLOOKUP(D1271,tblReleaseChanges[Change_ID],tblReleaseChanges[Oracle_Severity],""),tblSeverityMap[Severity_Text],tblSeverityMap[Score],0),0)</f>
        <v/>
      </c>
      <c r="T1271">
        <f>ROUND((M1271*0.25)+(N1271*0.20)+(O1271*0.15)+(P1271*0.15)+(Q1271*0.10)+(R1271*0.10)+(S1271*0.05),2)</f>
        <v/>
      </c>
      <c r="U1271">
        <f>IF(T1271&gt;=4.25,"Critical",IF(T1271&gt;=3.5,"High",IF(T1271&gt;=2,"Medium","Low")))</f>
        <v/>
      </c>
    </row>
    <row r="1272">
      <c r="R1272">
        <f>IFERROR(XLOOKUP(XLOOKUP(D1272,tblReleaseChanges[Change_ID],tblReleaseChanges[Oracle_Severity],""),tblSeverityMap[Severity_Text],tblSeverityMap[Score],0),0)</f>
        <v/>
      </c>
      <c r="T1272">
        <f>ROUND((M1272*0.25)+(N1272*0.20)+(O1272*0.15)+(P1272*0.15)+(Q1272*0.10)+(R1272*0.10)+(S1272*0.05),2)</f>
        <v/>
      </c>
      <c r="U1272">
        <f>IF(T1272&gt;=4.25,"Critical",IF(T1272&gt;=3.5,"High",IF(T1272&gt;=2,"Medium","Low")))</f>
        <v/>
      </c>
    </row>
    <row r="1273">
      <c r="R1273">
        <f>IFERROR(XLOOKUP(XLOOKUP(D1273,tblReleaseChanges[Change_ID],tblReleaseChanges[Oracle_Severity],""),tblSeverityMap[Severity_Text],tblSeverityMap[Score],0),0)</f>
        <v/>
      </c>
      <c r="T1273">
        <f>ROUND((M1273*0.25)+(N1273*0.20)+(O1273*0.15)+(P1273*0.15)+(Q1273*0.10)+(R1273*0.10)+(S1273*0.05),2)</f>
        <v/>
      </c>
      <c r="U1273">
        <f>IF(T1273&gt;=4.25,"Critical",IF(T1273&gt;=3.5,"High",IF(T1273&gt;=2,"Medium","Low")))</f>
        <v/>
      </c>
    </row>
    <row r="1274">
      <c r="R1274">
        <f>IFERROR(XLOOKUP(XLOOKUP(D1274,tblReleaseChanges[Change_ID],tblReleaseChanges[Oracle_Severity],""),tblSeverityMap[Severity_Text],tblSeverityMap[Score],0),0)</f>
        <v/>
      </c>
      <c r="T1274">
        <f>ROUND((M1274*0.25)+(N1274*0.20)+(O1274*0.15)+(P1274*0.15)+(Q1274*0.10)+(R1274*0.10)+(S1274*0.05),2)</f>
        <v/>
      </c>
      <c r="U1274">
        <f>IF(T1274&gt;=4.25,"Critical",IF(T1274&gt;=3.5,"High",IF(T1274&gt;=2,"Medium","Low")))</f>
        <v/>
      </c>
    </row>
    <row r="1275">
      <c r="R1275">
        <f>IFERROR(XLOOKUP(XLOOKUP(D1275,tblReleaseChanges[Change_ID],tblReleaseChanges[Oracle_Severity],""),tblSeverityMap[Severity_Text],tblSeverityMap[Score],0),0)</f>
        <v/>
      </c>
      <c r="T1275">
        <f>ROUND((M1275*0.25)+(N1275*0.20)+(O1275*0.15)+(P1275*0.15)+(Q1275*0.10)+(R1275*0.10)+(S1275*0.05),2)</f>
        <v/>
      </c>
      <c r="U1275">
        <f>IF(T1275&gt;=4.25,"Critical",IF(T1275&gt;=3.5,"High",IF(T1275&gt;=2,"Medium","Low")))</f>
        <v/>
      </c>
    </row>
    <row r="1276">
      <c r="R1276">
        <f>IFERROR(XLOOKUP(XLOOKUP(D1276,tblReleaseChanges[Change_ID],tblReleaseChanges[Oracle_Severity],""),tblSeverityMap[Severity_Text],tblSeverityMap[Score],0),0)</f>
        <v/>
      </c>
      <c r="T1276">
        <f>ROUND((M1276*0.25)+(N1276*0.20)+(O1276*0.15)+(P1276*0.15)+(Q1276*0.10)+(R1276*0.10)+(S1276*0.05),2)</f>
        <v/>
      </c>
      <c r="U1276">
        <f>IF(T1276&gt;=4.25,"Critical",IF(T1276&gt;=3.5,"High",IF(T1276&gt;=2,"Medium","Low")))</f>
        <v/>
      </c>
    </row>
    <row r="1277">
      <c r="R1277">
        <f>IFERROR(XLOOKUP(XLOOKUP(D1277,tblReleaseChanges[Change_ID],tblReleaseChanges[Oracle_Severity],""),tblSeverityMap[Severity_Text],tblSeverityMap[Score],0),0)</f>
        <v/>
      </c>
      <c r="T1277">
        <f>ROUND((M1277*0.25)+(N1277*0.20)+(O1277*0.15)+(P1277*0.15)+(Q1277*0.10)+(R1277*0.10)+(S1277*0.05),2)</f>
        <v/>
      </c>
      <c r="U1277">
        <f>IF(T1277&gt;=4.25,"Critical",IF(T1277&gt;=3.5,"High",IF(T1277&gt;=2,"Medium","Low")))</f>
        <v/>
      </c>
    </row>
    <row r="1278">
      <c r="R1278">
        <f>IFERROR(XLOOKUP(XLOOKUP(D1278,tblReleaseChanges[Change_ID],tblReleaseChanges[Oracle_Severity],""),tblSeverityMap[Severity_Text],tblSeverityMap[Score],0),0)</f>
        <v/>
      </c>
      <c r="T1278">
        <f>ROUND((M1278*0.25)+(N1278*0.20)+(O1278*0.15)+(P1278*0.15)+(Q1278*0.10)+(R1278*0.10)+(S1278*0.05),2)</f>
        <v/>
      </c>
      <c r="U1278">
        <f>IF(T1278&gt;=4.25,"Critical",IF(T1278&gt;=3.5,"High",IF(T1278&gt;=2,"Medium","Low")))</f>
        <v/>
      </c>
    </row>
    <row r="1279">
      <c r="R1279">
        <f>IFERROR(XLOOKUP(XLOOKUP(D1279,tblReleaseChanges[Change_ID],tblReleaseChanges[Oracle_Severity],""),tblSeverityMap[Severity_Text],tblSeverityMap[Score],0),0)</f>
        <v/>
      </c>
      <c r="T1279">
        <f>ROUND((M1279*0.25)+(N1279*0.20)+(O1279*0.15)+(P1279*0.15)+(Q1279*0.10)+(R1279*0.10)+(S1279*0.05),2)</f>
        <v/>
      </c>
      <c r="U1279">
        <f>IF(T1279&gt;=4.25,"Critical",IF(T1279&gt;=3.5,"High",IF(T1279&gt;=2,"Medium","Low")))</f>
        <v/>
      </c>
    </row>
    <row r="1280">
      <c r="R1280">
        <f>IFERROR(XLOOKUP(XLOOKUP(D1280,tblReleaseChanges[Change_ID],tblReleaseChanges[Oracle_Severity],""),tblSeverityMap[Severity_Text],tblSeverityMap[Score],0),0)</f>
        <v/>
      </c>
      <c r="T1280">
        <f>ROUND((M1280*0.25)+(N1280*0.20)+(O1280*0.15)+(P1280*0.15)+(Q1280*0.10)+(R1280*0.10)+(S1280*0.05),2)</f>
        <v/>
      </c>
      <c r="U1280">
        <f>IF(T1280&gt;=4.25,"Critical",IF(T1280&gt;=3.5,"High",IF(T1280&gt;=2,"Medium","Low")))</f>
        <v/>
      </c>
    </row>
    <row r="1281">
      <c r="R1281">
        <f>IFERROR(XLOOKUP(XLOOKUP(D1281,tblReleaseChanges[Change_ID],tblReleaseChanges[Oracle_Severity],""),tblSeverityMap[Severity_Text],tblSeverityMap[Score],0),0)</f>
        <v/>
      </c>
      <c r="T1281">
        <f>ROUND((M1281*0.25)+(N1281*0.20)+(O1281*0.15)+(P1281*0.15)+(Q1281*0.10)+(R1281*0.10)+(S1281*0.05),2)</f>
        <v/>
      </c>
      <c r="U1281">
        <f>IF(T1281&gt;=4.25,"Critical",IF(T1281&gt;=3.5,"High",IF(T1281&gt;=2,"Medium","Low")))</f>
        <v/>
      </c>
    </row>
    <row r="1282">
      <c r="R1282">
        <f>IFERROR(XLOOKUP(XLOOKUP(D1282,tblReleaseChanges[Change_ID],tblReleaseChanges[Oracle_Severity],""),tblSeverityMap[Severity_Text],tblSeverityMap[Score],0),0)</f>
        <v/>
      </c>
      <c r="T1282">
        <f>ROUND((M1282*0.25)+(N1282*0.20)+(O1282*0.15)+(P1282*0.15)+(Q1282*0.10)+(R1282*0.10)+(S1282*0.05),2)</f>
        <v/>
      </c>
      <c r="U1282">
        <f>IF(T1282&gt;=4.25,"Critical",IF(T1282&gt;=3.5,"High",IF(T1282&gt;=2,"Medium","Low")))</f>
        <v/>
      </c>
    </row>
    <row r="1283">
      <c r="R1283">
        <f>IFERROR(XLOOKUP(XLOOKUP(D1283,tblReleaseChanges[Change_ID],tblReleaseChanges[Oracle_Severity],""),tblSeverityMap[Severity_Text],tblSeverityMap[Score],0),0)</f>
        <v/>
      </c>
      <c r="T1283">
        <f>ROUND((M1283*0.25)+(N1283*0.20)+(O1283*0.15)+(P1283*0.15)+(Q1283*0.10)+(R1283*0.10)+(S1283*0.05),2)</f>
        <v/>
      </c>
      <c r="U1283">
        <f>IF(T1283&gt;=4.25,"Critical",IF(T1283&gt;=3.5,"High",IF(T1283&gt;=2,"Medium","Low")))</f>
        <v/>
      </c>
    </row>
    <row r="1284">
      <c r="R1284">
        <f>IFERROR(XLOOKUP(XLOOKUP(D1284,tblReleaseChanges[Change_ID],tblReleaseChanges[Oracle_Severity],""),tblSeverityMap[Severity_Text],tblSeverityMap[Score],0),0)</f>
        <v/>
      </c>
      <c r="T1284">
        <f>ROUND((M1284*0.25)+(N1284*0.20)+(O1284*0.15)+(P1284*0.15)+(Q1284*0.10)+(R1284*0.10)+(S1284*0.05),2)</f>
        <v/>
      </c>
      <c r="U1284">
        <f>IF(T1284&gt;=4.25,"Critical",IF(T1284&gt;=3.5,"High",IF(T1284&gt;=2,"Medium","Low")))</f>
        <v/>
      </c>
    </row>
    <row r="1285">
      <c r="R1285">
        <f>IFERROR(XLOOKUP(XLOOKUP(D1285,tblReleaseChanges[Change_ID],tblReleaseChanges[Oracle_Severity],""),tblSeverityMap[Severity_Text],tblSeverityMap[Score],0),0)</f>
        <v/>
      </c>
      <c r="T1285">
        <f>ROUND((M1285*0.25)+(N1285*0.20)+(O1285*0.15)+(P1285*0.15)+(Q1285*0.10)+(R1285*0.10)+(S1285*0.05),2)</f>
        <v/>
      </c>
      <c r="U1285">
        <f>IF(T1285&gt;=4.25,"Critical",IF(T1285&gt;=3.5,"High",IF(T1285&gt;=2,"Medium","Low")))</f>
        <v/>
      </c>
    </row>
    <row r="1286">
      <c r="R1286">
        <f>IFERROR(XLOOKUP(XLOOKUP(D1286,tblReleaseChanges[Change_ID],tblReleaseChanges[Oracle_Severity],""),tblSeverityMap[Severity_Text],tblSeverityMap[Score],0),0)</f>
        <v/>
      </c>
      <c r="T1286">
        <f>ROUND((M1286*0.25)+(N1286*0.20)+(O1286*0.15)+(P1286*0.15)+(Q1286*0.10)+(R1286*0.10)+(S1286*0.05),2)</f>
        <v/>
      </c>
      <c r="U1286">
        <f>IF(T1286&gt;=4.25,"Critical",IF(T1286&gt;=3.5,"High",IF(T1286&gt;=2,"Medium","Low")))</f>
        <v/>
      </c>
    </row>
    <row r="1287">
      <c r="R1287">
        <f>IFERROR(XLOOKUP(XLOOKUP(D1287,tblReleaseChanges[Change_ID],tblReleaseChanges[Oracle_Severity],""),tblSeverityMap[Severity_Text],tblSeverityMap[Score],0),0)</f>
        <v/>
      </c>
      <c r="T1287">
        <f>ROUND((M1287*0.25)+(N1287*0.20)+(O1287*0.15)+(P1287*0.15)+(Q1287*0.10)+(R1287*0.10)+(S1287*0.05),2)</f>
        <v/>
      </c>
      <c r="U1287">
        <f>IF(T1287&gt;=4.25,"Critical",IF(T1287&gt;=3.5,"High",IF(T1287&gt;=2,"Medium","Low")))</f>
        <v/>
      </c>
    </row>
    <row r="1288">
      <c r="R1288">
        <f>IFERROR(XLOOKUP(XLOOKUP(D1288,tblReleaseChanges[Change_ID],tblReleaseChanges[Oracle_Severity],""),tblSeverityMap[Severity_Text],tblSeverityMap[Score],0),0)</f>
        <v/>
      </c>
      <c r="T1288">
        <f>ROUND((M1288*0.25)+(N1288*0.20)+(O1288*0.15)+(P1288*0.15)+(Q1288*0.10)+(R1288*0.10)+(S1288*0.05),2)</f>
        <v/>
      </c>
      <c r="U1288">
        <f>IF(T1288&gt;=4.25,"Critical",IF(T1288&gt;=3.5,"High",IF(T1288&gt;=2,"Medium","Low")))</f>
        <v/>
      </c>
    </row>
    <row r="1289">
      <c r="R1289">
        <f>IFERROR(XLOOKUP(XLOOKUP(D1289,tblReleaseChanges[Change_ID],tblReleaseChanges[Oracle_Severity],""),tblSeverityMap[Severity_Text],tblSeverityMap[Score],0),0)</f>
        <v/>
      </c>
      <c r="T1289">
        <f>ROUND((M1289*0.25)+(N1289*0.20)+(O1289*0.15)+(P1289*0.15)+(Q1289*0.10)+(R1289*0.10)+(S1289*0.05),2)</f>
        <v/>
      </c>
      <c r="U1289">
        <f>IF(T1289&gt;=4.25,"Critical",IF(T1289&gt;=3.5,"High",IF(T1289&gt;=2,"Medium","Low")))</f>
        <v/>
      </c>
    </row>
    <row r="1290">
      <c r="R1290">
        <f>IFERROR(XLOOKUP(XLOOKUP(D1290,tblReleaseChanges[Change_ID],tblReleaseChanges[Oracle_Severity],""),tblSeverityMap[Severity_Text],tblSeverityMap[Score],0),0)</f>
        <v/>
      </c>
      <c r="T1290">
        <f>ROUND((M1290*0.25)+(N1290*0.20)+(O1290*0.15)+(P1290*0.15)+(Q1290*0.10)+(R1290*0.10)+(S1290*0.05),2)</f>
        <v/>
      </c>
      <c r="U1290">
        <f>IF(T1290&gt;=4.25,"Critical",IF(T1290&gt;=3.5,"High",IF(T1290&gt;=2,"Medium","Low")))</f>
        <v/>
      </c>
    </row>
    <row r="1291">
      <c r="R1291">
        <f>IFERROR(XLOOKUP(XLOOKUP(D1291,tblReleaseChanges[Change_ID],tblReleaseChanges[Oracle_Severity],""),tblSeverityMap[Severity_Text],tblSeverityMap[Score],0),0)</f>
        <v/>
      </c>
      <c r="T1291">
        <f>ROUND((M1291*0.25)+(N1291*0.20)+(O1291*0.15)+(P1291*0.15)+(Q1291*0.10)+(R1291*0.10)+(S1291*0.05),2)</f>
        <v/>
      </c>
      <c r="U1291">
        <f>IF(T1291&gt;=4.25,"Critical",IF(T1291&gt;=3.5,"High",IF(T1291&gt;=2,"Medium","Low")))</f>
        <v/>
      </c>
    </row>
    <row r="1292">
      <c r="R1292">
        <f>IFERROR(XLOOKUP(XLOOKUP(D1292,tblReleaseChanges[Change_ID],tblReleaseChanges[Oracle_Severity],""),tblSeverityMap[Severity_Text],tblSeverityMap[Score],0),0)</f>
        <v/>
      </c>
      <c r="T1292">
        <f>ROUND((M1292*0.25)+(N1292*0.20)+(O1292*0.15)+(P1292*0.15)+(Q1292*0.10)+(R1292*0.10)+(S1292*0.05),2)</f>
        <v/>
      </c>
      <c r="U1292">
        <f>IF(T1292&gt;=4.25,"Critical",IF(T1292&gt;=3.5,"High",IF(T1292&gt;=2,"Medium","Low")))</f>
        <v/>
      </c>
    </row>
    <row r="1293">
      <c r="R1293">
        <f>IFERROR(XLOOKUP(XLOOKUP(D1293,tblReleaseChanges[Change_ID],tblReleaseChanges[Oracle_Severity],""),tblSeverityMap[Severity_Text],tblSeverityMap[Score],0),0)</f>
        <v/>
      </c>
      <c r="T1293">
        <f>ROUND((M1293*0.25)+(N1293*0.20)+(O1293*0.15)+(P1293*0.15)+(Q1293*0.10)+(R1293*0.10)+(S1293*0.05),2)</f>
        <v/>
      </c>
      <c r="U1293">
        <f>IF(T1293&gt;=4.25,"Critical",IF(T1293&gt;=3.5,"High",IF(T1293&gt;=2,"Medium","Low")))</f>
        <v/>
      </c>
    </row>
    <row r="1294">
      <c r="R1294">
        <f>IFERROR(XLOOKUP(XLOOKUP(D1294,tblReleaseChanges[Change_ID],tblReleaseChanges[Oracle_Severity],""),tblSeverityMap[Severity_Text],tblSeverityMap[Score],0),0)</f>
        <v/>
      </c>
      <c r="T1294">
        <f>ROUND((M1294*0.25)+(N1294*0.20)+(O1294*0.15)+(P1294*0.15)+(Q1294*0.10)+(R1294*0.10)+(S1294*0.05),2)</f>
        <v/>
      </c>
      <c r="U1294">
        <f>IF(T1294&gt;=4.25,"Critical",IF(T1294&gt;=3.5,"High",IF(T1294&gt;=2,"Medium","Low")))</f>
        <v/>
      </c>
    </row>
    <row r="1295">
      <c r="R1295">
        <f>IFERROR(XLOOKUP(XLOOKUP(D1295,tblReleaseChanges[Change_ID],tblReleaseChanges[Oracle_Severity],""),tblSeverityMap[Severity_Text],tblSeverityMap[Score],0),0)</f>
        <v/>
      </c>
      <c r="T1295">
        <f>ROUND((M1295*0.25)+(N1295*0.20)+(O1295*0.15)+(P1295*0.15)+(Q1295*0.10)+(R1295*0.10)+(S1295*0.05),2)</f>
        <v/>
      </c>
      <c r="U1295">
        <f>IF(T1295&gt;=4.25,"Critical",IF(T1295&gt;=3.5,"High",IF(T1295&gt;=2,"Medium","Low")))</f>
        <v/>
      </c>
    </row>
    <row r="1296">
      <c r="R1296">
        <f>IFERROR(XLOOKUP(XLOOKUP(D1296,tblReleaseChanges[Change_ID],tblReleaseChanges[Oracle_Severity],""),tblSeverityMap[Severity_Text],tblSeverityMap[Score],0),0)</f>
        <v/>
      </c>
      <c r="T1296">
        <f>ROUND((M1296*0.25)+(N1296*0.20)+(O1296*0.15)+(P1296*0.15)+(Q1296*0.10)+(R1296*0.10)+(S1296*0.05),2)</f>
        <v/>
      </c>
      <c r="U1296">
        <f>IF(T1296&gt;=4.25,"Critical",IF(T1296&gt;=3.5,"High",IF(T1296&gt;=2,"Medium","Low")))</f>
        <v/>
      </c>
    </row>
    <row r="1297">
      <c r="R1297">
        <f>IFERROR(XLOOKUP(XLOOKUP(D1297,tblReleaseChanges[Change_ID],tblReleaseChanges[Oracle_Severity],""),tblSeverityMap[Severity_Text],tblSeverityMap[Score],0),0)</f>
        <v/>
      </c>
      <c r="T1297">
        <f>ROUND((M1297*0.25)+(N1297*0.20)+(O1297*0.15)+(P1297*0.15)+(Q1297*0.10)+(R1297*0.10)+(S1297*0.05),2)</f>
        <v/>
      </c>
      <c r="U1297">
        <f>IF(T1297&gt;=4.25,"Critical",IF(T1297&gt;=3.5,"High",IF(T1297&gt;=2,"Medium","Low")))</f>
        <v/>
      </c>
    </row>
    <row r="1298">
      <c r="R1298">
        <f>IFERROR(XLOOKUP(XLOOKUP(D1298,tblReleaseChanges[Change_ID],tblReleaseChanges[Oracle_Severity],""),tblSeverityMap[Severity_Text],tblSeverityMap[Score],0),0)</f>
        <v/>
      </c>
      <c r="T1298">
        <f>ROUND((M1298*0.25)+(N1298*0.20)+(O1298*0.15)+(P1298*0.15)+(Q1298*0.10)+(R1298*0.10)+(S1298*0.05),2)</f>
        <v/>
      </c>
      <c r="U1298">
        <f>IF(T1298&gt;=4.25,"Critical",IF(T1298&gt;=3.5,"High",IF(T1298&gt;=2,"Medium","Low")))</f>
        <v/>
      </c>
    </row>
    <row r="1299">
      <c r="R1299">
        <f>IFERROR(XLOOKUP(XLOOKUP(D1299,tblReleaseChanges[Change_ID],tblReleaseChanges[Oracle_Severity],""),tblSeverityMap[Severity_Text],tblSeverityMap[Score],0),0)</f>
        <v/>
      </c>
      <c r="T1299">
        <f>ROUND((M1299*0.25)+(N1299*0.20)+(O1299*0.15)+(P1299*0.15)+(Q1299*0.10)+(R1299*0.10)+(S1299*0.05),2)</f>
        <v/>
      </c>
      <c r="U1299">
        <f>IF(T1299&gt;=4.25,"Critical",IF(T1299&gt;=3.5,"High",IF(T1299&gt;=2,"Medium","Low")))</f>
        <v/>
      </c>
    </row>
    <row r="1300">
      <c r="R1300">
        <f>IFERROR(XLOOKUP(XLOOKUP(D1300,tblReleaseChanges[Change_ID],tblReleaseChanges[Oracle_Severity],""),tblSeverityMap[Severity_Text],tblSeverityMap[Score],0),0)</f>
        <v/>
      </c>
      <c r="T1300">
        <f>ROUND((M1300*0.25)+(N1300*0.20)+(O1300*0.15)+(P1300*0.15)+(Q1300*0.10)+(R1300*0.10)+(S1300*0.05),2)</f>
        <v/>
      </c>
      <c r="U1300">
        <f>IF(T1300&gt;=4.25,"Critical",IF(T1300&gt;=3.5,"High",IF(T1300&gt;=2,"Medium","Low")))</f>
        <v/>
      </c>
    </row>
    <row r="1301">
      <c r="R1301">
        <f>IFERROR(XLOOKUP(XLOOKUP(D1301,tblReleaseChanges[Change_ID],tblReleaseChanges[Oracle_Severity],""),tblSeverityMap[Severity_Text],tblSeverityMap[Score],0),0)</f>
        <v/>
      </c>
      <c r="T1301">
        <f>ROUND((M1301*0.25)+(N1301*0.20)+(O1301*0.15)+(P1301*0.15)+(Q1301*0.10)+(R1301*0.10)+(S1301*0.05),2)</f>
        <v/>
      </c>
      <c r="U1301">
        <f>IF(T1301&gt;=4.25,"Critical",IF(T1301&gt;=3.5,"High",IF(T1301&gt;=2,"Medium","Low")))</f>
        <v/>
      </c>
    </row>
    <row r="1302">
      <c r="R1302">
        <f>IFERROR(XLOOKUP(XLOOKUP(D1302,tblReleaseChanges[Change_ID],tblReleaseChanges[Oracle_Severity],""),tblSeverityMap[Severity_Text],tblSeverityMap[Score],0),0)</f>
        <v/>
      </c>
      <c r="T1302">
        <f>ROUND((M1302*0.25)+(N1302*0.20)+(O1302*0.15)+(P1302*0.15)+(Q1302*0.10)+(R1302*0.10)+(S1302*0.05),2)</f>
        <v/>
      </c>
      <c r="U1302">
        <f>IF(T1302&gt;=4.25,"Critical",IF(T1302&gt;=3.5,"High",IF(T1302&gt;=2,"Medium","Low")))</f>
        <v/>
      </c>
    </row>
    <row r="1303">
      <c r="R1303">
        <f>IFERROR(XLOOKUP(XLOOKUP(D1303,tblReleaseChanges[Change_ID],tblReleaseChanges[Oracle_Severity],""),tblSeverityMap[Severity_Text],tblSeverityMap[Score],0),0)</f>
        <v/>
      </c>
      <c r="T1303">
        <f>ROUND((M1303*0.25)+(N1303*0.20)+(O1303*0.15)+(P1303*0.15)+(Q1303*0.10)+(R1303*0.10)+(S1303*0.05),2)</f>
        <v/>
      </c>
      <c r="U1303">
        <f>IF(T1303&gt;=4.25,"Critical",IF(T1303&gt;=3.5,"High",IF(T1303&gt;=2,"Medium","Low")))</f>
        <v/>
      </c>
    </row>
    <row r="1304">
      <c r="R1304">
        <f>IFERROR(XLOOKUP(XLOOKUP(D1304,tblReleaseChanges[Change_ID],tblReleaseChanges[Oracle_Severity],""),tblSeverityMap[Severity_Text],tblSeverityMap[Score],0),0)</f>
        <v/>
      </c>
      <c r="T1304">
        <f>ROUND((M1304*0.25)+(N1304*0.20)+(O1304*0.15)+(P1304*0.15)+(Q1304*0.10)+(R1304*0.10)+(S1304*0.05),2)</f>
        <v/>
      </c>
      <c r="U1304">
        <f>IF(T1304&gt;=4.25,"Critical",IF(T1304&gt;=3.5,"High",IF(T1304&gt;=2,"Medium","Low")))</f>
        <v/>
      </c>
    </row>
    <row r="1305">
      <c r="R1305">
        <f>IFERROR(XLOOKUP(XLOOKUP(D1305,tblReleaseChanges[Change_ID],tblReleaseChanges[Oracle_Severity],""),tblSeverityMap[Severity_Text],tblSeverityMap[Score],0),0)</f>
        <v/>
      </c>
      <c r="T1305">
        <f>ROUND((M1305*0.25)+(N1305*0.20)+(O1305*0.15)+(P1305*0.15)+(Q1305*0.10)+(R1305*0.10)+(S1305*0.05),2)</f>
        <v/>
      </c>
      <c r="U1305">
        <f>IF(T1305&gt;=4.25,"Critical",IF(T1305&gt;=3.5,"High",IF(T1305&gt;=2,"Medium","Low")))</f>
        <v/>
      </c>
    </row>
    <row r="1306">
      <c r="R1306">
        <f>IFERROR(XLOOKUP(XLOOKUP(D1306,tblReleaseChanges[Change_ID],tblReleaseChanges[Oracle_Severity],""),tblSeverityMap[Severity_Text],tblSeverityMap[Score],0),0)</f>
        <v/>
      </c>
      <c r="T1306">
        <f>ROUND((M1306*0.25)+(N1306*0.20)+(O1306*0.15)+(P1306*0.15)+(Q1306*0.10)+(R1306*0.10)+(S1306*0.05),2)</f>
        <v/>
      </c>
      <c r="U1306">
        <f>IF(T1306&gt;=4.25,"Critical",IF(T1306&gt;=3.5,"High",IF(T1306&gt;=2,"Medium","Low")))</f>
        <v/>
      </c>
    </row>
    <row r="1307">
      <c r="R1307">
        <f>IFERROR(XLOOKUP(XLOOKUP(D1307,tblReleaseChanges[Change_ID],tblReleaseChanges[Oracle_Severity],""),tblSeverityMap[Severity_Text],tblSeverityMap[Score],0),0)</f>
        <v/>
      </c>
      <c r="T1307">
        <f>ROUND((M1307*0.25)+(N1307*0.20)+(O1307*0.15)+(P1307*0.15)+(Q1307*0.10)+(R1307*0.10)+(S1307*0.05),2)</f>
        <v/>
      </c>
      <c r="U1307">
        <f>IF(T1307&gt;=4.25,"Critical",IF(T1307&gt;=3.5,"High",IF(T1307&gt;=2,"Medium","Low")))</f>
        <v/>
      </c>
    </row>
    <row r="1308">
      <c r="R1308">
        <f>IFERROR(XLOOKUP(XLOOKUP(D1308,tblReleaseChanges[Change_ID],tblReleaseChanges[Oracle_Severity],""),tblSeverityMap[Severity_Text],tblSeverityMap[Score],0),0)</f>
        <v/>
      </c>
      <c r="T1308">
        <f>ROUND((M1308*0.25)+(N1308*0.20)+(O1308*0.15)+(P1308*0.15)+(Q1308*0.10)+(R1308*0.10)+(S1308*0.05),2)</f>
        <v/>
      </c>
      <c r="U1308">
        <f>IF(T1308&gt;=4.25,"Critical",IF(T1308&gt;=3.5,"High",IF(T1308&gt;=2,"Medium","Low")))</f>
        <v/>
      </c>
    </row>
    <row r="1309">
      <c r="R1309">
        <f>IFERROR(XLOOKUP(XLOOKUP(D1309,tblReleaseChanges[Change_ID],tblReleaseChanges[Oracle_Severity],""),tblSeverityMap[Severity_Text],tblSeverityMap[Score],0),0)</f>
        <v/>
      </c>
      <c r="T1309">
        <f>ROUND((M1309*0.25)+(N1309*0.20)+(O1309*0.15)+(P1309*0.15)+(Q1309*0.10)+(R1309*0.10)+(S1309*0.05),2)</f>
        <v/>
      </c>
      <c r="U1309">
        <f>IF(T1309&gt;=4.25,"Critical",IF(T1309&gt;=3.5,"High",IF(T1309&gt;=2,"Medium","Low")))</f>
        <v/>
      </c>
    </row>
    <row r="1310">
      <c r="R1310">
        <f>IFERROR(XLOOKUP(XLOOKUP(D1310,tblReleaseChanges[Change_ID],tblReleaseChanges[Oracle_Severity],""),tblSeverityMap[Severity_Text],tblSeverityMap[Score],0),0)</f>
        <v/>
      </c>
      <c r="T1310">
        <f>ROUND((M1310*0.25)+(N1310*0.20)+(O1310*0.15)+(P1310*0.15)+(Q1310*0.10)+(R1310*0.10)+(S1310*0.05),2)</f>
        <v/>
      </c>
      <c r="U1310">
        <f>IF(T1310&gt;=4.25,"Critical",IF(T1310&gt;=3.5,"High",IF(T1310&gt;=2,"Medium","Low")))</f>
        <v/>
      </c>
    </row>
    <row r="1311">
      <c r="R1311">
        <f>IFERROR(XLOOKUP(XLOOKUP(D1311,tblReleaseChanges[Change_ID],tblReleaseChanges[Oracle_Severity],""),tblSeverityMap[Severity_Text],tblSeverityMap[Score],0),0)</f>
        <v/>
      </c>
      <c r="T1311">
        <f>ROUND((M1311*0.25)+(N1311*0.20)+(O1311*0.15)+(P1311*0.15)+(Q1311*0.10)+(R1311*0.10)+(S1311*0.05),2)</f>
        <v/>
      </c>
      <c r="U1311">
        <f>IF(T1311&gt;=4.25,"Critical",IF(T1311&gt;=3.5,"High",IF(T1311&gt;=2,"Medium","Low")))</f>
        <v/>
      </c>
    </row>
    <row r="1312">
      <c r="R1312">
        <f>IFERROR(XLOOKUP(XLOOKUP(D1312,tblReleaseChanges[Change_ID],tblReleaseChanges[Oracle_Severity],""),tblSeverityMap[Severity_Text],tblSeverityMap[Score],0),0)</f>
        <v/>
      </c>
      <c r="T1312">
        <f>ROUND((M1312*0.25)+(N1312*0.20)+(O1312*0.15)+(P1312*0.15)+(Q1312*0.10)+(R1312*0.10)+(S1312*0.05),2)</f>
        <v/>
      </c>
      <c r="U1312">
        <f>IF(T1312&gt;=4.25,"Critical",IF(T1312&gt;=3.5,"High",IF(T1312&gt;=2,"Medium","Low")))</f>
        <v/>
      </c>
    </row>
    <row r="1313">
      <c r="R1313">
        <f>IFERROR(XLOOKUP(XLOOKUP(D1313,tblReleaseChanges[Change_ID],tblReleaseChanges[Oracle_Severity],""),tblSeverityMap[Severity_Text],tblSeverityMap[Score],0),0)</f>
        <v/>
      </c>
      <c r="T1313">
        <f>ROUND((M1313*0.25)+(N1313*0.20)+(O1313*0.15)+(P1313*0.15)+(Q1313*0.10)+(R1313*0.10)+(S1313*0.05),2)</f>
        <v/>
      </c>
      <c r="U1313">
        <f>IF(T1313&gt;=4.25,"Critical",IF(T1313&gt;=3.5,"High",IF(T1313&gt;=2,"Medium","Low")))</f>
        <v/>
      </c>
    </row>
    <row r="1314">
      <c r="R1314">
        <f>IFERROR(XLOOKUP(XLOOKUP(D1314,tblReleaseChanges[Change_ID],tblReleaseChanges[Oracle_Severity],""),tblSeverityMap[Severity_Text],tblSeverityMap[Score],0),0)</f>
        <v/>
      </c>
      <c r="T1314">
        <f>ROUND((M1314*0.25)+(N1314*0.20)+(O1314*0.15)+(P1314*0.15)+(Q1314*0.10)+(R1314*0.10)+(S1314*0.05),2)</f>
        <v/>
      </c>
      <c r="U1314">
        <f>IF(T1314&gt;=4.25,"Critical",IF(T1314&gt;=3.5,"High",IF(T1314&gt;=2,"Medium","Low")))</f>
        <v/>
      </c>
    </row>
    <row r="1315">
      <c r="R1315">
        <f>IFERROR(XLOOKUP(XLOOKUP(D1315,tblReleaseChanges[Change_ID],tblReleaseChanges[Oracle_Severity],""),tblSeverityMap[Severity_Text],tblSeverityMap[Score],0),0)</f>
        <v/>
      </c>
      <c r="T1315">
        <f>ROUND((M1315*0.25)+(N1315*0.20)+(O1315*0.15)+(P1315*0.15)+(Q1315*0.10)+(R1315*0.10)+(S1315*0.05),2)</f>
        <v/>
      </c>
      <c r="U1315">
        <f>IF(T1315&gt;=4.25,"Critical",IF(T1315&gt;=3.5,"High",IF(T1315&gt;=2,"Medium","Low")))</f>
        <v/>
      </c>
    </row>
    <row r="1316">
      <c r="R1316">
        <f>IFERROR(XLOOKUP(XLOOKUP(D1316,tblReleaseChanges[Change_ID],tblReleaseChanges[Oracle_Severity],""),tblSeverityMap[Severity_Text],tblSeverityMap[Score],0),0)</f>
        <v/>
      </c>
      <c r="T1316">
        <f>ROUND((M1316*0.25)+(N1316*0.20)+(O1316*0.15)+(P1316*0.15)+(Q1316*0.10)+(R1316*0.10)+(S1316*0.05),2)</f>
        <v/>
      </c>
      <c r="U1316">
        <f>IF(T1316&gt;=4.25,"Critical",IF(T1316&gt;=3.5,"High",IF(T1316&gt;=2,"Medium","Low")))</f>
        <v/>
      </c>
    </row>
    <row r="1317">
      <c r="R1317">
        <f>IFERROR(XLOOKUP(XLOOKUP(D1317,tblReleaseChanges[Change_ID],tblReleaseChanges[Oracle_Severity],""),tblSeverityMap[Severity_Text],tblSeverityMap[Score],0),0)</f>
        <v/>
      </c>
      <c r="T1317">
        <f>ROUND((M1317*0.25)+(N1317*0.20)+(O1317*0.15)+(P1317*0.15)+(Q1317*0.10)+(R1317*0.10)+(S1317*0.05),2)</f>
        <v/>
      </c>
      <c r="U1317">
        <f>IF(T1317&gt;=4.25,"Critical",IF(T1317&gt;=3.5,"High",IF(T1317&gt;=2,"Medium","Low")))</f>
        <v/>
      </c>
    </row>
    <row r="1318">
      <c r="R1318">
        <f>IFERROR(XLOOKUP(XLOOKUP(D1318,tblReleaseChanges[Change_ID],tblReleaseChanges[Oracle_Severity],""),tblSeverityMap[Severity_Text],tblSeverityMap[Score],0),0)</f>
        <v/>
      </c>
      <c r="T1318">
        <f>ROUND((M1318*0.25)+(N1318*0.20)+(O1318*0.15)+(P1318*0.15)+(Q1318*0.10)+(R1318*0.10)+(S1318*0.05),2)</f>
        <v/>
      </c>
      <c r="U1318">
        <f>IF(T1318&gt;=4.25,"Critical",IF(T1318&gt;=3.5,"High",IF(T1318&gt;=2,"Medium","Low")))</f>
        <v/>
      </c>
    </row>
    <row r="1319">
      <c r="R1319">
        <f>IFERROR(XLOOKUP(XLOOKUP(D1319,tblReleaseChanges[Change_ID],tblReleaseChanges[Oracle_Severity],""),tblSeverityMap[Severity_Text],tblSeverityMap[Score],0),0)</f>
        <v/>
      </c>
      <c r="T1319">
        <f>ROUND((M1319*0.25)+(N1319*0.20)+(O1319*0.15)+(P1319*0.15)+(Q1319*0.10)+(R1319*0.10)+(S1319*0.05),2)</f>
        <v/>
      </c>
      <c r="U1319">
        <f>IF(T1319&gt;=4.25,"Critical",IF(T1319&gt;=3.5,"High",IF(T1319&gt;=2,"Medium","Low")))</f>
        <v/>
      </c>
    </row>
    <row r="1320">
      <c r="R1320">
        <f>IFERROR(XLOOKUP(XLOOKUP(D1320,tblReleaseChanges[Change_ID],tblReleaseChanges[Oracle_Severity],""),tblSeverityMap[Severity_Text],tblSeverityMap[Score],0),0)</f>
        <v/>
      </c>
      <c r="T1320">
        <f>ROUND((M1320*0.25)+(N1320*0.20)+(O1320*0.15)+(P1320*0.15)+(Q1320*0.10)+(R1320*0.10)+(S1320*0.05),2)</f>
        <v/>
      </c>
      <c r="U1320">
        <f>IF(T1320&gt;=4.25,"Critical",IF(T1320&gt;=3.5,"High",IF(T1320&gt;=2,"Medium","Low")))</f>
        <v/>
      </c>
    </row>
    <row r="1321">
      <c r="R1321">
        <f>IFERROR(XLOOKUP(XLOOKUP(D1321,tblReleaseChanges[Change_ID],tblReleaseChanges[Oracle_Severity],""),tblSeverityMap[Severity_Text],tblSeverityMap[Score],0),0)</f>
        <v/>
      </c>
      <c r="T1321">
        <f>ROUND((M1321*0.25)+(N1321*0.20)+(O1321*0.15)+(P1321*0.15)+(Q1321*0.10)+(R1321*0.10)+(S1321*0.05),2)</f>
        <v/>
      </c>
      <c r="U1321">
        <f>IF(T1321&gt;=4.25,"Critical",IF(T1321&gt;=3.5,"High",IF(T1321&gt;=2,"Medium","Low")))</f>
        <v/>
      </c>
    </row>
    <row r="1322">
      <c r="R1322">
        <f>IFERROR(XLOOKUP(XLOOKUP(D1322,tblReleaseChanges[Change_ID],tblReleaseChanges[Oracle_Severity],""),tblSeverityMap[Severity_Text],tblSeverityMap[Score],0),0)</f>
        <v/>
      </c>
      <c r="T1322">
        <f>ROUND((M1322*0.25)+(N1322*0.20)+(O1322*0.15)+(P1322*0.15)+(Q1322*0.10)+(R1322*0.10)+(S1322*0.05),2)</f>
        <v/>
      </c>
      <c r="U1322">
        <f>IF(T1322&gt;=4.25,"Critical",IF(T1322&gt;=3.5,"High",IF(T1322&gt;=2,"Medium","Low")))</f>
        <v/>
      </c>
    </row>
    <row r="1323">
      <c r="R1323">
        <f>IFERROR(XLOOKUP(XLOOKUP(D1323,tblReleaseChanges[Change_ID],tblReleaseChanges[Oracle_Severity],""),tblSeverityMap[Severity_Text],tblSeverityMap[Score],0),0)</f>
        <v/>
      </c>
      <c r="T1323">
        <f>ROUND((M1323*0.25)+(N1323*0.20)+(O1323*0.15)+(P1323*0.15)+(Q1323*0.10)+(R1323*0.10)+(S1323*0.05),2)</f>
        <v/>
      </c>
      <c r="U1323">
        <f>IF(T1323&gt;=4.25,"Critical",IF(T1323&gt;=3.5,"High",IF(T1323&gt;=2,"Medium","Low")))</f>
        <v/>
      </c>
    </row>
    <row r="1324">
      <c r="R1324">
        <f>IFERROR(XLOOKUP(XLOOKUP(D1324,tblReleaseChanges[Change_ID],tblReleaseChanges[Oracle_Severity],""),tblSeverityMap[Severity_Text],tblSeverityMap[Score],0),0)</f>
        <v/>
      </c>
      <c r="T1324">
        <f>ROUND((M1324*0.25)+(N1324*0.20)+(O1324*0.15)+(P1324*0.15)+(Q1324*0.10)+(R1324*0.10)+(S1324*0.05),2)</f>
        <v/>
      </c>
      <c r="U1324">
        <f>IF(T1324&gt;=4.25,"Critical",IF(T1324&gt;=3.5,"High",IF(T1324&gt;=2,"Medium","Low")))</f>
        <v/>
      </c>
    </row>
    <row r="1325">
      <c r="R1325">
        <f>IFERROR(XLOOKUP(XLOOKUP(D1325,tblReleaseChanges[Change_ID],tblReleaseChanges[Oracle_Severity],""),tblSeverityMap[Severity_Text],tblSeverityMap[Score],0),0)</f>
        <v/>
      </c>
      <c r="T1325">
        <f>ROUND((M1325*0.25)+(N1325*0.20)+(O1325*0.15)+(P1325*0.15)+(Q1325*0.10)+(R1325*0.10)+(S1325*0.05),2)</f>
        <v/>
      </c>
      <c r="U1325">
        <f>IF(T1325&gt;=4.25,"Critical",IF(T1325&gt;=3.5,"High",IF(T1325&gt;=2,"Medium","Low")))</f>
        <v/>
      </c>
    </row>
    <row r="1326">
      <c r="R1326">
        <f>IFERROR(XLOOKUP(XLOOKUP(D1326,tblReleaseChanges[Change_ID],tblReleaseChanges[Oracle_Severity],""),tblSeverityMap[Severity_Text],tblSeverityMap[Score],0),0)</f>
        <v/>
      </c>
      <c r="T1326">
        <f>ROUND((M1326*0.25)+(N1326*0.20)+(O1326*0.15)+(P1326*0.15)+(Q1326*0.10)+(R1326*0.10)+(S1326*0.05),2)</f>
        <v/>
      </c>
      <c r="U1326">
        <f>IF(T1326&gt;=4.25,"Critical",IF(T1326&gt;=3.5,"High",IF(T1326&gt;=2,"Medium","Low")))</f>
        <v/>
      </c>
    </row>
    <row r="1327">
      <c r="R1327">
        <f>IFERROR(XLOOKUP(XLOOKUP(D1327,tblReleaseChanges[Change_ID],tblReleaseChanges[Oracle_Severity],""),tblSeverityMap[Severity_Text],tblSeverityMap[Score],0),0)</f>
        <v/>
      </c>
      <c r="T1327">
        <f>ROUND((M1327*0.25)+(N1327*0.20)+(O1327*0.15)+(P1327*0.15)+(Q1327*0.10)+(R1327*0.10)+(S1327*0.05),2)</f>
        <v/>
      </c>
      <c r="U1327">
        <f>IF(T1327&gt;=4.25,"Critical",IF(T1327&gt;=3.5,"High",IF(T1327&gt;=2,"Medium","Low")))</f>
        <v/>
      </c>
    </row>
    <row r="1328">
      <c r="R1328">
        <f>IFERROR(XLOOKUP(XLOOKUP(D1328,tblReleaseChanges[Change_ID],tblReleaseChanges[Oracle_Severity],""),tblSeverityMap[Severity_Text],tblSeverityMap[Score],0),0)</f>
        <v/>
      </c>
      <c r="T1328">
        <f>ROUND((M1328*0.25)+(N1328*0.20)+(O1328*0.15)+(P1328*0.15)+(Q1328*0.10)+(R1328*0.10)+(S1328*0.05),2)</f>
        <v/>
      </c>
      <c r="U1328">
        <f>IF(T1328&gt;=4.25,"Critical",IF(T1328&gt;=3.5,"High",IF(T1328&gt;=2,"Medium","Low")))</f>
        <v/>
      </c>
    </row>
    <row r="1329">
      <c r="R1329">
        <f>IFERROR(XLOOKUP(XLOOKUP(D1329,tblReleaseChanges[Change_ID],tblReleaseChanges[Oracle_Severity],""),tblSeverityMap[Severity_Text],tblSeverityMap[Score],0),0)</f>
        <v/>
      </c>
      <c r="T1329">
        <f>ROUND((M1329*0.25)+(N1329*0.20)+(O1329*0.15)+(P1329*0.15)+(Q1329*0.10)+(R1329*0.10)+(S1329*0.05),2)</f>
        <v/>
      </c>
      <c r="U1329">
        <f>IF(T1329&gt;=4.25,"Critical",IF(T1329&gt;=3.5,"High",IF(T1329&gt;=2,"Medium","Low")))</f>
        <v/>
      </c>
    </row>
    <row r="1330">
      <c r="R1330">
        <f>IFERROR(XLOOKUP(XLOOKUP(D1330,tblReleaseChanges[Change_ID],tblReleaseChanges[Oracle_Severity],""),tblSeverityMap[Severity_Text],tblSeverityMap[Score],0),0)</f>
        <v/>
      </c>
      <c r="T1330">
        <f>ROUND((M1330*0.25)+(N1330*0.20)+(O1330*0.15)+(P1330*0.15)+(Q1330*0.10)+(R1330*0.10)+(S1330*0.05),2)</f>
        <v/>
      </c>
      <c r="U1330">
        <f>IF(T1330&gt;=4.25,"Critical",IF(T1330&gt;=3.5,"High",IF(T1330&gt;=2,"Medium","Low")))</f>
        <v/>
      </c>
    </row>
    <row r="1331">
      <c r="R1331">
        <f>IFERROR(XLOOKUP(XLOOKUP(D1331,tblReleaseChanges[Change_ID],tblReleaseChanges[Oracle_Severity],""),tblSeverityMap[Severity_Text],tblSeverityMap[Score],0),0)</f>
        <v/>
      </c>
      <c r="T1331">
        <f>ROUND((M1331*0.25)+(N1331*0.20)+(O1331*0.15)+(P1331*0.15)+(Q1331*0.10)+(R1331*0.10)+(S1331*0.05),2)</f>
        <v/>
      </c>
      <c r="U1331">
        <f>IF(T1331&gt;=4.25,"Critical",IF(T1331&gt;=3.5,"High",IF(T1331&gt;=2,"Medium","Low")))</f>
        <v/>
      </c>
    </row>
    <row r="1332">
      <c r="R1332">
        <f>IFERROR(XLOOKUP(XLOOKUP(D1332,tblReleaseChanges[Change_ID],tblReleaseChanges[Oracle_Severity],""),tblSeverityMap[Severity_Text],tblSeverityMap[Score],0),0)</f>
        <v/>
      </c>
      <c r="T1332">
        <f>ROUND((M1332*0.25)+(N1332*0.20)+(O1332*0.15)+(P1332*0.15)+(Q1332*0.10)+(R1332*0.10)+(S1332*0.05),2)</f>
        <v/>
      </c>
      <c r="U1332">
        <f>IF(T1332&gt;=4.25,"Critical",IF(T1332&gt;=3.5,"High",IF(T1332&gt;=2,"Medium","Low")))</f>
        <v/>
      </c>
    </row>
    <row r="1333">
      <c r="R1333">
        <f>IFERROR(XLOOKUP(XLOOKUP(D1333,tblReleaseChanges[Change_ID],tblReleaseChanges[Oracle_Severity],""),tblSeverityMap[Severity_Text],tblSeverityMap[Score],0),0)</f>
        <v/>
      </c>
      <c r="T1333">
        <f>ROUND((M1333*0.25)+(N1333*0.20)+(O1333*0.15)+(P1333*0.15)+(Q1333*0.10)+(R1333*0.10)+(S1333*0.05),2)</f>
        <v/>
      </c>
      <c r="U1333">
        <f>IF(T1333&gt;=4.25,"Critical",IF(T1333&gt;=3.5,"High",IF(T1333&gt;=2,"Medium","Low")))</f>
        <v/>
      </c>
    </row>
    <row r="1334">
      <c r="R1334">
        <f>IFERROR(XLOOKUP(XLOOKUP(D1334,tblReleaseChanges[Change_ID],tblReleaseChanges[Oracle_Severity],""),tblSeverityMap[Severity_Text],tblSeverityMap[Score],0),0)</f>
        <v/>
      </c>
      <c r="T1334">
        <f>ROUND((M1334*0.25)+(N1334*0.20)+(O1334*0.15)+(P1334*0.15)+(Q1334*0.10)+(R1334*0.10)+(S1334*0.05),2)</f>
        <v/>
      </c>
      <c r="U1334">
        <f>IF(T1334&gt;=4.25,"Critical",IF(T1334&gt;=3.5,"High",IF(T1334&gt;=2,"Medium","Low")))</f>
        <v/>
      </c>
    </row>
    <row r="1335">
      <c r="R1335">
        <f>IFERROR(XLOOKUP(XLOOKUP(D1335,tblReleaseChanges[Change_ID],tblReleaseChanges[Oracle_Severity],""),tblSeverityMap[Severity_Text],tblSeverityMap[Score],0),0)</f>
        <v/>
      </c>
      <c r="T1335">
        <f>ROUND((M1335*0.25)+(N1335*0.20)+(O1335*0.15)+(P1335*0.15)+(Q1335*0.10)+(R1335*0.10)+(S1335*0.05),2)</f>
        <v/>
      </c>
      <c r="U1335">
        <f>IF(T1335&gt;=4.25,"Critical",IF(T1335&gt;=3.5,"High",IF(T1335&gt;=2,"Medium","Low")))</f>
        <v/>
      </c>
    </row>
    <row r="1336">
      <c r="R1336">
        <f>IFERROR(XLOOKUP(XLOOKUP(D1336,tblReleaseChanges[Change_ID],tblReleaseChanges[Oracle_Severity],""),tblSeverityMap[Severity_Text],tblSeverityMap[Score],0),0)</f>
        <v/>
      </c>
      <c r="T1336">
        <f>ROUND((M1336*0.25)+(N1336*0.20)+(O1336*0.15)+(P1336*0.15)+(Q1336*0.10)+(R1336*0.10)+(S1336*0.05),2)</f>
        <v/>
      </c>
      <c r="U1336">
        <f>IF(T1336&gt;=4.25,"Critical",IF(T1336&gt;=3.5,"High",IF(T1336&gt;=2,"Medium","Low")))</f>
        <v/>
      </c>
    </row>
    <row r="1337">
      <c r="R1337">
        <f>IFERROR(XLOOKUP(XLOOKUP(D1337,tblReleaseChanges[Change_ID],tblReleaseChanges[Oracle_Severity],""),tblSeverityMap[Severity_Text],tblSeverityMap[Score],0),0)</f>
        <v/>
      </c>
      <c r="T1337">
        <f>ROUND((M1337*0.25)+(N1337*0.20)+(O1337*0.15)+(P1337*0.15)+(Q1337*0.10)+(R1337*0.10)+(S1337*0.05),2)</f>
        <v/>
      </c>
      <c r="U1337">
        <f>IF(T1337&gt;=4.25,"Critical",IF(T1337&gt;=3.5,"High",IF(T1337&gt;=2,"Medium","Low")))</f>
        <v/>
      </c>
    </row>
    <row r="1338">
      <c r="R1338">
        <f>IFERROR(XLOOKUP(XLOOKUP(D1338,tblReleaseChanges[Change_ID],tblReleaseChanges[Oracle_Severity],""),tblSeverityMap[Severity_Text],tblSeverityMap[Score],0),0)</f>
        <v/>
      </c>
      <c r="T1338">
        <f>ROUND((M1338*0.25)+(N1338*0.20)+(O1338*0.15)+(P1338*0.15)+(Q1338*0.10)+(R1338*0.10)+(S1338*0.05),2)</f>
        <v/>
      </c>
      <c r="U1338">
        <f>IF(T1338&gt;=4.25,"Critical",IF(T1338&gt;=3.5,"High",IF(T1338&gt;=2,"Medium","Low")))</f>
        <v/>
      </c>
    </row>
    <row r="1339">
      <c r="R1339">
        <f>IFERROR(XLOOKUP(XLOOKUP(D1339,tblReleaseChanges[Change_ID],tblReleaseChanges[Oracle_Severity],""),tblSeverityMap[Severity_Text],tblSeverityMap[Score],0),0)</f>
        <v/>
      </c>
      <c r="T1339">
        <f>ROUND((M1339*0.25)+(N1339*0.20)+(O1339*0.15)+(P1339*0.15)+(Q1339*0.10)+(R1339*0.10)+(S1339*0.05),2)</f>
        <v/>
      </c>
      <c r="U1339">
        <f>IF(T1339&gt;=4.25,"Critical",IF(T1339&gt;=3.5,"High",IF(T1339&gt;=2,"Medium","Low")))</f>
        <v/>
      </c>
    </row>
    <row r="1340">
      <c r="R1340">
        <f>IFERROR(XLOOKUP(XLOOKUP(D1340,tblReleaseChanges[Change_ID],tblReleaseChanges[Oracle_Severity],""),tblSeverityMap[Severity_Text],tblSeverityMap[Score],0),0)</f>
        <v/>
      </c>
      <c r="T1340">
        <f>ROUND((M1340*0.25)+(N1340*0.20)+(O1340*0.15)+(P1340*0.15)+(Q1340*0.10)+(R1340*0.10)+(S1340*0.05),2)</f>
        <v/>
      </c>
      <c r="U1340">
        <f>IF(T1340&gt;=4.25,"Critical",IF(T1340&gt;=3.5,"High",IF(T1340&gt;=2,"Medium","Low")))</f>
        <v/>
      </c>
    </row>
    <row r="1341">
      <c r="R1341">
        <f>IFERROR(XLOOKUP(XLOOKUP(D1341,tblReleaseChanges[Change_ID],tblReleaseChanges[Oracle_Severity],""),tblSeverityMap[Severity_Text],tblSeverityMap[Score],0),0)</f>
        <v/>
      </c>
      <c r="T1341">
        <f>ROUND((M1341*0.25)+(N1341*0.20)+(O1341*0.15)+(P1341*0.15)+(Q1341*0.10)+(R1341*0.10)+(S1341*0.05),2)</f>
        <v/>
      </c>
      <c r="U1341">
        <f>IF(T1341&gt;=4.25,"Critical",IF(T1341&gt;=3.5,"High",IF(T1341&gt;=2,"Medium","Low")))</f>
        <v/>
      </c>
    </row>
    <row r="1342">
      <c r="R1342">
        <f>IFERROR(XLOOKUP(XLOOKUP(D1342,tblReleaseChanges[Change_ID],tblReleaseChanges[Oracle_Severity],""),tblSeverityMap[Severity_Text],tblSeverityMap[Score],0),0)</f>
        <v/>
      </c>
      <c r="T1342">
        <f>ROUND((M1342*0.25)+(N1342*0.20)+(O1342*0.15)+(P1342*0.15)+(Q1342*0.10)+(R1342*0.10)+(S1342*0.05),2)</f>
        <v/>
      </c>
      <c r="U1342">
        <f>IF(T1342&gt;=4.25,"Critical",IF(T1342&gt;=3.5,"High",IF(T1342&gt;=2,"Medium","Low")))</f>
        <v/>
      </c>
    </row>
    <row r="1343">
      <c r="R1343">
        <f>IFERROR(XLOOKUP(XLOOKUP(D1343,tblReleaseChanges[Change_ID],tblReleaseChanges[Oracle_Severity],""),tblSeverityMap[Severity_Text],tblSeverityMap[Score],0),0)</f>
        <v/>
      </c>
      <c r="T1343">
        <f>ROUND((M1343*0.25)+(N1343*0.20)+(O1343*0.15)+(P1343*0.15)+(Q1343*0.10)+(R1343*0.10)+(S1343*0.05),2)</f>
        <v/>
      </c>
      <c r="U1343">
        <f>IF(T1343&gt;=4.25,"Critical",IF(T1343&gt;=3.5,"High",IF(T1343&gt;=2,"Medium","Low")))</f>
        <v/>
      </c>
    </row>
    <row r="1344">
      <c r="R1344">
        <f>IFERROR(XLOOKUP(XLOOKUP(D1344,tblReleaseChanges[Change_ID],tblReleaseChanges[Oracle_Severity],""),tblSeverityMap[Severity_Text],tblSeverityMap[Score],0),0)</f>
        <v/>
      </c>
      <c r="T1344">
        <f>ROUND((M1344*0.25)+(N1344*0.20)+(O1344*0.15)+(P1344*0.15)+(Q1344*0.10)+(R1344*0.10)+(S1344*0.05),2)</f>
        <v/>
      </c>
      <c r="U1344">
        <f>IF(T1344&gt;=4.25,"Critical",IF(T1344&gt;=3.5,"High",IF(T1344&gt;=2,"Medium","Low")))</f>
        <v/>
      </c>
    </row>
    <row r="1345">
      <c r="R1345">
        <f>IFERROR(XLOOKUP(XLOOKUP(D1345,tblReleaseChanges[Change_ID],tblReleaseChanges[Oracle_Severity],""),tblSeverityMap[Severity_Text],tblSeverityMap[Score],0),0)</f>
        <v/>
      </c>
      <c r="T1345">
        <f>ROUND((M1345*0.25)+(N1345*0.20)+(O1345*0.15)+(P1345*0.15)+(Q1345*0.10)+(R1345*0.10)+(S1345*0.05),2)</f>
        <v/>
      </c>
      <c r="U1345">
        <f>IF(T1345&gt;=4.25,"Critical",IF(T1345&gt;=3.5,"High",IF(T1345&gt;=2,"Medium","Low")))</f>
        <v/>
      </c>
    </row>
    <row r="1346">
      <c r="R1346">
        <f>IFERROR(XLOOKUP(XLOOKUP(D1346,tblReleaseChanges[Change_ID],tblReleaseChanges[Oracle_Severity],""),tblSeverityMap[Severity_Text],tblSeverityMap[Score],0),0)</f>
        <v/>
      </c>
      <c r="T1346">
        <f>ROUND((M1346*0.25)+(N1346*0.20)+(O1346*0.15)+(P1346*0.15)+(Q1346*0.10)+(R1346*0.10)+(S1346*0.05),2)</f>
        <v/>
      </c>
      <c r="U1346">
        <f>IF(T1346&gt;=4.25,"Critical",IF(T1346&gt;=3.5,"High",IF(T1346&gt;=2,"Medium","Low")))</f>
        <v/>
      </c>
    </row>
    <row r="1347">
      <c r="R1347">
        <f>IFERROR(XLOOKUP(XLOOKUP(D1347,tblReleaseChanges[Change_ID],tblReleaseChanges[Oracle_Severity],""),tblSeverityMap[Severity_Text],tblSeverityMap[Score],0),0)</f>
        <v/>
      </c>
      <c r="T1347">
        <f>ROUND((M1347*0.25)+(N1347*0.20)+(O1347*0.15)+(P1347*0.15)+(Q1347*0.10)+(R1347*0.10)+(S1347*0.05),2)</f>
        <v/>
      </c>
      <c r="U1347">
        <f>IF(T1347&gt;=4.25,"Critical",IF(T1347&gt;=3.5,"High",IF(T1347&gt;=2,"Medium","Low")))</f>
        <v/>
      </c>
    </row>
    <row r="1348">
      <c r="R1348">
        <f>IFERROR(XLOOKUP(XLOOKUP(D1348,tblReleaseChanges[Change_ID],tblReleaseChanges[Oracle_Severity],""),tblSeverityMap[Severity_Text],tblSeverityMap[Score],0),0)</f>
        <v/>
      </c>
      <c r="T1348">
        <f>ROUND((M1348*0.25)+(N1348*0.20)+(O1348*0.15)+(P1348*0.15)+(Q1348*0.10)+(R1348*0.10)+(S1348*0.05),2)</f>
        <v/>
      </c>
      <c r="U1348">
        <f>IF(T1348&gt;=4.25,"Critical",IF(T1348&gt;=3.5,"High",IF(T1348&gt;=2,"Medium","Low")))</f>
        <v/>
      </c>
    </row>
    <row r="1349">
      <c r="R1349">
        <f>IFERROR(XLOOKUP(XLOOKUP(D1349,tblReleaseChanges[Change_ID],tblReleaseChanges[Oracle_Severity],""),tblSeverityMap[Severity_Text],tblSeverityMap[Score],0),0)</f>
        <v/>
      </c>
      <c r="T1349">
        <f>ROUND((M1349*0.25)+(N1349*0.20)+(O1349*0.15)+(P1349*0.15)+(Q1349*0.10)+(R1349*0.10)+(S1349*0.05),2)</f>
        <v/>
      </c>
      <c r="U1349">
        <f>IF(T1349&gt;=4.25,"Critical",IF(T1349&gt;=3.5,"High",IF(T1349&gt;=2,"Medium","Low")))</f>
        <v/>
      </c>
    </row>
    <row r="1350">
      <c r="R1350">
        <f>IFERROR(XLOOKUP(XLOOKUP(D1350,tblReleaseChanges[Change_ID],tblReleaseChanges[Oracle_Severity],""),tblSeverityMap[Severity_Text],tblSeverityMap[Score],0),0)</f>
        <v/>
      </c>
      <c r="T1350">
        <f>ROUND((M1350*0.25)+(N1350*0.20)+(O1350*0.15)+(P1350*0.15)+(Q1350*0.10)+(R1350*0.10)+(S1350*0.05),2)</f>
        <v/>
      </c>
      <c r="U1350">
        <f>IF(T1350&gt;=4.25,"Critical",IF(T1350&gt;=3.5,"High",IF(T1350&gt;=2,"Medium","Low")))</f>
        <v/>
      </c>
    </row>
    <row r="1351">
      <c r="R1351">
        <f>IFERROR(XLOOKUP(XLOOKUP(D1351,tblReleaseChanges[Change_ID],tblReleaseChanges[Oracle_Severity],""),tblSeverityMap[Severity_Text],tblSeverityMap[Score],0),0)</f>
        <v/>
      </c>
      <c r="T1351">
        <f>ROUND((M1351*0.25)+(N1351*0.20)+(O1351*0.15)+(P1351*0.15)+(Q1351*0.10)+(R1351*0.10)+(S1351*0.05),2)</f>
        <v/>
      </c>
      <c r="U1351">
        <f>IF(T1351&gt;=4.25,"Critical",IF(T1351&gt;=3.5,"High",IF(T1351&gt;=2,"Medium","Low")))</f>
        <v/>
      </c>
    </row>
    <row r="1352">
      <c r="R1352">
        <f>IFERROR(XLOOKUP(XLOOKUP(D1352,tblReleaseChanges[Change_ID],tblReleaseChanges[Oracle_Severity],""),tblSeverityMap[Severity_Text],tblSeverityMap[Score],0),0)</f>
        <v/>
      </c>
      <c r="T1352">
        <f>ROUND((M1352*0.25)+(N1352*0.20)+(O1352*0.15)+(P1352*0.15)+(Q1352*0.10)+(R1352*0.10)+(S1352*0.05),2)</f>
        <v/>
      </c>
      <c r="U1352">
        <f>IF(T1352&gt;=4.25,"Critical",IF(T1352&gt;=3.5,"High",IF(T1352&gt;=2,"Medium","Low")))</f>
        <v/>
      </c>
    </row>
    <row r="1353">
      <c r="R1353">
        <f>IFERROR(XLOOKUP(XLOOKUP(D1353,tblReleaseChanges[Change_ID],tblReleaseChanges[Oracle_Severity],""),tblSeverityMap[Severity_Text],tblSeverityMap[Score],0),0)</f>
        <v/>
      </c>
      <c r="T1353">
        <f>ROUND((M1353*0.25)+(N1353*0.20)+(O1353*0.15)+(P1353*0.15)+(Q1353*0.10)+(R1353*0.10)+(S1353*0.05),2)</f>
        <v/>
      </c>
      <c r="U1353">
        <f>IF(T1353&gt;=4.25,"Critical",IF(T1353&gt;=3.5,"High",IF(T1353&gt;=2,"Medium","Low")))</f>
        <v/>
      </c>
    </row>
    <row r="1354">
      <c r="R1354">
        <f>IFERROR(XLOOKUP(XLOOKUP(D1354,tblReleaseChanges[Change_ID],tblReleaseChanges[Oracle_Severity],""),tblSeverityMap[Severity_Text],tblSeverityMap[Score],0),0)</f>
        <v/>
      </c>
      <c r="T1354">
        <f>ROUND((M1354*0.25)+(N1354*0.20)+(O1354*0.15)+(P1354*0.15)+(Q1354*0.10)+(R1354*0.10)+(S1354*0.05),2)</f>
        <v/>
      </c>
      <c r="U1354">
        <f>IF(T1354&gt;=4.25,"Critical",IF(T1354&gt;=3.5,"High",IF(T1354&gt;=2,"Medium","Low")))</f>
        <v/>
      </c>
    </row>
    <row r="1355">
      <c r="R1355">
        <f>IFERROR(XLOOKUP(XLOOKUP(D1355,tblReleaseChanges[Change_ID],tblReleaseChanges[Oracle_Severity],""),tblSeverityMap[Severity_Text],tblSeverityMap[Score],0),0)</f>
        <v/>
      </c>
      <c r="T1355">
        <f>ROUND((M1355*0.25)+(N1355*0.20)+(O1355*0.15)+(P1355*0.15)+(Q1355*0.10)+(R1355*0.10)+(S1355*0.05),2)</f>
        <v/>
      </c>
      <c r="U1355">
        <f>IF(T1355&gt;=4.25,"Critical",IF(T1355&gt;=3.5,"High",IF(T1355&gt;=2,"Medium","Low")))</f>
        <v/>
      </c>
    </row>
    <row r="1356">
      <c r="R1356">
        <f>IFERROR(XLOOKUP(XLOOKUP(D1356,tblReleaseChanges[Change_ID],tblReleaseChanges[Oracle_Severity],""),tblSeverityMap[Severity_Text],tblSeverityMap[Score],0),0)</f>
        <v/>
      </c>
      <c r="T1356">
        <f>ROUND((M1356*0.25)+(N1356*0.20)+(O1356*0.15)+(P1356*0.15)+(Q1356*0.10)+(R1356*0.10)+(S1356*0.05),2)</f>
        <v/>
      </c>
      <c r="U1356">
        <f>IF(T1356&gt;=4.25,"Critical",IF(T1356&gt;=3.5,"High",IF(T1356&gt;=2,"Medium","Low")))</f>
        <v/>
      </c>
    </row>
    <row r="1357">
      <c r="R1357">
        <f>IFERROR(XLOOKUP(XLOOKUP(D1357,tblReleaseChanges[Change_ID],tblReleaseChanges[Oracle_Severity],""),tblSeverityMap[Severity_Text],tblSeverityMap[Score],0),0)</f>
        <v/>
      </c>
      <c r="T1357">
        <f>ROUND((M1357*0.25)+(N1357*0.20)+(O1357*0.15)+(P1357*0.15)+(Q1357*0.10)+(R1357*0.10)+(S1357*0.05),2)</f>
        <v/>
      </c>
      <c r="U1357">
        <f>IF(T1357&gt;=4.25,"Critical",IF(T1357&gt;=3.5,"High",IF(T1357&gt;=2,"Medium","Low")))</f>
        <v/>
      </c>
    </row>
    <row r="1358">
      <c r="R1358">
        <f>IFERROR(XLOOKUP(XLOOKUP(D1358,tblReleaseChanges[Change_ID],tblReleaseChanges[Oracle_Severity],""),tblSeverityMap[Severity_Text],tblSeverityMap[Score],0),0)</f>
        <v/>
      </c>
      <c r="T1358">
        <f>ROUND((M1358*0.25)+(N1358*0.20)+(O1358*0.15)+(P1358*0.15)+(Q1358*0.10)+(R1358*0.10)+(S1358*0.05),2)</f>
        <v/>
      </c>
      <c r="U1358">
        <f>IF(T1358&gt;=4.25,"Critical",IF(T1358&gt;=3.5,"High",IF(T1358&gt;=2,"Medium","Low")))</f>
        <v/>
      </c>
    </row>
    <row r="1359">
      <c r="R1359">
        <f>IFERROR(XLOOKUP(XLOOKUP(D1359,tblReleaseChanges[Change_ID],tblReleaseChanges[Oracle_Severity],""),tblSeverityMap[Severity_Text],tblSeverityMap[Score],0),0)</f>
        <v/>
      </c>
      <c r="T1359">
        <f>ROUND((M1359*0.25)+(N1359*0.20)+(O1359*0.15)+(P1359*0.15)+(Q1359*0.10)+(R1359*0.10)+(S1359*0.05),2)</f>
        <v/>
      </c>
      <c r="U1359">
        <f>IF(T1359&gt;=4.25,"Critical",IF(T1359&gt;=3.5,"High",IF(T1359&gt;=2,"Medium","Low")))</f>
        <v/>
      </c>
    </row>
    <row r="1360">
      <c r="R1360">
        <f>IFERROR(XLOOKUP(XLOOKUP(D1360,tblReleaseChanges[Change_ID],tblReleaseChanges[Oracle_Severity],""),tblSeverityMap[Severity_Text],tblSeverityMap[Score],0),0)</f>
        <v/>
      </c>
      <c r="T1360">
        <f>ROUND((M1360*0.25)+(N1360*0.20)+(O1360*0.15)+(P1360*0.15)+(Q1360*0.10)+(R1360*0.10)+(S1360*0.05),2)</f>
        <v/>
      </c>
      <c r="U1360">
        <f>IF(T1360&gt;=4.25,"Critical",IF(T1360&gt;=3.5,"High",IF(T1360&gt;=2,"Medium","Low")))</f>
        <v/>
      </c>
    </row>
    <row r="1361">
      <c r="R1361">
        <f>IFERROR(XLOOKUP(XLOOKUP(D1361,tblReleaseChanges[Change_ID],tblReleaseChanges[Oracle_Severity],""),tblSeverityMap[Severity_Text],tblSeverityMap[Score],0),0)</f>
        <v/>
      </c>
      <c r="T1361">
        <f>ROUND((M1361*0.25)+(N1361*0.20)+(O1361*0.15)+(P1361*0.15)+(Q1361*0.10)+(R1361*0.10)+(S1361*0.05),2)</f>
        <v/>
      </c>
      <c r="U1361">
        <f>IF(T1361&gt;=4.25,"Critical",IF(T1361&gt;=3.5,"High",IF(T1361&gt;=2,"Medium","Low")))</f>
        <v/>
      </c>
    </row>
    <row r="1362">
      <c r="R1362">
        <f>IFERROR(XLOOKUP(XLOOKUP(D1362,tblReleaseChanges[Change_ID],tblReleaseChanges[Oracle_Severity],""),tblSeverityMap[Severity_Text],tblSeverityMap[Score],0),0)</f>
        <v/>
      </c>
      <c r="T1362">
        <f>ROUND((M1362*0.25)+(N1362*0.20)+(O1362*0.15)+(P1362*0.15)+(Q1362*0.10)+(R1362*0.10)+(S1362*0.05),2)</f>
        <v/>
      </c>
      <c r="U1362">
        <f>IF(T1362&gt;=4.25,"Critical",IF(T1362&gt;=3.5,"High",IF(T1362&gt;=2,"Medium","Low")))</f>
        <v/>
      </c>
    </row>
    <row r="1363">
      <c r="R1363">
        <f>IFERROR(XLOOKUP(XLOOKUP(D1363,tblReleaseChanges[Change_ID],tblReleaseChanges[Oracle_Severity],""),tblSeverityMap[Severity_Text],tblSeverityMap[Score],0),0)</f>
        <v/>
      </c>
      <c r="T1363">
        <f>ROUND((M1363*0.25)+(N1363*0.20)+(O1363*0.15)+(P1363*0.15)+(Q1363*0.10)+(R1363*0.10)+(S1363*0.05),2)</f>
        <v/>
      </c>
      <c r="U1363">
        <f>IF(T1363&gt;=4.25,"Critical",IF(T1363&gt;=3.5,"High",IF(T1363&gt;=2,"Medium","Low")))</f>
        <v/>
      </c>
    </row>
    <row r="1364">
      <c r="R1364">
        <f>IFERROR(XLOOKUP(XLOOKUP(D1364,tblReleaseChanges[Change_ID],tblReleaseChanges[Oracle_Severity],""),tblSeverityMap[Severity_Text],tblSeverityMap[Score],0),0)</f>
        <v/>
      </c>
      <c r="T1364">
        <f>ROUND((M1364*0.25)+(N1364*0.20)+(O1364*0.15)+(P1364*0.15)+(Q1364*0.10)+(R1364*0.10)+(S1364*0.05),2)</f>
        <v/>
      </c>
      <c r="U1364">
        <f>IF(T1364&gt;=4.25,"Critical",IF(T1364&gt;=3.5,"High",IF(T1364&gt;=2,"Medium","Low")))</f>
        <v/>
      </c>
    </row>
    <row r="1365">
      <c r="R1365">
        <f>IFERROR(XLOOKUP(XLOOKUP(D1365,tblReleaseChanges[Change_ID],tblReleaseChanges[Oracle_Severity],""),tblSeverityMap[Severity_Text],tblSeverityMap[Score],0),0)</f>
        <v/>
      </c>
      <c r="T1365">
        <f>ROUND((M1365*0.25)+(N1365*0.20)+(O1365*0.15)+(P1365*0.15)+(Q1365*0.10)+(R1365*0.10)+(S1365*0.05),2)</f>
        <v/>
      </c>
      <c r="U1365">
        <f>IF(T1365&gt;=4.25,"Critical",IF(T1365&gt;=3.5,"High",IF(T1365&gt;=2,"Medium","Low")))</f>
        <v/>
      </c>
    </row>
    <row r="1366">
      <c r="R1366">
        <f>IFERROR(XLOOKUP(XLOOKUP(D1366,tblReleaseChanges[Change_ID],tblReleaseChanges[Oracle_Severity],""),tblSeverityMap[Severity_Text],tblSeverityMap[Score],0),0)</f>
        <v/>
      </c>
      <c r="T1366">
        <f>ROUND((M1366*0.25)+(N1366*0.20)+(O1366*0.15)+(P1366*0.15)+(Q1366*0.10)+(R1366*0.10)+(S1366*0.05),2)</f>
        <v/>
      </c>
      <c r="U1366">
        <f>IF(T1366&gt;=4.25,"Critical",IF(T1366&gt;=3.5,"High",IF(T1366&gt;=2,"Medium","Low")))</f>
        <v/>
      </c>
    </row>
    <row r="1367">
      <c r="R1367">
        <f>IFERROR(XLOOKUP(XLOOKUP(D1367,tblReleaseChanges[Change_ID],tblReleaseChanges[Oracle_Severity],""),tblSeverityMap[Severity_Text],tblSeverityMap[Score],0),0)</f>
        <v/>
      </c>
      <c r="T1367">
        <f>ROUND((M1367*0.25)+(N1367*0.20)+(O1367*0.15)+(P1367*0.15)+(Q1367*0.10)+(R1367*0.10)+(S1367*0.05),2)</f>
        <v/>
      </c>
      <c r="U1367">
        <f>IF(T1367&gt;=4.25,"Critical",IF(T1367&gt;=3.5,"High",IF(T1367&gt;=2,"Medium","Low")))</f>
        <v/>
      </c>
    </row>
    <row r="1368">
      <c r="R1368">
        <f>IFERROR(XLOOKUP(XLOOKUP(D1368,tblReleaseChanges[Change_ID],tblReleaseChanges[Oracle_Severity],""),tblSeverityMap[Severity_Text],tblSeverityMap[Score],0),0)</f>
        <v/>
      </c>
      <c r="T1368">
        <f>ROUND((M1368*0.25)+(N1368*0.20)+(O1368*0.15)+(P1368*0.15)+(Q1368*0.10)+(R1368*0.10)+(S1368*0.05),2)</f>
        <v/>
      </c>
      <c r="U1368">
        <f>IF(T1368&gt;=4.25,"Critical",IF(T1368&gt;=3.5,"High",IF(T1368&gt;=2,"Medium","Low")))</f>
        <v/>
      </c>
    </row>
    <row r="1369">
      <c r="R1369">
        <f>IFERROR(XLOOKUP(XLOOKUP(D1369,tblReleaseChanges[Change_ID],tblReleaseChanges[Oracle_Severity],""),tblSeverityMap[Severity_Text],tblSeverityMap[Score],0),0)</f>
        <v/>
      </c>
      <c r="T1369">
        <f>ROUND((M1369*0.25)+(N1369*0.20)+(O1369*0.15)+(P1369*0.15)+(Q1369*0.10)+(R1369*0.10)+(S1369*0.05),2)</f>
        <v/>
      </c>
      <c r="U1369">
        <f>IF(T1369&gt;=4.25,"Critical",IF(T1369&gt;=3.5,"High",IF(T1369&gt;=2,"Medium","Low")))</f>
        <v/>
      </c>
    </row>
    <row r="1370">
      <c r="R1370">
        <f>IFERROR(XLOOKUP(XLOOKUP(D1370,tblReleaseChanges[Change_ID],tblReleaseChanges[Oracle_Severity],""),tblSeverityMap[Severity_Text],tblSeverityMap[Score],0),0)</f>
        <v/>
      </c>
      <c r="T1370">
        <f>ROUND((M1370*0.25)+(N1370*0.20)+(O1370*0.15)+(P1370*0.15)+(Q1370*0.10)+(R1370*0.10)+(S1370*0.05),2)</f>
        <v/>
      </c>
      <c r="U1370">
        <f>IF(T1370&gt;=4.25,"Critical",IF(T1370&gt;=3.5,"High",IF(T1370&gt;=2,"Medium","Low")))</f>
        <v/>
      </c>
    </row>
    <row r="1371">
      <c r="R1371">
        <f>IFERROR(XLOOKUP(XLOOKUP(D1371,tblReleaseChanges[Change_ID],tblReleaseChanges[Oracle_Severity],""),tblSeverityMap[Severity_Text],tblSeverityMap[Score],0),0)</f>
        <v/>
      </c>
      <c r="T1371">
        <f>ROUND((M1371*0.25)+(N1371*0.20)+(O1371*0.15)+(P1371*0.15)+(Q1371*0.10)+(R1371*0.10)+(S1371*0.05),2)</f>
        <v/>
      </c>
      <c r="U1371">
        <f>IF(T1371&gt;=4.25,"Critical",IF(T1371&gt;=3.5,"High",IF(T1371&gt;=2,"Medium","Low")))</f>
        <v/>
      </c>
    </row>
    <row r="1372">
      <c r="R1372">
        <f>IFERROR(XLOOKUP(XLOOKUP(D1372,tblReleaseChanges[Change_ID],tblReleaseChanges[Oracle_Severity],""),tblSeverityMap[Severity_Text],tblSeverityMap[Score],0),0)</f>
        <v/>
      </c>
      <c r="T1372">
        <f>ROUND((M1372*0.25)+(N1372*0.20)+(O1372*0.15)+(P1372*0.15)+(Q1372*0.10)+(R1372*0.10)+(S1372*0.05),2)</f>
        <v/>
      </c>
      <c r="U1372">
        <f>IF(T1372&gt;=4.25,"Critical",IF(T1372&gt;=3.5,"High",IF(T1372&gt;=2,"Medium","Low")))</f>
        <v/>
      </c>
    </row>
    <row r="1373">
      <c r="R1373">
        <f>IFERROR(XLOOKUP(XLOOKUP(D1373,tblReleaseChanges[Change_ID],tblReleaseChanges[Oracle_Severity],""),tblSeverityMap[Severity_Text],tblSeverityMap[Score],0),0)</f>
        <v/>
      </c>
      <c r="T1373">
        <f>ROUND((M1373*0.25)+(N1373*0.20)+(O1373*0.15)+(P1373*0.15)+(Q1373*0.10)+(R1373*0.10)+(S1373*0.05),2)</f>
        <v/>
      </c>
      <c r="U1373">
        <f>IF(T1373&gt;=4.25,"Critical",IF(T1373&gt;=3.5,"High",IF(T1373&gt;=2,"Medium","Low")))</f>
        <v/>
      </c>
    </row>
    <row r="1374">
      <c r="R1374">
        <f>IFERROR(XLOOKUP(XLOOKUP(D1374,tblReleaseChanges[Change_ID],tblReleaseChanges[Oracle_Severity],""),tblSeverityMap[Severity_Text],tblSeverityMap[Score],0),0)</f>
        <v/>
      </c>
      <c r="T1374">
        <f>ROUND((M1374*0.25)+(N1374*0.20)+(O1374*0.15)+(P1374*0.15)+(Q1374*0.10)+(R1374*0.10)+(S1374*0.05),2)</f>
        <v/>
      </c>
      <c r="U1374">
        <f>IF(T1374&gt;=4.25,"Critical",IF(T1374&gt;=3.5,"High",IF(T1374&gt;=2,"Medium","Low")))</f>
        <v/>
      </c>
    </row>
    <row r="1375">
      <c r="R1375">
        <f>IFERROR(XLOOKUP(XLOOKUP(D1375,tblReleaseChanges[Change_ID],tblReleaseChanges[Oracle_Severity],""),tblSeverityMap[Severity_Text],tblSeverityMap[Score],0),0)</f>
        <v/>
      </c>
      <c r="T1375">
        <f>ROUND((M1375*0.25)+(N1375*0.20)+(O1375*0.15)+(P1375*0.15)+(Q1375*0.10)+(R1375*0.10)+(S1375*0.05),2)</f>
        <v/>
      </c>
      <c r="U1375">
        <f>IF(T1375&gt;=4.25,"Critical",IF(T1375&gt;=3.5,"High",IF(T1375&gt;=2,"Medium","Low")))</f>
        <v/>
      </c>
    </row>
    <row r="1376">
      <c r="R1376">
        <f>IFERROR(XLOOKUP(XLOOKUP(D1376,tblReleaseChanges[Change_ID],tblReleaseChanges[Oracle_Severity],""),tblSeverityMap[Severity_Text],tblSeverityMap[Score],0),0)</f>
        <v/>
      </c>
      <c r="T1376">
        <f>ROUND((M1376*0.25)+(N1376*0.20)+(O1376*0.15)+(P1376*0.15)+(Q1376*0.10)+(R1376*0.10)+(S1376*0.05),2)</f>
        <v/>
      </c>
      <c r="U1376">
        <f>IF(T1376&gt;=4.25,"Critical",IF(T1376&gt;=3.5,"High",IF(T1376&gt;=2,"Medium","Low")))</f>
        <v/>
      </c>
    </row>
    <row r="1377">
      <c r="R1377">
        <f>IFERROR(XLOOKUP(XLOOKUP(D1377,tblReleaseChanges[Change_ID],tblReleaseChanges[Oracle_Severity],""),tblSeverityMap[Severity_Text],tblSeverityMap[Score],0),0)</f>
        <v/>
      </c>
      <c r="T1377">
        <f>ROUND((M1377*0.25)+(N1377*0.20)+(O1377*0.15)+(P1377*0.15)+(Q1377*0.10)+(R1377*0.10)+(S1377*0.05),2)</f>
        <v/>
      </c>
      <c r="U1377">
        <f>IF(T1377&gt;=4.25,"Critical",IF(T1377&gt;=3.5,"High",IF(T1377&gt;=2,"Medium","Low")))</f>
        <v/>
      </c>
    </row>
    <row r="1378">
      <c r="R1378">
        <f>IFERROR(XLOOKUP(XLOOKUP(D1378,tblReleaseChanges[Change_ID],tblReleaseChanges[Oracle_Severity],""),tblSeverityMap[Severity_Text],tblSeverityMap[Score],0),0)</f>
        <v/>
      </c>
      <c r="T1378">
        <f>ROUND((M1378*0.25)+(N1378*0.20)+(O1378*0.15)+(P1378*0.15)+(Q1378*0.10)+(R1378*0.10)+(S1378*0.05),2)</f>
        <v/>
      </c>
      <c r="U1378">
        <f>IF(T1378&gt;=4.25,"Critical",IF(T1378&gt;=3.5,"High",IF(T1378&gt;=2,"Medium","Low")))</f>
        <v/>
      </c>
    </row>
    <row r="1379">
      <c r="R1379">
        <f>IFERROR(XLOOKUP(XLOOKUP(D1379,tblReleaseChanges[Change_ID],tblReleaseChanges[Oracle_Severity],""),tblSeverityMap[Severity_Text],tblSeverityMap[Score],0),0)</f>
        <v/>
      </c>
      <c r="T1379">
        <f>ROUND((M1379*0.25)+(N1379*0.20)+(O1379*0.15)+(P1379*0.15)+(Q1379*0.10)+(R1379*0.10)+(S1379*0.05),2)</f>
        <v/>
      </c>
      <c r="U1379">
        <f>IF(T1379&gt;=4.25,"Critical",IF(T1379&gt;=3.5,"High",IF(T1379&gt;=2,"Medium","Low")))</f>
        <v/>
      </c>
    </row>
    <row r="1380">
      <c r="R1380">
        <f>IFERROR(XLOOKUP(XLOOKUP(D1380,tblReleaseChanges[Change_ID],tblReleaseChanges[Oracle_Severity],""),tblSeverityMap[Severity_Text],tblSeverityMap[Score],0),0)</f>
        <v/>
      </c>
      <c r="T1380">
        <f>ROUND((M1380*0.25)+(N1380*0.20)+(O1380*0.15)+(P1380*0.15)+(Q1380*0.10)+(R1380*0.10)+(S1380*0.05),2)</f>
        <v/>
      </c>
      <c r="U1380">
        <f>IF(T1380&gt;=4.25,"Critical",IF(T1380&gt;=3.5,"High",IF(T1380&gt;=2,"Medium","Low")))</f>
        <v/>
      </c>
    </row>
    <row r="1381">
      <c r="R1381">
        <f>IFERROR(XLOOKUP(XLOOKUP(D1381,tblReleaseChanges[Change_ID],tblReleaseChanges[Oracle_Severity],""),tblSeverityMap[Severity_Text],tblSeverityMap[Score],0),0)</f>
        <v/>
      </c>
      <c r="T1381">
        <f>ROUND((M1381*0.25)+(N1381*0.20)+(O1381*0.15)+(P1381*0.15)+(Q1381*0.10)+(R1381*0.10)+(S1381*0.05),2)</f>
        <v/>
      </c>
      <c r="U1381">
        <f>IF(T1381&gt;=4.25,"Critical",IF(T1381&gt;=3.5,"High",IF(T1381&gt;=2,"Medium","Low")))</f>
        <v/>
      </c>
    </row>
    <row r="1382">
      <c r="R1382">
        <f>IFERROR(XLOOKUP(XLOOKUP(D1382,tblReleaseChanges[Change_ID],tblReleaseChanges[Oracle_Severity],""),tblSeverityMap[Severity_Text],tblSeverityMap[Score],0),0)</f>
        <v/>
      </c>
      <c r="T1382">
        <f>ROUND((M1382*0.25)+(N1382*0.20)+(O1382*0.15)+(P1382*0.15)+(Q1382*0.10)+(R1382*0.10)+(S1382*0.05),2)</f>
        <v/>
      </c>
      <c r="U1382">
        <f>IF(T1382&gt;=4.25,"Critical",IF(T1382&gt;=3.5,"High",IF(T1382&gt;=2,"Medium","Low")))</f>
        <v/>
      </c>
    </row>
    <row r="1383">
      <c r="R1383">
        <f>IFERROR(XLOOKUP(XLOOKUP(D1383,tblReleaseChanges[Change_ID],tblReleaseChanges[Oracle_Severity],""),tblSeverityMap[Severity_Text],tblSeverityMap[Score],0),0)</f>
        <v/>
      </c>
      <c r="T1383">
        <f>ROUND((M1383*0.25)+(N1383*0.20)+(O1383*0.15)+(P1383*0.15)+(Q1383*0.10)+(R1383*0.10)+(S1383*0.05),2)</f>
        <v/>
      </c>
      <c r="U1383">
        <f>IF(T1383&gt;=4.25,"Critical",IF(T1383&gt;=3.5,"High",IF(T1383&gt;=2,"Medium","Low")))</f>
        <v/>
      </c>
    </row>
    <row r="1384">
      <c r="R1384">
        <f>IFERROR(XLOOKUP(XLOOKUP(D1384,tblReleaseChanges[Change_ID],tblReleaseChanges[Oracle_Severity],""),tblSeverityMap[Severity_Text],tblSeverityMap[Score],0),0)</f>
        <v/>
      </c>
      <c r="T1384">
        <f>ROUND((M1384*0.25)+(N1384*0.20)+(O1384*0.15)+(P1384*0.15)+(Q1384*0.10)+(R1384*0.10)+(S1384*0.05),2)</f>
        <v/>
      </c>
      <c r="U1384">
        <f>IF(T1384&gt;=4.25,"Critical",IF(T1384&gt;=3.5,"High",IF(T1384&gt;=2,"Medium","Low")))</f>
        <v/>
      </c>
    </row>
    <row r="1385">
      <c r="R1385">
        <f>IFERROR(XLOOKUP(XLOOKUP(D1385,tblReleaseChanges[Change_ID],tblReleaseChanges[Oracle_Severity],""),tblSeverityMap[Severity_Text],tblSeverityMap[Score],0),0)</f>
        <v/>
      </c>
      <c r="T1385">
        <f>ROUND((M1385*0.25)+(N1385*0.20)+(O1385*0.15)+(P1385*0.15)+(Q1385*0.10)+(R1385*0.10)+(S1385*0.05),2)</f>
        <v/>
      </c>
      <c r="U1385">
        <f>IF(T1385&gt;=4.25,"Critical",IF(T1385&gt;=3.5,"High",IF(T1385&gt;=2,"Medium","Low")))</f>
        <v/>
      </c>
    </row>
    <row r="1386">
      <c r="R1386">
        <f>IFERROR(XLOOKUP(XLOOKUP(D1386,tblReleaseChanges[Change_ID],tblReleaseChanges[Oracle_Severity],""),tblSeverityMap[Severity_Text],tblSeverityMap[Score],0),0)</f>
        <v/>
      </c>
      <c r="T1386">
        <f>ROUND((M1386*0.25)+(N1386*0.20)+(O1386*0.15)+(P1386*0.15)+(Q1386*0.10)+(R1386*0.10)+(S1386*0.05),2)</f>
        <v/>
      </c>
      <c r="U1386">
        <f>IF(T1386&gt;=4.25,"Critical",IF(T1386&gt;=3.5,"High",IF(T1386&gt;=2,"Medium","Low")))</f>
        <v/>
      </c>
    </row>
    <row r="1387">
      <c r="R1387">
        <f>IFERROR(XLOOKUP(XLOOKUP(D1387,tblReleaseChanges[Change_ID],tblReleaseChanges[Oracle_Severity],""),tblSeverityMap[Severity_Text],tblSeverityMap[Score],0),0)</f>
        <v/>
      </c>
      <c r="T1387">
        <f>ROUND((M1387*0.25)+(N1387*0.20)+(O1387*0.15)+(P1387*0.15)+(Q1387*0.10)+(R1387*0.10)+(S1387*0.05),2)</f>
        <v/>
      </c>
      <c r="U1387">
        <f>IF(T1387&gt;=4.25,"Critical",IF(T1387&gt;=3.5,"High",IF(T1387&gt;=2,"Medium","Low")))</f>
        <v/>
      </c>
    </row>
    <row r="1388">
      <c r="R1388">
        <f>IFERROR(XLOOKUP(XLOOKUP(D1388,tblReleaseChanges[Change_ID],tblReleaseChanges[Oracle_Severity],""),tblSeverityMap[Severity_Text],tblSeverityMap[Score],0),0)</f>
        <v/>
      </c>
      <c r="T1388">
        <f>ROUND((M1388*0.25)+(N1388*0.20)+(O1388*0.15)+(P1388*0.15)+(Q1388*0.10)+(R1388*0.10)+(S1388*0.05),2)</f>
        <v/>
      </c>
      <c r="U1388">
        <f>IF(T1388&gt;=4.25,"Critical",IF(T1388&gt;=3.5,"High",IF(T1388&gt;=2,"Medium","Low")))</f>
        <v/>
      </c>
    </row>
    <row r="1389">
      <c r="R1389">
        <f>IFERROR(XLOOKUP(XLOOKUP(D1389,tblReleaseChanges[Change_ID],tblReleaseChanges[Oracle_Severity],""),tblSeverityMap[Severity_Text],tblSeverityMap[Score],0),0)</f>
        <v/>
      </c>
      <c r="T1389">
        <f>ROUND((M1389*0.25)+(N1389*0.20)+(O1389*0.15)+(P1389*0.15)+(Q1389*0.10)+(R1389*0.10)+(S1389*0.05),2)</f>
        <v/>
      </c>
      <c r="U1389">
        <f>IF(T1389&gt;=4.25,"Critical",IF(T1389&gt;=3.5,"High",IF(T1389&gt;=2,"Medium","Low")))</f>
        <v/>
      </c>
    </row>
    <row r="1390">
      <c r="R1390">
        <f>IFERROR(XLOOKUP(XLOOKUP(D1390,tblReleaseChanges[Change_ID],tblReleaseChanges[Oracle_Severity],""),tblSeverityMap[Severity_Text],tblSeverityMap[Score],0),0)</f>
        <v/>
      </c>
      <c r="T1390">
        <f>ROUND((M1390*0.25)+(N1390*0.20)+(O1390*0.15)+(P1390*0.15)+(Q1390*0.10)+(R1390*0.10)+(S1390*0.05),2)</f>
        <v/>
      </c>
      <c r="U1390">
        <f>IF(T1390&gt;=4.25,"Critical",IF(T1390&gt;=3.5,"High",IF(T1390&gt;=2,"Medium","Low")))</f>
        <v/>
      </c>
    </row>
    <row r="1391">
      <c r="R1391">
        <f>IFERROR(XLOOKUP(XLOOKUP(D1391,tblReleaseChanges[Change_ID],tblReleaseChanges[Oracle_Severity],""),tblSeverityMap[Severity_Text],tblSeverityMap[Score],0),0)</f>
        <v/>
      </c>
      <c r="T1391">
        <f>ROUND((M1391*0.25)+(N1391*0.20)+(O1391*0.15)+(P1391*0.15)+(Q1391*0.10)+(R1391*0.10)+(S1391*0.05),2)</f>
        <v/>
      </c>
      <c r="U1391">
        <f>IF(T1391&gt;=4.25,"Critical",IF(T1391&gt;=3.5,"High",IF(T1391&gt;=2,"Medium","Low")))</f>
        <v/>
      </c>
    </row>
    <row r="1392">
      <c r="R1392">
        <f>IFERROR(XLOOKUP(XLOOKUP(D1392,tblReleaseChanges[Change_ID],tblReleaseChanges[Oracle_Severity],""),tblSeverityMap[Severity_Text],tblSeverityMap[Score],0),0)</f>
        <v/>
      </c>
      <c r="T1392">
        <f>ROUND((M1392*0.25)+(N1392*0.20)+(O1392*0.15)+(P1392*0.15)+(Q1392*0.10)+(R1392*0.10)+(S1392*0.05),2)</f>
        <v/>
      </c>
      <c r="U1392">
        <f>IF(T1392&gt;=4.25,"Critical",IF(T1392&gt;=3.5,"High",IF(T1392&gt;=2,"Medium","Low")))</f>
        <v/>
      </c>
    </row>
    <row r="1393">
      <c r="R1393">
        <f>IFERROR(XLOOKUP(XLOOKUP(D1393,tblReleaseChanges[Change_ID],tblReleaseChanges[Oracle_Severity],""),tblSeverityMap[Severity_Text],tblSeverityMap[Score],0),0)</f>
        <v/>
      </c>
      <c r="T1393">
        <f>ROUND((M1393*0.25)+(N1393*0.20)+(O1393*0.15)+(P1393*0.15)+(Q1393*0.10)+(R1393*0.10)+(S1393*0.05),2)</f>
        <v/>
      </c>
      <c r="U1393">
        <f>IF(T1393&gt;=4.25,"Critical",IF(T1393&gt;=3.5,"High",IF(T1393&gt;=2,"Medium","Low")))</f>
        <v/>
      </c>
    </row>
    <row r="1394">
      <c r="R1394">
        <f>IFERROR(XLOOKUP(XLOOKUP(D1394,tblReleaseChanges[Change_ID],tblReleaseChanges[Oracle_Severity],""),tblSeverityMap[Severity_Text],tblSeverityMap[Score],0),0)</f>
        <v/>
      </c>
      <c r="T1394">
        <f>ROUND((M1394*0.25)+(N1394*0.20)+(O1394*0.15)+(P1394*0.15)+(Q1394*0.10)+(R1394*0.10)+(S1394*0.05),2)</f>
        <v/>
      </c>
      <c r="U1394">
        <f>IF(T1394&gt;=4.25,"Critical",IF(T1394&gt;=3.5,"High",IF(T1394&gt;=2,"Medium","Low")))</f>
        <v/>
      </c>
    </row>
    <row r="1395">
      <c r="R1395">
        <f>IFERROR(XLOOKUP(XLOOKUP(D1395,tblReleaseChanges[Change_ID],tblReleaseChanges[Oracle_Severity],""),tblSeverityMap[Severity_Text],tblSeverityMap[Score],0),0)</f>
        <v/>
      </c>
      <c r="T1395">
        <f>ROUND((M1395*0.25)+(N1395*0.20)+(O1395*0.15)+(P1395*0.15)+(Q1395*0.10)+(R1395*0.10)+(S1395*0.05),2)</f>
        <v/>
      </c>
      <c r="U1395">
        <f>IF(T1395&gt;=4.25,"Critical",IF(T1395&gt;=3.5,"High",IF(T1395&gt;=2,"Medium","Low")))</f>
        <v/>
      </c>
    </row>
    <row r="1396">
      <c r="R1396">
        <f>IFERROR(XLOOKUP(XLOOKUP(D1396,tblReleaseChanges[Change_ID],tblReleaseChanges[Oracle_Severity],""),tblSeverityMap[Severity_Text],tblSeverityMap[Score],0),0)</f>
        <v/>
      </c>
      <c r="T1396">
        <f>ROUND((M1396*0.25)+(N1396*0.20)+(O1396*0.15)+(P1396*0.15)+(Q1396*0.10)+(R1396*0.10)+(S1396*0.05),2)</f>
        <v/>
      </c>
      <c r="U1396">
        <f>IF(T1396&gt;=4.25,"Critical",IF(T1396&gt;=3.5,"High",IF(T1396&gt;=2,"Medium","Low")))</f>
        <v/>
      </c>
    </row>
    <row r="1397">
      <c r="R1397">
        <f>IFERROR(XLOOKUP(XLOOKUP(D1397,tblReleaseChanges[Change_ID],tblReleaseChanges[Oracle_Severity],""),tblSeverityMap[Severity_Text],tblSeverityMap[Score],0),0)</f>
        <v/>
      </c>
      <c r="T1397">
        <f>ROUND((M1397*0.25)+(N1397*0.20)+(O1397*0.15)+(P1397*0.15)+(Q1397*0.10)+(R1397*0.10)+(S1397*0.05),2)</f>
        <v/>
      </c>
      <c r="U1397">
        <f>IF(T1397&gt;=4.25,"Critical",IF(T1397&gt;=3.5,"High",IF(T1397&gt;=2,"Medium","Low")))</f>
        <v/>
      </c>
    </row>
    <row r="1398">
      <c r="R1398">
        <f>IFERROR(XLOOKUP(XLOOKUP(D1398,tblReleaseChanges[Change_ID],tblReleaseChanges[Oracle_Severity],""),tblSeverityMap[Severity_Text],tblSeverityMap[Score],0),0)</f>
        <v/>
      </c>
      <c r="T1398">
        <f>ROUND((M1398*0.25)+(N1398*0.20)+(O1398*0.15)+(P1398*0.15)+(Q1398*0.10)+(R1398*0.10)+(S1398*0.05),2)</f>
        <v/>
      </c>
      <c r="U1398">
        <f>IF(T1398&gt;=4.25,"Critical",IF(T1398&gt;=3.5,"High",IF(T1398&gt;=2,"Medium","Low")))</f>
        <v/>
      </c>
    </row>
    <row r="1399">
      <c r="R1399">
        <f>IFERROR(XLOOKUP(XLOOKUP(D1399,tblReleaseChanges[Change_ID],tblReleaseChanges[Oracle_Severity],""),tblSeverityMap[Severity_Text],tblSeverityMap[Score],0),0)</f>
        <v/>
      </c>
      <c r="T1399">
        <f>ROUND((M1399*0.25)+(N1399*0.20)+(O1399*0.15)+(P1399*0.15)+(Q1399*0.10)+(R1399*0.10)+(S1399*0.05),2)</f>
        <v/>
      </c>
      <c r="U1399">
        <f>IF(T1399&gt;=4.25,"Critical",IF(T1399&gt;=3.5,"High",IF(T1399&gt;=2,"Medium","Low")))</f>
        <v/>
      </c>
    </row>
    <row r="1400">
      <c r="R1400">
        <f>IFERROR(XLOOKUP(XLOOKUP(D1400,tblReleaseChanges[Change_ID],tblReleaseChanges[Oracle_Severity],""),tblSeverityMap[Severity_Text],tblSeverityMap[Score],0),0)</f>
        <v/>
      </c>
      <c r="T1400">
        <f>ROUND((M1400*0.25)+(N1400*0.20)+(O1400*0.15)+(P1400*0.15)+(Q1400*0.10)+(R1400*0.10)+(S1400*0.05),2)</f>
        <v/>
      </c>
      <c r="U1400">
        <f>IF(T1400&gt;=4.25,"Critical",IF(T1400&gt;=3.5,"High",IF(T1400&gt;=2,"Medium","Low")))</f>
        <v/>
      </c>
    </row>
    <row r="1401">
      <c r="R1401">
        <f>IFERROR(XLOOKUP(XLOOKUP(D1401,tblReleaseChanges[Change_ID],tblReleaseChanges[Oracle_Severity],""),tblSeverityMap[Severity_Text],tblSeverityMap[Score],0),0)</f>
        <v/>
      </c>
      <c r="T1401">
        <f>ROUND((M1401*0.25)+(N1401*0.20)+(O1401*0.15)+(P1401*0.15)+(Q1401*0.10)+(R1401*0.10)+(S1401*0.05),2)</f>
        <v/>
      </c>
      <c r="U1401">
        <f>IF(T1401&gt;=4.25,"Critical",IF(T1401&gt;=3.5,"High",IF(T1401&gt;=2,"Medium","Low")))</f>
        <v/>
      </c>
    </row>
    <row r="1402">
      <c r="R1402">
        <f>IFERROR(XLOOKUP(XLOOKUP(D1402,tblReleaseChanges[Change_ID],tblReleaseChanges[Oracle_Severity],""),tblSeverityMap[Severity_Text],tblSeverityMap[Score],0),0)</f>
        <v/>
      </c>
      <c r="T1402">
        <f>ROUND((M1402*0.25)+(N1402*0.20)+(O1402*0.15)+(P1402*0.15)+(Q1402*0.10)+(R1402*0.10)+(S1402*0.05),2)</f>
        <v/>
      </c>
      <c r="U1402">
        <f>IF(T1402&gt;=4.25,"Critical",IF(T1402&gt;=3.5,"High",IF(T1402&gt;=2,"Medium","Low")))</f>
        <v/>
      </c>
    </row>
    <row r="1403">
      <c r="R1403">
        <f>IFERROR(XLOOKUP(XLOOKUP(D1403,tblReleaseChanges[Change_ID],tblReleaseChanges[Oracle_Severity],""),tblSeverityMap[Severity_Text],tblSeverityMap[Score],0),0)</f>
        <v/>
      </c>
      <c r="T1403">
        <f>ROUND((M1403*0.25)+(N1403*0.20)+(O1403*0.15)+(P1403*0.15)+(Q1403*0.10)+(R1403*0.10)+(S1403*0.05),2)</f>
        <v/>
      </c>
      <c r="U1403">
        <f>IF(T1403&gt;=4.25,"Critical",IF(T1403&gt;=3.5,"High",IF(T1403&gt;=2,"Medium","Low")))</f>
        <v/>
      </c>
    </row>
    <row r="1404">
      <c r="R1404">
        <f>IFERROR(XLOOKUP(XLOOKUP(D1404,tblReleaseChanges[Change_ID],tblReleaseChanges[Oracle_Severity],""),tblSeverityMap[Severity_Text],tblSeverityMap[Score],0),0)</f>
        <v/>
      </c>
      <c r="T1404">
        <f>ROUND((M1404*0.25)+(N1404*0.20)+(O1404*0.15)+(P1404*0.15)+(Q1404*0.10)+(R1404*0.10)+(S1404*0.05),2)</f>
        <v/>
      </c>
      <c r="U1404">
        <f>IF(T1404&gt;=4.25,"Critical",IF(T1404&gt;=3.5,"High",IF(T1404&gt;=2,"Medium","Low")))</f>
        <v/>
      </c>
    </row>
    <row r="1405">
      <c r="R1405">
        <f>IFERROR(XLOOKUP(XLOOKUP(D1405,tblReleaseChanges[Change_ID],tblReleaseChanges[Oracle_Severity],""),tblSeverityMap[Severity_Text],tblSeverityMap[Score],0),0)</f>
        <v/>
      </c>
      <c r="T1405">
        <f>ROUND((M1405*0.25)+(N1405*0.20)+(O1405*0.15)+(P1405*0.15)+(Q1405*0.10)+(R1405*0.10)+(S1405*0.05),2)</f>
        <v/>
      </c>
      <c r="U1405">
        <f>IF(T1405&gt;=4.25,"Critical",IF(T1405&gt;=3.5,"High",IF(T1405&gt;=2,"Medium","Low")))</f>
        <v/>
      </c>
    </row>
    <row r="1406">
      <c r="R1406">
        <f>IFERROR(XLOOKUP(XLOOKUP(D1406,tblReleaseChanges[Change_ID],tblReleaseChanges[Oracle_Severity],""),tblSeverityMap[Severity_Text],tblSeverityMap[Score],0),0)</f>
        <v/>
      </c>
      <c r="T1406">
        <f>ROUND((M1406*0.25)+(N1406*0.20)+(O1406*0.15)+(P1406*0.15)+(Q1406*0.10)+(R1406*0.10)+(S1406*0.05),2)</f>
        <v/>
      </c>
      <c r="U1406">
        <f>IF(T1406&gt;=4.25,"Critical",IF(T1406&gt;=3.5,"High",IF(T1406&gt;=2,"Medium","Low")))</f>
        <v/>
      </c>
    </row>
    <row r="1407">
      <c r="R1407">
        <f>IFERROR(XLOOKUP(XLOOKUP(D1407,tblReleaseChanges[Change_ID],tblReleaseChanges[Oracle_Severity],""),tblSeverityMap[Severity_Text],tblSeverityMap[Score],0),0)</f>
        <v/>
      </c>
      <c r="T1407">
        <f>ROUND((M1407*0.25)+(N1407*0.20)+(O1407*0.15)+(P1407*0.15)+(Q1407*0.10)+(R1407*0.10)+(S1407*0.05),2)</f>
        <v/>
      </c>
      <c r="U1407">
        <f>IF(T1407&gt;=4.25,"Critical",IF(T1407&gt;=3.5,"High",IF(T1407&gt;=2,"Medium","Low")))</f>
        <v/>
      </c>
    </row>
    <row r="1408">
      <c r="R1408">
        <f>IFERROR(XLOOKUP(XLOOKUP(D1408,tblReleaseChanges[Change_ID],tblReleaseChanges[Oracle_Severity],""),tblSeverityMap[Severity_Text],tblSeverityMap[Score],0),0)</f>
        <v/>
      </c>
      <c r="T1408">
        <f>ROUND((M1408*0.25)+(N1408*0.20)+(O1408*0.15)+(P1408*0.15)+(Q1408*0.10)+(R1408*0.10)+(S1408*0.05),2)</f>
        <v/>
      </c>
      <c r="U1408">
        <f>IF(T1408&gt;=4.25,"Critical",IF(T1408&gt;=3.5,"High",IF(T1408&gt;=2,"Medium","Low")))</f>
        <v/>
      </c>
    </row>
    <row r="1409">
      <c r="R1409">
        <f>IFERROR(XLOOKUP(XLOOKUP(D1409,tblReleaseChanges[Change_ID],tblReleaseChanges[Oracle_Severity],""),tblSeverityMap[Severity_Text],tblSeverityMap[Score],0),0)</f>
        <v/>
      </c>
      <c r="T1409">
        <f>ROUND((M1409*0.25)+(N1409*0.20)+(O1409*0.15)+(P1409*0.15)+(Q1409*0.10)+(R1409*0.10)+(S1409*0.05),2)</f>
        <v/>
      </c>
      <c r="U1409">
        <f>IF(T1409&gt;=4.25,"Critical",IF(T1409&gt;=3.5,"High",IF(T1409&gt;=2,"Medium","Low")))</f>
        <v/>
      </c>
    </row>
    <row r="1410">
      <c r="R1410">
        <f>IFERROR(XLOOKUP(XLOOKUP(D1410,tblReleaseChanges[Change_ID],tblReleaseChanges[Oracle_Severity],""),tblSeverityMap[Severity_Text],tblSeverityMap[Score],0),0)</f>
        <v/>
      </c>
      <c r="T1410">
        <f>ROUND((M1410*0.25)+(N1410*0.20)+(O1410*0.15)+(P1410*0.15)+(Q1410*0.10)+(R1410*0.10)+(S1410*0.05),2)</f>
        <v/>
      </c>
      <c r="U1410">
        <f>IF(T1410&gt;=4.25,"Critical",IF(T1410&gt;=3.5,"High",IF(T1410&gt;=2,"Medium","Low")))</f>
        <v/>
      </c>
    </row>
    <row r="1411">
      <c r="R1411">
        <f>IFERROR(XLOOKUP(XLOOKUP(D1411,tblReleaseChanges[Change_ID],tblReleaseChanges[Oracle_Severity],""),tblSeverityMap[Severity_Text],tblSeverityMap[Score],0),0)</f>
        <v/>
      </c>
      <c r="T1411">
        <f>ROUND((M1411*0.25)+(N1411*0.20)+(O1411*0.15)+(P1411*0.15)+(Q1411*0.10)+(R1411*0.10)+(S1411*0.05),2)</f>
        <v/>
      </c>
      <c r="U1411">
        <f>IF(T1411&gt;=4.25,"Critical",IF(T1411&gt;=3.5,"High",IF(T1411&gt;=2,"Medium","Low")))</f>
        <v/>
      </c>
    </row>
    <row r="1412">
      <c r="R1412">
        <f>IFERROR(XLOOKUP(XLOOKUP(D1412,tblReleaseChanges[Change_ID],tblReleaseChanges[Oracle_Severity],""),tblSeverityMap[Severity_Text],tblSeverityMap[Score],0),0)</f>
        <v/>
      </c>
      <c r="T1412">
        <f>ROUND((M1412*0.25)+(N1412*0.20)+(O1412*0.15)+(P1412*0.15)+(Q1412*0.10)+(R1412*0.10)+(S1412*0.05),2)</f>
        <v/>
      </c>
      <c r="U1412">
        <f>IF(T1412&gt;=4.25,"Critical",IF(T1412&gt;=3.5,"High",IF(T1412&gt;=2,"Medium","Low")))</f>
        <v/>
      </c>
    </row>
    <row r="1413">
      <c r="R1413">
        <f>IFERROR(XLOOKUP(XLOOKUP(D1413,tblReleaseChanges[Change_ID],tblReleaseChanges[Oracle_Severity],""),tblSeverityMap[Severity_Text],tblSeverityMap[Score],0),0)</f>
        <v/>
      </c>
      <c r="T1413">
        <f>ROUND((M1413*0.25)+(N1413*0.20)+(O1413*0.15)+(P1413*0.15)+(Q1413*0.10)+(R1413*0.10)+(S1413*0.05),2)</f>
        <v/>
      </c>
      <c r="U1413">
        <f>IF(T1413&gt;=4.25,"Critical",IF(T1413&gt;=3.5,"High",IF(T1413&gt;=2,"Medium","Low")))</f>
        <v/>
      </c>
    </row>
    <row r="1414">
      <c r="R1414">
        <f>IFERROR(XLOOKUP(XLOOKUP(D1414,tblReleaseChanges[Change_ID],tblReleaseChanges[Oracle_Severity],""),tblSeverityMap[Severity_Text],tblSeverityMap[Score],0),0)</f>
        <v/>
      </c>
      <c r="T1414">
        <f>ROUND((M1414*0.25)+(N1414*0.20)+(O1414*0.15)+(P1414*0.15)+(Q1414*0.10)+(R1414*0.10)+(S1414*0.05),2)</f>
        <v/>
      </c>
      <c r="U1414">
        <f>IF(T1414&gt;=4.25,"Critical",IF(T1414&gt;=3.5,"High",IF(T1414&gt;=2,"Medium","Low")))</f>
        <v/>
      </c>
    </row>
    <row r="1415">
      <c r="R1415">
        <f>IFERROR(XLOOKUP(XLOOKUP(D1415,tblReleaseChanges[Change_ID],tblReleaseChanges[Oracle_Severity],""),tblSeverityMap[Severity_Text],tblSeverityMap[Score],0),0)</f>
        <v/>
      </c>
      <c r="T1415">
        <f>ROUND((M1415*0.25)+(N1415*0.20)+(O1415*0.15)+(P1415*0.15)+(Q1415*0.10)+(R1415*0.10)+(S1415*0.05),2)</f>
        <v/>
      </c>
      <c r="U1415">
        <f>IF(T1415&gt;=4.25,"Critical",IF(T1415&gt;=3.5,"High",IF(T1415&gt;=2,"Medium","Low")))</f>
        <v/>
      </c>
    </row>
    <row r="1416">
      <c r="R1416">
        <f>IFERROR(XLOOKUP(XLOOKUP(D1416,tblReleaseChanges[Change_ID],tblReleaseChanges[Oracle_Severity],""),tblSeverityMap[Severity_Text],tblSeverityMap[Score],0),0)</f>
        <v/>
      </c>
      <c r="T1416">
        <f>ROUND((M1416*0.25)+(N1416*0.20)+(O1416*0.15)+(P1416*0.15)+(Q1416*0.10)+(R1416*0.10)+(S1416*0.05),2)</f>
        <v/>
      </c>
      <c r="U1416">
        <f>IF(T1416&gt;=4.25,"Critical",IF(T1416&gt;=3.5,"High",IF(T1416&gt;=2,"Medium","Low")))</f>
        <v/>
      </c>
    </row>
    <row r="1417">
      <c r="R1417">
        <f>IFERROR(XLOOKUP(XLOOKUP(D1417,tblReleaseChanges[Change_ID],tblReleaseChanges[Oracle_Severity],""),tblSeverityMap[Severity_Text],tblSeverityMap[Score],0),0)</f>
        <v/>
      </c>
      <c r="T1417">
        <f>ROUND((M1417*0.25)+(N1417*0.20)+(O1417*0.15)+(P1417*0.15)+(Q1417*0.10)+(R1417*0.10)+(S1417*0.05),2)</f>
        <v/>
      </c>
      <c r="U1417">
        <f>IF(T1417&gt;=4.25,"Critical",IF(T1417&gt;=3.5,"High",IF(T1417&gt;=2,"Medium","Low")))</f>
        <v/>
      </c>
    </row>
    <row r="1418">
      <c r="R1418">
        <f>IFERROR(XLOOKUP(XLOOKUP(D1418,tblReleaseChanges[Change_ID],tblReleaseChanges[Oracle_Severity],""),tblSeverityMap[Severity_Text],tblSeverityMap[Score],0),0)</f>
        <v/>
      </c>
      <c r="T1418">
        <f>ROUND((M1418*0.25)+(N1418*0.20)+(O1418*0.15)+(P1418*0.15)+(Q1418*0.10)+(R1418*0.10)+(S1418*0.05),2)</f>
        <v/>
      </c>
      <c r="U1418">
        <f>IF(T1418&gt;=4.25,"Critical",IF(T1418&gt;=3.5,"High",IF(T1418&gt;=2,"Medium","Low")))</f>
        <v/>
      </c>
    </row>
    <row r="1419">
      <c r="R1419">
        <f>IFERROR(XLOOKUP(XLOOKUP(D1419,tblReleaseChanges[Change_ID],tblReleaseChanges[Oracle_Severity],""),tblSeverityMap[Severity_Text],tblSeverityMap[Score],0),0)</f>
        <v/>
      </c>
      <c r="T1419">
        <f>ROUND((M1419*0.25)+(N1419*0.20)+(O1419*0.15)+(P1419*0.15)+(Q1419*0.10)+(R1419*0.10)+(S1419*0.05),2)</f>
        <v/>
      </c>
      <c r="U1419">
        <f>IF(T1419&gt;=4.25,"Critical",IF(T1419&gt;=3.5,"High",IF(T1419&gt;=2,"Medium","Low")))</f>
        <v/>
      </c>
    </row>
    <row r="1420">
      <c r="R1420">
        <f>IFERROR(XLOOKUP(XLOOKUP(D1420,tblReleaseChanges[Change_ID],tblReleaseChanges[Oracle_Severity],""),tblSeverityMap[Severity_Text],tblSeverityMap[Score],0),0)</f>
        <v/>
      </c>
      <c r="T1420">
        <f>ROUND((M1420*0.25)+(N1420*0.20)+(O1420*0.15)+(P1420*0.15)+(Q1420*0.10)+(R1420*0.10)+(S1420*0.05),2)</f>
        <v/>
      </c>
      <c r="U1420">
        <f>IF(T1420&gt;=4.25,"Critical",IF(T1420&gt;=3.5,"High",IF(T1420&gt;=2,"Medium","Low")))</f>
        <v/>
      </c>
    </row>
    <row r="1421">
      <c r="R1421">
        <f>IFERROR(XLOOKUP(XLOOKUP(D1421,tblReleaseChanges[Change_ID],tblReleaseChanges[Oracle_Severity],""),tblSeverityMap[Severity_Text],tblSeverityMap[Score],0),0)</f>
        <v/>
      </c>
      <c r="T1421">
        <f>ROUND((M1421*0.25)+(N1421*0.20)+(O1421*0.15)+(P1421*0.15)+(Q1421*0.10)+(R1421*0.10)+(S1421*0.05),2)</f>
        <v/>
      </c>
      <c r="U1421">
        <f>IF(T1421&gt;=4.25,"Critical",IF(T1421&gt;=3.5,"High",IF(T1421&gt;=2,"Medium","Low")))</f>
        <v/>
      </c>
    </row>
    <row r="1422">
      <c r="R1422">
        <f>IFERROR(XLOOKUP(XLOOKUP(D1422,tblReleaseChanges[Change_ID],tblReleaseChanges[Oracle_Severity],""),tblSeverityMap[Severity_Text],tblSeverityMap[Score],0),0)</f>
        <v/>
      </c>
      <c r="T1422">
        <f>ROUND((M1422*0.25)+(N1422*0.20)+(O1422*0.15)+(P1422*0.15)+(Q1422*0.10)+(R1422*0.10)+(S1422*0.05),2)</f>
        <v/>
      </c>
      <c r="U1422">
        <f>IF(T1422&gt;=4.25,"Critical",IF(T1422&gt;=3.5,"High",IF(T1422&gt;=2,"Medium","Low")))</f>
        <v/>
      </c>
    </row>
    <row r="1423">
      <c r="R1423">
        <f>IFERROR(XLOOKUP(XLOOKUP(D1423,tblReleaseChanges[Change_ID],tblReleaseChanges[Oracle_Severity],""),tblSeverityMap[Severity_Text],tblSeverityMap[Score],0),0)</f>
        <v/>
      </c>
      <c r="T1423">
        <f>ROUND((M1423*0.25)+(N1423*0.20)+(O1423*0.15)+(P1423*0.15)+(Q1423*0.10)+(R1423*0.10)+(S1423*0.05),2)</f>
        <v/>
      </c>
      <c r="U1423">
        <f>IF(T1423&gt;=4.25,"Critical",IF(T1423&gt;=3.5,"High",IF(T1423&gt;=2,"Medium","Low")))</f>
        <v/>
      </c>
    </row>
    <row r="1424">
      <c r="R1424">
        <f>IFERROR(XLOOKUP(XLOOKUP(D1424,tblReleaseChanges[Change_ID],tblReleaseChanges[Oracle_Severity],""),tblSeverityMap[Severity_Text],tblSeverityMap[Score],0),0)</f>
        <v/>
      </c>
      <c r="T1424">
        <f>ROUND((M1424*0.25)+(N1424*0.20)+(O1424*0.15)+(P1424*0.15)+(Q1424*0.10)+(R1424*0.10)+(S1424*0.05),2)</f>
        <v/>
      </c>
      <c r="U1424">
        <f>IF(T1424&gt;=4.25,"Critical",IF(T1424&gt;=3.5,"High",IF(T1424&gt;=2,"Medium","Low")))</f>
        <v/>
      </c>
    </row>
    <row r="1425">
      <c r="R1425">
        <f>IFERROR(XLOOKUP(XLOOKUP(D1425,tblReleaseChanges[Change_ID],tblReleaseChanges[Oracle_Severity],""),tblSeverityMap[Severity_Text],tblSeverityMap[Score],0),0)</f>
        <v/>
      </c>
      <c r="T1425">
        <f>ROUND((M1425*0.25)+(N1425*0.20)+(O1425*0.15)+(P1425*0.15)+(Q1425*0.10)+(R1425*0.10)+(S1425*0.05),2)</f>
        <v/>
      </c>
      <c r="U1425">
        <f>IF(T1425&gt;=4.25,"Critical",IF(T1425&gt;=3.5,"High",IF(T1425&gt;=2,"Medium","Low")))</f>
        <v/>
      </c>
    </row>
    <row r="1426">
      <c r="R1426">
        <f>IFERROR(XLOOKUP(XLOOKUP(D1426,tblReleaseChanges[Change_ID],tblReleaseChanges[Oracle_Severity],""),tblSeverityMap[Severity_Text],tblSeverityMap[Score],0),0)</f>
        <v/>
      </c>
      <c r="T1426">
        <f>ROUND((M1426*0.25)+(N1426*0.20)+(O1426*0.15)+(P1426*0.15)+(Q1426*0.10)+(R1426*0.10)+(S1426*0.05),2)</f>
        <v/>
      </c>
      <c r="U1426">
        <f>IF(T1426&gt;=4.25,"Critical",IF(T1426&gt;=3.5,"High",IF(T1426&gt;=2,"Medium","Low")))</f>
        <v/>
      </c>
    </row>
    <row r="1427">
      <c r="R1427">
        <f>IFERROR(XLOOKUP(XLOOKUP(D1427,tblReleaseChanges[Change_ID],tblReleaseChanges[Oracle_Severity],""),tblSeverityMap[Severity_Text],tblSeverityMap[Score],0),0)</f>
        <v/>
      </c>
      <c r="T1427">
        <f>ROUND((M1427*0.25)+(N1427*0.20)+(O1427*0.15)+(P1427*0.15)+(Q1427*0.10)+(R1427*0.10)+(S1427*0.05),2)</f>
        <v/>
      </c>
      <c r="U1427">
        <f>IF(T1427&gt;=4.25,"Critical",IF(T1427&gt;=3.5,"High",IF(T1427&gt;=2,"Medium","Low")))</f>
        <v/>
      </c>
    </row>
    <row r="1428">
      <c r="R1428">
        <f>IFERROR(XLOOKUP(XLOOKUP(D1428,tblReleaseChanges[Change_ID],tblReleaseChanges[Oracle_Severity],""),tblSeverityMap[Severity_Text],tblSeverityMap[Score],0),0)</f>
        <v/>
      </c>
      <c r="T1428">
        <f>ROUND((M1428*0.25)+(N1428*0.20)+(O1428*0.15)+(P1428*0.15)+(Q1428*0.10)+(R1428*0.10)+(S1428*0.05),2)</f>
        <v/>
      </c>
      <c r="U1428">
        <f>IF(T1428&gt;=4.25,"Critical",IF(T1428&gt;=3.5,"High",IF(T1428&gt;=2,"Medium","Low")))</f>
        <v/>
      </c>
    </row>
    <row r="1429">
      <c r="R1429">
        <f>IFERROR(XLOOKUP(XLOOKUP(D1429,tblReleaseChanges[Change_ID],tblReleaseChanges[Oracle_Severity],""),tblSeverityMap[Severity_Text],tblSeverityMap[Score],0),0)</f>
        <v/>
      </c>
      <c r="T1429">
        <f>ROUND((M1429*0.25)+(N1429*0.20)+(O1429*0.15)+(P1429*0.15)+(Q1429*0.10)+(R1429*0.10)+(S1429*0.05),2)</f>
        <v/>
      </c>
      <c r="U1429">
        <f>IF(T1429&gt;=4.25,"Critical",IF(T1429&gt;=3.5,"High",IF(T1429&gt;=2,"Medium","Low")))</f>
        <v/>
      </c>
    </row>
    <row r="1430">
      <c r="R1430">
        <f>IFERROR(XLOOKUP(XLOOKUP(D1430,tblReleaseChanges[Change_ID],tblReleaseChanges[Oracle_Severity],""),tblSeverityMap[Severity_Text],tblSeverityMap[Score],0),0)</f>
        <v/>
      </c>
      <c r="T1430">
        <f>ROUND((M1430*0.25)+(N1430*0.20)+(O1430*0.15)+(P1430*0.15)+(Q1430*0.10)+(R1430*0.10)+(S1430*0.05),2)</f>
        <v/>
      </c>
      <c r="U1430">
        <f>IF(T1430&gt;=4.25,"Critical",IF(T1430&gt;=3.5,"High",IF(T1430&gt;=2,"Medium","Low")))</f>
        <v/>
      </c>
    </row>
    <row r="1431">
      <c r="R1431">
        <f>IFERROR(XLOOKUP(XLOOKUP(D1431,tblReleaseChanges[Change_ID],tblReleaseChanges[Oracle_Severity],""),tblSeverityMap[Severity_Text],tblSeverityMap[Score],0),0)</f>
        <v/>
      </c>
      <c r="T1431">
        <f>ROUND((M1431*0.25)+(N1431*0.20)+(O1431*0.15)+(P1431*0.15)+(Q1431*0.10)+(R1431*0.10)+(S1431*0.05),2)</f>
        <v/>
      </c>
      <c r="U1431">
        <f>IF(T1431&gt;=4.25,"Critical",IF(T1431&gt;=3.5,"High",IF(T1431&gt;=2,"Medium","Low")))</f>
        <v/>
      </c>
    </row>
    <row r="1432">
      <c r="R1432">
        <f>IFERROR(XLOOKUP(XLOOKUP(D1432,tblReleaseChanges[Change_ID],tblReleaseChanges[Oracle_Severity],""),tblSeverityMap[Severity_Text],tblSeverityMap[Score],0),0)</f>
        <v/>
      </c>
      <c r="T1432">
        <f>ROUND((M1432*0.25)+(N1432*0.20)+(O1432*0.15)+(P1432*0.15)+(Q1432*0.10)+(R1432*0.10)+(S1432*0.05),2)</f>
        <v/>
      </c>
      <c r="U1432">
        <f>IF(T1432&gt;=4.25,"Critical",IF(T1432&gt;=3.5,"High",IF(T1432&gt;=2,"Medium","Low")))</f>
        <v/>
      </c>
    </row>
    <row r="1433">
      <c r="R1433">
        <f>IFERROR(XLOOKUP(XLOOKUP(D1433,tblReleaseChanges[Change_ID],tblReleaseChanges[Oracle_Severity],""),tblSeverityMap[Severity_Text],tblSeverityMap[Score],0),0)</f>
        <v/>
      </c>
      <c r="T1433">
        <f>ROUND((M1433*0.25)+(N1433*0.20)+(O1433*0.15)+(P1433*0.15)+(Q1433*0.10)+(R1433*0.10)+(S1433*0.05),2)</f>
        <v/>
      </c>
      <c r="U1433">
        <f>IF(T1433&gt;=4.25,"Critical",IF(T1433&gt;=3.5,"High",IF(T1433&gt;=2,"Medium","Low")))</f>
        <v/>
      </c>
    </row>
    <row r="1434">
      <c r="R1434">
        <f>IFERROR(XLOOKUP(XLOOKUP(D1434,tblReleaseChanges[Change_ID],tblReleaseChanges[Oracle_Severity],""),tblSeverityMap[Severity_Text],tblSeverityMap[Score],0),0)</f>
        <v/>
      </c>
      <c r="T1434">
        <f>ROUND((M1434*0.25)+(N1434*0.20)+(O1434*0.15)+(P1434*0.15)+(Q1434*0.10)+(R1434*0.10)+(S1434*0.05),2)</f>
        <v/>
      </c>
      <c r="U1434">
        <f>IF(T1434&gt;=4.25,"Critical",IF(T1434&gt;=3.5,"High",IF(T1434&gt;=2,"Medium","Low")))</f>
        <v/>
      </c>
    </row>
    <row r="1435">
      <c r="R1435">
        <f>IFERROR(XLOOKUP(XLOOKUP(D1435,tblReleaseChanges[Change_ID],tblReleaseChanges[Oracle_Severity],""),tblSeverityMap[Severity_Text],tblSeverityMap[Score],0),0)</f>
        <v/>
      </c>
      <c r="T1435">
        <f>ROUND((M1435*0.25)+(N1435*0.20)+(O1435*0.15)+(P1435*0.15)+(Q1435*0.10)+(R1435*0.10)+(S1435*0.05),2)</f>
        <v/>
      </c>
      <c r="U1435">
        <f>IF(T1435&gt;=4.25,"Critical",IF(T1435&gt;=3.5,"High",IF(T1435&gt;=2,"Medium","Low")))</f>
        <v/>
      </c>
    </row>
    <row r="1436">
      <c r="R1436">
        <f>IFERROR(XLOOKUP(XLOOKUP(D1436,tblReleaseChanges[Change_ID],tblReleaseChanges[Oracle_Severity],""),tblSeverityMap[Severity_Text],tblSeverityMap[Score],0),0)</f>
        <v/>
      </c>
      <c r="T1436">
        <f>ROUND((M1436*0.25)+(N1436*0.20)+(O1436*0.15)+(P1436*0.15)+(Q1436*0.10)+(R1436*0.10)+(S1436*0.05),2)</f>
        <v/>
      </c>
      <c r="U1436">
        <f>IF(T1436&gt;=4.25,"Critical",IF(T1436&gt;=3.5,"High",IF(T1436&gt;=2,"Medium","Low")))</f>
        <v/>
      </c>
    </row>
    <row r="1437">
      <c r="R1437">
        <f>IFERROR(XLOOKUP(XLOOKUP(D1437,tblReleaseChanges[Change_ID],tblReleaseChanges[Oracle_Severity],""),tblSeverityMap[Severity_Text],tblSeverityMap[Score],0),0)</f>
        <v/>
      </c>
      <c r="T1437">
        <f>ROUND((M1437*0.25)+(N1437*0.20)+(O1437*0.15)+(P1437*0.15)+(Q1437*0.10)+(R1437*0.10)+(S1437*0.05),2)</f>
        <v/>
      </c>
      <c r="U1437">
        <f>IF(T1437&gt;=4.25,"Critical",IF(T1437&gt;=3.5,"High",IF(T1437&gt;=2,"Medium","Low")))</f>
        <v/>
      </c>
    </row>
    <row r="1438">
      <c r="R1438">
        <f>IFERROR(XLOOKUP(XLOOKUP(D1438,tblReleaseChanges[Change_ID],tblReleaseChanges[Oracle_Severity],""),tblSeverityMap[Severity_Text],tblSeverityMap[Score],0),0)</f>
        <v/>
      </c>
      <c r="T1438">
        <f>ROUND((M1438*0.25)+(N1438*0.20)+(O1438*0.15)+(P1438*0.15)+(Q1438*0.10)+(R1438*0.10)+(S1438*0.05),2)</f>
        <v/>
      </c>
      <c r="U1438">
        <f>IF(T1438&gt;=4.25,"Critical",IF(T1438&gt;=3.5,"High",IF(T1438&gt;=2,"Medium","Low")))</f>
        <v/>
      </c>
    </row>
    <row r="1439">
      <c r="R1439">
        <f>IFERROR(XLOOKUP(XLOOKUP(D1439,tblReleaseChanges[Change_ID],tblReleaseChanges[Oracle_Severity],""),tblSeverityMap[Severity_Text],tblSeverityMap[Score],0),0)</f>
        <v/>
      </c>
      <c r="T1439">
        <f>ROUND((M1439*0.25)+(N1439*0.20)+(O1439*0.15)+(P1439*0.15)+(Q1439*0.10)+(R1439*0.10)+(S1439*0.05),2)</f>
        <v/>
      </c>
      <c r="U1439">
        <f>IF(T1439&gt;=4.25,"Critical",IF(T1439&gt;=3.5,"High",IF(T1439&gt;=2,"Medium","Low")))</f>
        <v/>
      </c>
    </row>
    <row r="1440">
      <c r="R1440">
        <f>IFERROR(XLOOKUP(XLOOKUP(D1440,tblReleaseChanges[Change_ID],tblReleaseChanges[Oracle_Severity],""),tblSeverityMap[Severity_Text],tblSeverityMap[Score],0),0)</f>
        <v/>
      </c>
      <c r="T1440">
        <f>ROUND((M1440*0.25)+(N1440*0.20)+(O1440*0.15)+(P1440*0.15)+(Q1440*0.10)+(R1440*0.10)+(S1440*0.05),2)</f>
        <v/>
      </c>
      <c r="U1440">
        <f>IF(T1440&gt;=4.25,"Critical",IF(T1440&gt;=3.5,"High",IF(T1440&gt;=2,"Medium","Low")))</f>
        <v/>
      </c>
    </row>
    <row r="1441">
      <c r="R1441">
        <f>IFERROR(XLOOKUP(XLOOKUP(D1441,tblReleaseChanges[Change_ID],tblReleaseChanges[Oracle_Severity],""),tblSeverityMap[Severity_Text],tblSeverityMap[Score],0),0)</f>
        <v/>
      </c>
      <c r="T1441">
        <f>ROUND((M1441*0.25)+(N1441*0.20)+(O1441*0.15)+(P1441*0.15)+(Q1441*0.10)+(R1441*0.10)+(S1441*0.05),2)</f>
        <v/>
      </c>
      <c r="U1441">
        <f>IF(T1441&gt;=4.25,"Critical",IF(T1441&gt;=3.5,"High",IF(T1441&gt;=2,"Medium","Low")))</f>
        <v/>
      </c>
    </row>
    <row r="1442">
      <c r="R1442">
        <f>IFERROR(XLOOKUP(XLOOKUP(D1442,tblReleaseChanges[Change_ID],tblReleaseChanges[Oracle_Severity],""),tblSeverityMap[Severity_Text],tblSeverityMap[Score],0),0)</f>
        <v/>
      </c>
      <c r="T1442">
        <f>ROUND((M1442*0.25)+(N1442*0.20)+(O1442*0.15)+(P1442*0.15)+(Q1442*0.10)+(R1442*0.10)+(S1442*0.05),2)</f>
        <v/>
      </c>
      <c r="U1442">
        <f>IF(T1442&gt;=4.25,"Critical",IF(T1442&gt;=3.5,"High",IF(T1442&gt;=2,"Medium","Low")))</f>
        <v/>
      </c>
    </row>
    <row r="1443">
      <c r="R1443">
        <f>IFERROR(XLOOKUP(XLOOKUP(D1443,tblReleaseChanges[Change_ID],tblReleaseChanges[Oracle_Severity],""),tblSeverityMap[Severity_Text],tblSeverityMap[Score],0),0)</f>
        <v/>
      </c>
      <c r="T1443">
        <f>ROUND((M1443*0.25)+(N1443*0.20)+(O1443*0.15)+(P1443*0.15)+(Q1443*0.10)+(R1443*0.10)+(S1443*0.05),2)</f>
        <v/>
      </c>
      <c r="U1443">
        <f>IF(T1443&gt;=4.25,"Critical",IF(T1443&gt;=3.5,"High",IF(T1443&gt;=2,"Medium","Low")))</f>
        <v/>
      </c>
    </row>
    <row r="1444">
      <c r="R1444">
        <f>IFERROR(XLOOKUP(XLOOKUP(D1444,tblReleaseChanges[Change_ID],tblReleaseChanges[Oracle_Severity],""),tblSeverityMap[Severity_Text],tblSeverityMap[Score],0),0)</f>
        <v/>
      </c>
      <c r="T1444">
        <f>ROUND((M1444*0.25)+(N1444*0.20)+(O1444*0.15)+(P1444*0.15)+(Q1444*0.10)+(R1444*0.10)+(S1444*0.05),2)</f>
        <v/>
      </c>
      <c r="U1444">
        <f>IF(T1444&gt;=4.25,"Critical",IF(T1444&gt;=3.5,"High",IF(T1444&gt;=2,"Medium","Low")))</f>
        <v/>
      </c>
    </row>
    <row r="1445">
      <c r="R1445">
        <f>IFERROR(XLOOKUP(XLOOKUP(D1445,tblReleaseChanges[Change_ID],tblReleaseChanges[Oracle_Severity],""),tblSeverityMap[Severity_Text],tblSeverityMap[Score],0),0)</f>
        <v/>
      </c>
      <c r="T1445">
        <f>ROUND((M1445*0.25)+(N1445*0.20)+(O1445*0.15)+(P1445*0.15)+(Q1445*0.10)+(R1445*0.10)+(S1445*0.05),2)</f>
        <v/>
      </c>
      <c r="U1445">
        <f>IF(T1445&gt;=4.25,"Critical",IF(T1445&gt;=3.5,"High",IF(T1445&gt;=2,"Medium","Low")))</f>
        <v/>
      </c>
    </row>
    <row r="1446">
      <c r="R1446">
        <f>IFERROR(XLOOKUP(XLOOKUP(D1446,tblReleaseChanges[Change_ID],tblReleaseChanges[Oracle_Severity],""),tblSeverityMap[Severity_Text],tblSeverityMap[Score],0),0)</f>
        <v/>
      </c>
      <c r="T1446">
        <f>ROUND((M1446*0.25)+(N1446*0.20)+(O1446*0.15)+(P1446*0.15)+(Q1446*0.10)+(R1446*0.10)+(S1446*0.05),2)</f>
        <v/>
      </c>
      <c r="U1446">
        <f>IF(T1446&gt;=4.25,"Critical",IF(T1446&gt;=3.5,"High",IF(T1446&gt;=2,"Medium","Low")))</f>
        <v/>
      </c>
    </row>
    <row r="1447">
      <c r="R1447">
        <f>IFERROR(XLOOKUP(XLOOKUP(D1447,tblReleaseChanges[Change_ID],tblReleaseChanges[Oracle_Severity],""),tblSeverityMap[Severity_Text],tblSeverityMap[Score],0),0)</f>
        <v/>
      </c>
      <c r="T1447">
        <f>ROUND((M1447*0.25)+(N1447*0.20)+(O1447*0.15)+(P1447*0.15)+(Q1447*0.10)+(R1447*0.10)+(S1447*0.05),2)</f>
        <v/>
      </c>
      <c r="U1447">
        <f>IF(T1447&gt;=4.25,"Critical",IF(T1447&gt;=3.5,"High",IF(T1447&gt;=2,"Medium","Low")))</f>
        <v/>
      </c>
    </row>
    <row r="1448">
      <c r="R1448">
        <f>IFERROR(XLOOKUP(XLOOKUP(D1448,tblReleaseChanges[Change_ID],tblReleaseChanges[Oracle_Severity],""),tblSeverityMap[Severity_Text],tblSeverityMap[Score],0),0)</f>
        <v/>
      </c>
      <c r="T1448">
        <f>ROUND((M1448*0.25)+(N1448*0.20)+(O1448*0.15)+(P1448*0.15)+(Q1448*0.10)+(R1448*0.10)+(S1448*0.05),2)</f>
        <v/>
      </c>
      <c r="U1448">
        <f>IF(T1448&gt;=4.25,"Critical",IF(T1448&gt;=3.5,"High",IF(T1448&gt;=2,"Medium","Low")))</f>
        <v/>
      </c>
    </row>
    <row r="1449">
      <c r="R1449">
        <f>IFERROR(XLOOKUP(XLOOKUP(D1449,tblReleaseChanges[Change_ID],tblReleaseChanges[Oracle_Severity],""),tblSeverityMap[Severity_Text],tblSeverityMap[Score],0),0)</f>
        <v/>
      </c>
      <c r="T1449">
        <f>ROUND((M1449*0.25)+(N1449*0.20)+(O1449*0.15)+(P1449*0.15)+(Q1449*0.10)+(R1449*0.10)+(S1449*0.05),2)</f>
        <v/>
      </c>
      <c r="U1449">
        <f>IF(T1449&gt;=4.25,"Critical",IF(T1449&gt;=3.5,"High",IF(T1449&gt;=2,"Medium","Low")))</f>
        <v/>
      </c>
    </row>
    <row r="1450">
      <c r="R1450">
        <f>IFERROR(XLOOKUP(XLOOKUP(D1450,tblReleaseChanges[Change_ID],tblReleaseChanges[Oracle_Severity],""),tblSeverityMap[Severity_Text],tblSeverityMap[Score],0),0)</f>
        <v/>
      </c>
      <c r="T1450">
        <f>ROUND((M1450*0.25)+(N1450*0.20)+(O1450*0.15)+(P1450*0.15)+(Q1450*0.10)+(R1450*0.10)+(S1450*0.05),2)</f>
        <v/>
      </c>
      <c r="U1450">
        <f>IF(T1450&gt;=4.25,"Critical",IF(T1450&gt;=3.5,"High",IF(T1450&gt;=2,"Medium","Low")))</f>
        <v/>
      </c>
    </row>
    <row r="1451">
      <c r="R1451">
        <f>IFERROR(XLOOKUP(XLOOKUP(D1451,tblReleaseChanges[Change_ID],tblReleaseChanges[Oracle_Severity],""),tblSeverityMap[Severity_Text],tblSeverityMap[Score],0),0)</f>
        <v/>
      </c>
      <c r="T1451">
        <f>ROUND((M1451*0.25)+(N1451*0.20)+(O1451*0.15)+(P1451*0.15)+(Q1451*0.10)+(R1451*0.10)+(S1451*0.05),2)</f>
        <v/>
      </c>
      <c r="U1451">
        <f>IF(T1451&gt;=4.25,"Critical",IF(T1451&gt;=3.5,"High",IF(T1451&gt;=2,"Medium","Low")))</f>
        <v/>
      </c>
    </row>
    <row r="1452">
      <c r="R1452">
        <f>IFERROR(XLOOKUP(XLOOKUP(D1452,tblReleaseChanges[Change_ID],tblReleaseChanges[Oracle_Severity],""),tblSeverityMap[Severity_Text],tblSeverityMap[Score],0),0)</f>
        <v/>
      </c>
      <c r="T1452">
        <f>ROUND((M1452*0.25)+(N1452*0.20)+(O1452*0.15)+(P1452*0.15)+(Q1452*0.10)+(R1452*0.10)+(S1452*0.05),2)</f>
        <v/>
      </c>
      <c r="U1452">
        <f>IF(T1452&gt;=4.25,"Critical",IF(T1452&gt;=3.5,"High",IF(T1452&gt;=2,"Medium","Low")))</f>
        <v/>
      </c>
    </row>
    <row r="1453">
      <c r="R1453">
        <f>IFERROR(XLOOKUP(XLOOKUP(D1453,tblReleaseChanges[Change_ID],tblReleaseChanges[Oracle_Severity],""),tblSeverityMap[Severity_Text],tblSeverityMap[Score],0),0)</f>
        <v/>
      </c>
      <c r="T1453">
        <f>ROUND((M1453*0.25)+(N1453*0.20)+(O1453*0.15)+(P1453*0.15)+(Q1453*0.10)+(R1453*0.10)+(S1453*0.05),2)</f>
        <v/>
      </c>
      <c r="U1453">
        <f>IF(T1453&gt;=4.25,"Critical",IF(T1453&gt;=3.5,"High",IF(T1453&gt;=2,"Medium","Low")))</f>
        <v/>
      </c>
    </row>
    <row r="1454">
      <c r="R1454">
        <f>IFERROR(XLOOKUP(XLOOKUP(D1454,tblReleaseChanges[Change_ID],tblReleaseChanges[Oracle_Severity],""),tblSeverityMap[Severity_Text],tblSeverityMap[Score],0),0)</f>
        <v/>
      </c>
      <c r="T1454">
        <f>ROUND((M1454*0.25)+(N1454*0.20)+(O1454*0.15)+(P1454*0.15)+(Q1454*0.10)+(R1454*0.10)+(S1454*0.05),2)</f>
        <v/>
      </c>
      <c r="U1454">
        <f>IF(T1454&gt;=4.25,"Critical",IF(T1454&gt;=3.5,"High",IF(T1454&gt;=2,"Medium","Low")))</f>
        <v/>
      </c>
    </row>
    <row r="1455">
      <c r="R1455">
        <f>IFERROR(XLOOKUP(XLOOKUP(D1455,tblReleaseChanges[Change_ID],tblReleaseChanges[Oracle_Severity],""),tblSeverityMap[Severity_Text],tblSeverityMap[Score],0),0)</f>
        <v/>
      </c>
      <c r="T1455">
        <f>ROUND((M1455*0.25)+(N1455*0.20)+(O1455*0.15)+(P1455*0.15)+(Q1455*0.10)+(R1455*0.10)+(S1455*0.05),2)</f>
        <v/>
      </c>
      <c r="U1455">
        <f>IF(T1455&gt;=4.25,"Critical",IF(T1455&gt;=3.5,"High",IF(T1455&gt;=2,"Medium","Low")))</f>
        <v/>
      </c>
    </row>
    <row r="1456">
      <c r="R1456">
        <f>IFERROR(XLOOKUP(XLOOKUP(D1456,tblReleaseChanges[Change_ID],tblReleaseChanges[Oracle_Severity],""),tblSeverityMap[Severity_Text],tblSeverityMap[Score],0),0)</f>
        <v/>
      </c>
      <c r="T1456">
        <f>ROUND((M1456*0.25)+(N1456*0.20)+(O1456*0.15)+(P1456*0.15)+(Q1456*0.10)+(R1456*0.10)+(S1456*0.05),2)</f>
        <v/>
      </c>
      <c r="U1456">
        <f>IF(T1456&gt;=4.25,"Critical",IF(T1456&gt;=3.5,"High",IF(T1456&gt;=2,"Medium","Low")))</f>
        <v/>
      </c>
    </row>
    <row r="1457">
      <c r="R1457">
        <f>IFERROR(XLOOKUP(XLOOKUP(D1457,tblReleaseChanges[Change_ID],tblReleaseChanges[Oracle_Severity],""),tblSeverityMap[Severity_Text],tblSeverityMap[Score],0),0)</f>
        <v/>
      </c>
      <c r="T1457">
        <f>ROUND((M1457*0.25)+(N1457*0.20)+(O1457*0.15)+(P1457*0.15)+(Q1457*0.10)+(R1457*0.10)+(S1457*0.05),2)</f>
        <v/>
      </c>
      <c r="U1457">
        <f>IF(T1457&gt;=4.25,"Critical",IF(T1457&gt;=3.5,"High",IF(T1457&gt;=2,"Medium","Low")))</f>
        <v/>
      </c>
    </row>
    <row r="1458">
      <c r="R1458">
        <f>IFERROR(XLOOKUP(XLOOKUP(D1458,tblReleaseChanges[Change_ID],tblReleaseChanges[Oracle_Severity],""),tblSeverityMap[Severity_Text],tblSeverityMap[Score],0),0)</f>
        <v/>
      </c>
      <c r="T1458">
        <f>ROUND((M1458*0.25)+(N1458*0.20)+(O1458*0.15)+(P1458*0.15)+(Q1458*0.10)+(R1458*0.10)+(S1458*0.05),2)</f>
        <v/>
      </c>
      <c r="U1458">
        <f>IF(T1458&gt;=4.25,"Critical",IF(T1458&gt;=3.5,"High",IF(T1458&gt;=2,"Medium","Low")))</f>
        <v/>
      </c>
    </row>
    <row r="1459">
      <c r="R1459">
        <f>IFERROR(XLOOKUP(XLOOKUP(D1459,tblReleaseChanges[Change_ID],tblReleaseChanges[Oracle_Severity],""),tblSeverityMap[Severity_Text],tblSeverityMap[Score],0),0)</f>
        <v/>
      </c>
      <c r="T1459">
        <f>ROUND((M1459*0.25)+(N1459*0.20)+(O1459*0.15)+(P1459*0.15)+(Q1459*0.10)+(R1459*0.10)+(S1459*0.05),2)</f>
        <v/>
      </c>
      <c r="U1459">
        <f>IF(T1459&gt;=4.25,"Critical",IF(T1459&gt;=3.5,"High",IF(T1459&gt;=2,"Medium","Low")))</f>
        <v/>
      </c>
    </row>
    <row r="1460">
      <c r="R1460">
        <f>IFERROR(XLOOKUP(XLOOKUP(D1460,tblReleaseChanges[Change_ID],tblReleaseChanges[Oracle_Severity],""),tblSeverityMap[Severity_Text],tblSeverityMap[Score],0),0)</f>
        <v/>
      </c>
      <c r="T1460">
        <f>ROUND((M1460*0.25)+(N1460*0.20)+(O1460*0.15)+(P1460*0.15)+(Q1460*0.10)+(R1460*0.10)+(S1460*0.05),2)</f>
        <v/>
      </c>
      <c r="U1460">
        <f>IF(T1460&gt;=4.25,"Critical",IF(T1460&gt;=3.5,"High",IF(T1460&gt;=2,"Medium","Low")))</f>
        <v/>
      </c>
    </row>
    <row r="1461">
      <c r="R1461">
        <f>IFERROR(XLOOKUP(XLOOKUP(D1461,tblReleaseChanges[Change_ID],tblReleaseChanges[Oracle_Severity],""),tblSeverityMap[Severity_Text],tblSeverityMap[Score],0),0)</f>
        <v/>
      </c>
      <c r="T1461">
        <f>ROUND((M1461*0.25)+(N1461*0.20)+(O1461*0.15)+(P1461*0.15)+(Q1461*0.10)+(R1461*0.10)+(S1461*0.05),2)</f>
        <v/>
      </c>
      <c r="U1461">
        <f>IF(T1461&gt;=4.25,"Critical",IF(T1461&gt;=3.5,"High",IF(T1461&gt;=2,"Medium","Low")))</f>
        <v/>
      </c>
    </row>
    <row r="1462">
      <c r="R1462">
        <f>IFERROR(XLOOKUP(XLOOKUP(D1462,tblReleaseChanges[Change_ID],tblReleaseChanges[Oracle_Severity],""),tblSeverityMap[Severity_Text],tblSeverityMap[Score],0),0)</f>
        <v/>
      </c>
      <c r="T1462">
        <f>ROUND((M1462*0.25)+(N1462*0.20)+(O1462*0.15)+(P1462*0.15)+(Q1462*0.10)+(R1462*0.10)+(S1462*0.05),2)</f>
        <v/>
      </c>
      <c r="U1462">
        <f>IF(T1462&gt;=4.25,"Critical",IF(T1462&gt;=3.5,"High",IF(T1462&gt;=2,"Medium","Low")))</f>
        <v/>
      </c>
    </row>
    <row r="1463">
      <c r="R1463">
        <f>IFERROR(XLOOKUP(XLOOKUP(D1463,tblReleaseChanges[Change_ID],tblReleaseChanges[Oracle_Severity],""),tblSeverityMap[Severity_Text],tblSeverityMap[Score],0),0)</f>
        <v/>
      </c>
      <c r="T1463">
        <f>ROUND((M1463*0.25)+(N1463*0.20)+(O1463*0.15)+(P1463*0.15)+(Q1463*0.10)+(R1463*0.10)+(S1463*0.05),2)</f>
        <v/>
      </c>
      <c r="U1463">
        <f>IF(T1463&gt;=4.25,"Critical",IF(T1463&gt;=3.5,"High",IF(T1463&gt;=2,"Medium","Low")))</f>
        <v/>
      </c>
    </row>
    <row r="1464">
      <c r="R1464">
        <f>IFERROR(XLOOKUP(XLOOKUP(D1464,tblReleaseChanges[Change_ID],tblReleaseChanges[Oracle_Severity],""),tblSeverityMap[Severity_Text],tblSeverityMap[Score],0),0)</f>
        <v/>
      </c>
      <c r="T1464">
        <f>ROUND((M1464*0.25)+(N1464*0.20)+(O1464*0.15)+(P1464*0.15)+(Q1464*0.10)+(R1464*0.10)+(S1464*0.05),2)</f>
        <v/>
      </c>
      <c r="U1464">
        <f>IF(T1464&gt;=4.25,"Critical",IF(T1464&gt;=3.5,"High",IF(T1464&gt;=2,"Medium","Low")))</f>
        <v/>
      </c>
    </row>
    <row r="1465">
      <c r="R1465">
        <f>IFERROR(XLOOKUP(XLOOKUP(D1465,tblReleaseChanges[Change_ID],tblReleaseChanges[Oracle_Severity],""),tblSeverityMap[Severity_Text],tblSeverityMap[Score],0),0)</f>
        <v/>
      </c>
      <c r="T1465">
        <f>ROUND((M1465*0.25)+(N1465*0.20)+(O1465*0.15)+(P1465*0.15)+(Q1465*0.10)+(R1465*0.10)+(S1465*0.05),2)</f>
        <v/>
      </c>
      <c r="U1465">
        <f>IF(T1465&gt;=4.25,"Critical",IF(T1465&gt;=3.5,"High",IF(T1465&gt;=2,"Medium","Low")))</f>
        <v/>
      </c>
    </row>
    <row r="1466">
      <c r="R1466">
        <f>IFERROR(XLOOKUP(XLOOKUP(D1466,tblReleaseChanges[Change_ID],tblReleaseChanges[Oracle_Severity],""),tblSeverityMap[Severity_Text],tblSeverityMap[Score],0),0)</f>
        <v/>
      </c>
      <c r="T1466">
        <f>ROUND((M1466*0.25)+(N1466*0.20)+(O1466*0.15)+(P1466*0.15)+(Q1466*0.10)+(R1466*0.10)+(S1466*0.05),2)</f>
        <v/>
      </c>
      <c r="U1466">
        <f>IF(T1466&gt;=4.25,"Critical",IF(T1466&gt;=3.5,"High",IF(T1466&gt;=2,"Medium","Low")))</f>
        <v/>
      </c>
    </row>
    <row r="1467">
      <c r="R1467">
        <f>IFERROR(XLOOKUP(XLOOKUP(D1467,tblReleaseChanges[Change_ID],tblReleaseChanges[Oracle_Severity],""),tblSeverityMap[Severity_Text],tblSeverityMap[Score],0),0)</f>
        <v/>
      </c>
      <c r="T1467">
        <f>ROUND((M1467*0.25)+(N1467*0.20)+(O1467*0.15)+(P1467*0.15)+(Q1467*0.10)+(R1467*0.10)+(S1467*0.05),2)</f>
        <v/>
      </c>
      <c r="U1467">
        <f>IF(T1467&gt;=4.25,"Critical",IF(T1467&gt;=3.5,"High",IF(T1467&gt;=2,"Medium","Low")))</f>
        <v/>
      </c>
    </row>
    <row r="1468">
      <c r="R1468">
        <f>IFERROR(XLOOKUP(XLOOKUP(D1468,tblReleaseChanges[Change_ID],tblReleaseChanges[Oracle_Severity],""),tblSeverityMap[Severity_Text],tblSeverityMap[Score],0),0)</f>
        <v/>
      </c>
      <c r="T1468">
        <f>ROUND((M1468*0.25)+(N1468*0.20)+(O1468*0.15)+(P1468*0.15)+(Q1468*0.10)+(R1468*0.10)+(S1468*0.05),2)</f>
        <v/>
      </c>
      <c r="U1468">
        <f>IF(T1468&gt;=4.25,"Critical",IF(T1468&gt;=3.5,"High",IF(T1468&gt;=2,"Medium","Low")))</f>
        <v/>
      </c>
    </row>
    <row r="1469">
      <c r="R1469">
        <f>IFERROR(XLOOKUP(XLOOKUP(D1469,tblReleaseChanges[Change_ID],tblReleaseChanges[Oracle_Severity],""),tblSeverityMap[Severity_Text],tblSeverityMap[Score],0),0)</f>
        <v/>
      </c>
      <c r="T1469">
        <f>ROUND((M1469*0.25)+(N1469*0.20)+(O1469*0.15)+(P1469*0.15)+(Q1469*0.10)+(R1469*0.10)+(S1469*0.05),2)</f>
        <v/>
      </c>
      <c r="U1469">
        <f>IF(T1469&gt;=4.25,"Critical",IF(T1469&gt;=3.5,"High",IF(T1469&gt;=2,"Medium","Low")))</f>
        <v/>
      </c>
    </row>
    <row r="1470">
      <c r="R1470">
        <f>IFERROR(XLOOKUP(XLOOKUP(D1470,tblReleaseChanges[Change_ID],tblReleaseChanges[Oracle_Severity],""),tblSeverityMap[Severity_Text],tblSeverityMap[Score],0),0)</f>
        <v/>
      </c>
      <c r="T1470">
        <f>ROUND((M1470*0.25)+(N1470*0.20)+(O1470*0.15)+(P1470*0.15)+(Q1470*0.10)+(R1470*0.10)+(S1470*0.05),2)</f>
        <v/>
      </c>
      <c r="U1470">
        <f>IF(T1470&gt;=4.25,"Critical",IF(T1470&gt;=3.5,"High",IF(T1470&gt;=2,"Medium","Low")))</f>
        <v/>
      </c>
    </row>
    <row r="1471">
      <c r="R1471">
        <f>IFERROR(XLOOKUP(XLOOKUP(D1471,tblReleaseChanges[Change_ID],tblReleaseChanges[Oracle_Severity],""),tblSeverityMap[Severity_Text],tblSeverityMap[Score],0),0)</f>
        <v/>
      </c>
      <c r="T1471">
        <f>ROUND((M1471*0.25)+(N1471*0.20)+(O1471*0.15)+(P1471*0.15)+(Q1471*0.10)+(R1471*0.10)+(S1471*0.05),2)</f>
        <v/>
      </c>
      <c r="U1471">
        <f>IF(T1471&gt;=4.25,"Critical",IF(T1471&gt;=3.5,"High",IF(T1471&gt;=2,"Medium","Low")))</f>
        <v/>
      </c>
    </row>
    <row r="1472">
      <c r="R1472">
        <f>IFERROR(XLOOKUP(XLOOKUP(D1472,tblReleaseChanges[Change_ID],tblReleaseChanges[Oracle_Severity],""),tblSeverityMap[Severity_Text],tblSeverityMap[Score],0),0)</f>
        <v/>
      </c>
      <c r="T1472">
        <f>ROUND((M1472*0.25)+(N1472*0.20)+(O1472*0.15)+(P1472*0.15)+(Q1472*0.10)+(R1472*0.10)+(S1472*0.05),2)</f>
        <v/>
      </c>
      <c r="U1472">
        <f>IF(T1472&gt;=4.25,"Critical",IF(T1472&gt;=3.5,"High",IF(T1472&gt;=2,"Medium","Low")))</f>
        <v/>
      </c>
    </row>
    <row r="1473">
      <c r="R1473">
        <f>IFERROR(XLOOKUP(XLOOKUP(D1473,tblReleaseChanges[Change_ID],tblReleaseChanges[Oracle_Severity],""),tblSeverityMap[Severity_Text],tblSeverityMap[Score],0),0)</f>
        <v/>
      </c>
      <c r="T1473">
        <f>ROUND((M1473*0.25)+(N1473*0.20)+(O1473*0.15)+(P1473*0.15)+(Q1473*0.10)+(R1473*0.10)+(S1473*0.05),2)</f>
        <v/>
      </c>
      <c r="U1473">
        <f>IF(T1473&gt;=4.25,"Critical",IF(T1473&gt;=3.5,"High",IF(T1473&gt;=2,"Medium","Low")))</f>
        <v/>
      </c>
    </row>
    <row r="1474">
      <c r="R1474">
        <f>IFERROR(XLOOKUP(XLOOKUP(D1474,tblReleaseChanges[Change_ID],tblReleaseChanges[Oracle_Severity],""),tblSeverityMap[Severity_Text],tblSeverityMap[Score],0),0)</f>
        <v/>
      </c>
      <c r="T1474">
        <f>ROUND((M1474*0.25)+(N1474*0.20)+(O1474*0.15)+(P1474*0.15)+(Q1474*0.10)+(R1474*0.10)+(S1474*0.05),2)</f>
        <v/>
      </c>
      <c r="U1474">
        <f>IF(T1474&gt;=4.25,"Critical",IF(T1474&gt;=3.5,"High",IF(T1474&gt;=2,"Medium","Low")))</f>
        <v/>
      </c>
    </row>
    <row r="1475">
      <c r="R1475">
        <f>IFERROR(XLOOKUP(XLOOKUP(D1475,tblReleaseChanges[Change_ID],tblReleaseChanges[Oracle_Severity],""),tblSeverityMap[Severity_Text],tblSeverityMap[Score],0),0)</f>
        <v/>
      </c>
      <c r="T1475">
        <f>ROUND((M1475*0.25)+(N1475*0.20)+(O1475*0.15)+(P1475*0.15)+(Q1475*0.10)+(R1475*0.10)+(S1475*0.05),2)</f>
        <v/>
      </c>
      <c r="U1475">
        <f>IF(T1475&gt;=4.25,"Critical",IF(T1475&gt;=3.5,"High",IF(T1475&gt;=2,"Medium","Low")))</f>
        <v/>
      </c>
    </row>
    <row r="1476">
      <c r="R1476">
        <f>IFERROR(XLOOKUP(XLOOKUP(D1476,tblReleaseChanges[Change_ID],tblReleaseChanges[Oracle_Severity],""),tblSeverityMap[Severity_Text],tblSeverityMap[Score],0),0)</f>
        <v/>
      </c>
      <c r="T1476">
        <f>ROUND((M1476*0.25)+(N1476*0.20)+(O1476*0.15)+(P1476*0.15)+(Q1476*0.10)+(R1476*0.10)+(S1476*0.05),2)</f>
        <v/>
      </c>
      <c r="U1476">
        <f>IF(T1476&gt;=4.25,"Critical",IF(T1476&gt;=3.5,"High",IF(T1476&gt;=2,"Medium","Low")))</f>
        <v/>
      </c>
    </row>
    <row r="1477">
      <c r="R1477">
        <f>IFERROR(XLOOKUP(XLOOKUP(D1477,tblReleaseChanges[Change_ID],tblReleaseChanges[Oracle_Severity],""),tblSeverityMap[Severity_Text],tblSeverityMap[Score],0),0)</f>
        <v/>
      </c>
      <c r="T1477">
        <f>ROUND((M1477*0.25)+(N1477*0.20)+(O1477*0.15)+(P1477*0.15)+(Q1477*0.10)+(R1477*0.10)+(S1477*0.05),2)</f>
        <v/>
      </c>
      <c r="U1477">
        <f>IF(T1477&gt;=4.25,"Critical",IF(T1477&gt;=3.5,"High",IF(T1477&gt;=2,"Medium","Low")))</f>
        <v/>
      </c>
    </row>
    <row r="1478">
      <c r="R1478">
        <f>IFERROR(XLOOKUP(XLOOKUP(D1478,tblReleaseChanges[Change_ID],tblReleaseChanges[Oracle_Severity],""),tblSeverityMap[Severity_Text],tblSeverityMap[Score],0),0)</f>
        <v/>
      </c>
      <c r="T1478">
        <f>ROUND((M1478*0.25)+(N1478*0.20)+(O1478*0.15)+(P1478*0.15)+(Q1478*0.10)+(R1478*0.10)+(S1478*0.05),2)</f>
        <v/>
      </c>
      <c r="U1478">
        <f>IF(T1478&gt;=4.25,"Critical",IF(T1478&gt;=3.5,"High",IF(T1478&gt;=2,"Medium","Low")))</f>
        <v/>
      </c>
    </row>
    <row r="1479">
      <c r="R1479">
        <f>IFERROR(XLOOKUP(XLOOKUP(D1479,tblReleaseChanges[Change_ID],tblReleaseChanges[Oracle_Severity],""),tblSeverityMap[Severity_Text],tblSeverityMap[Score],0),0)</f>
        <v/>
      </c>
      <c r="T1479">
        <f>ROUND((M1479*0.25)+(N1479*0.20)+(O1479*0.15)+(P1479*0.15)+(Q1479*0.10)+(R1479*0.10)+(S1479*0.05),2)</f>
        <v/>
      </c>
      <c r="U1479">
        <f>IF(T1479&gt;=4.25,"Critical",IF(T1479&gt;=3.5,"High",IF(T1479&gt;=2,"Medium","Low")))</f>
        <v/>
      </c>
    </row>
    <row r="1480">
      <c r="R1480">
        <f>IFERROR(XLOOKUP(XLOOKUP(D1480,tblReleaseChanges[Change_ID],tblReleaseChanges[Oracle_Severity],""),tblSeverityMap[Severity_Text],tblSeverityMap[Score],0),0)</f>
        <v/>
      </c>
      <c r="T1480">
        <f>ROUND((M1480*0.25)+(N1480*0.20)+(O1480*0.15)+(P1480*0.15)+(Q1480*0.10)+(R1480*0.10)+(S1480*0.05),2)</f>
        <v/>
      </c>
      <c r="U1480">
        <f>IF(T1480&gt;=4.25,"Critical",IF(T1480&gt;=3.5,"High",IF(T1480&gt;=2,"Medium","Low")))</f>
        <v/>
      </c>
    </row>
    <row r="1481">
      <c r="R1481">
        <f>IFERROR(XLOOKUP(XLOOKUP(D1481,tblReleaseChanges[Change_ID],tblReleaseChanges[Oracle_Severity],""),tblSeverityMap[Severity_Text],tblSeverityMap[Score],0),0)</f>
        <v/>
      </c>
      <c r="T1481">
        <f>ROUND((M1481*0.25)+(N1481*0.20)+(O1481*0.15)+(P1481*0.15)+(Q1481*0.10)+(R1481*0.10)+(S1481*0.05),2)</f>
        <v/>
      </c>
      <c r="U1481">
        <f>IF(T1481&gt;=4.25,"Critical",IF(T1481&gt;=3.5,"High",IF(T1481&gt;=2,"Medium","Low")))</f>
        <v/>
      </c>
    </row>
    <row r="1482">
      <c r="R1482">
        <f>IFERROR(XLOOKUP(XLOOKUP(D1482,tblReleaseChanges[Change_ID],tblReleaseChanges[Oracle_Severity],""),tblSeverityMap[Severity_Text],tblSeverityMap[Score],0),0)</f>
        <v/>
      </c>
      <c r="T1482">
        <f>ROUND((M1482*0.25)+(N1482*0.20)+(O1482*0.15)+(P1482*0.15)+(Q1482*0.10)+(R1482*0.10)+(S1482*0.05),2)</f>
        <v/>
      </c>
      <c r="U1482">
        <f>IF(T1482&gt;=4.25,"Critical",IF(T1482&gt;=3.5,"High",IF(T1482&gt;=2,"Medium","Low")))</f>
        <v/>
      </c>
    </row>
    <row r="1483">
      <c r="R1483">
        <f>IFERROR(XLOOKUP(XLOOKUP(D1483,tblReleaseChanges[Change_ID],tblReleaseChanges[Oracle_Severity],""),tblSeverityMap[Severity_Text],tblSeverityMap[Score],0),0)</f>
        <v/>
      </c>
      <c r="T1483">
        <f>ROUND((M1483*0.25)+(N1483*0.20)+(O1483*0.15)+(P1483*0.15)+(Q1483*0.10)+(R1483*0.10)+(S1483*0.05),2)</f>
        <v/>
      </c>
      <c r="U1483">
        <f>IF(T1483&gt;=4.25,"Critical",IF(T1483&gt;=3.5,"High",IF(T1483&gt;=2,"Medium","Low")))</f>
        <v/>
      </c>
    </row>
    <row r="1484">
      <c r="R1484">
        <f>IFERROR(XLOOKUP(XLOOKUP(D1484,tblReleaseChanges[Change_ID],tblReleaseChanges[Oracle_Severity],""),tblSeverityMap[Severity_Text],tblSeverityMap[Score],0),0)</f>
        <v/>
      </c>
      <c r="T1484">
        <f>ROUND((M1484*0.25)+(N1484*0.20)+(O1484*0.15)+(P1484*0.15)+(Q1484*0.10)+(R1484*0.10)+(S1484*0.05),2)</f>
        <v/>
      </c>
      <c r="U1484">
        <f>IF(T1484&gt;=4.25,"Critical",IF(T1484&gt;=3.5,"High",IF(T1484&gt;=2,"Medium","Low")))</f>
        <v/>
      </c>
    </row>
    <row r="1485">
      <c r="R1485">
        <f>IFERROR(XLOOKUP(XLOOKUP(D1485,tblReleaseChanges[Change_ID],tblReleaseChanges[Oracle_Severity],""),tblSeverityMap[Severity_Text],tblSeverityMap[Score],0),0)</f>
        <v/>
      </c>
      <c r="T1485">
        <f>ROUND((M1485*0.25)+(N1485*0.20)+(O1485*0.15)+(P1485*0.15)+(Q1485*0.10)+(R1485*0.10)+(S1485*0.05),2)</f>
        <v/>
      </c>
      <c r="U1485">
        <f>IF(T1485&gt;=4.25,"Critical",IF(T1485&gt;=3.5,"High",IF(T1485&gt;=2,"Medium","Low")))</f>
        <v/>
      </c>
    </row>
    <row r="1486">
      <c r="R1486">
        <f>IFERROR(XLOOKUP(XLOOKUP(D1486,tblReleaseChanges[Change_ID],tblReleaseChanges[Oracle_Severity],""),tblSeverityMap[Severity_Text],tblSeverityMap[Score],0),0)</f>
        <v/>
      </c>
      <c r="T1486">
        <f>ROUND((M1486*0.25)+(N1486*0.20)+(O1486*0.15)+(P1486*0.15)+(Q1486*0.10)+(R1486*0.10)+(S1486*0.05),2)</f>
        <v/>
      </c>
      <c r="U1486">
        <f>IF(T1486&gt;=4.25,"Critical",IF(T1486&gt;=3.5,"High",IF(T1486&gt;=2,"Medium","Low")))</f>
        <v/>
      </c>
    </row>
    <row r="1487">
      <c r="R1487">
        <f>IFERROR(XLOOKUP(XLOOKUP(D1487,tblReleaseChanges[Change_ID],tblReleaseChanges[Oracle_Severity],""),tblSeverityMap[Severity_Text],tblSeverityMap[Score],0),0)</f>
        <v/>
      </c>
      <c r="T1487">
        <f>ROUND((M1487*0.25)+(N1487*0.20)+(O1487*0.15)+(P1487*0.15)+(Q1487*0.10)+(R1487*0.10)+(S1487*0.05),2)</f>
        <v/>
      </c>
      <c r="U1487">
        <f>IF(T1487&gt;=4.25,"Critical",IF(T1487&gt;=3.5,"High",IF(T1487&gt;=2,"Medium","Low")))</f>
        <v/>
      </c>
    </row>
    <row r="1488">
      <c r="R1488">
        <f>IFERROR(XLOOKUP(XLOOKUP(D1488,tblReleaseChanges[Change_ID],tblReleaseChanges[Oracle_Severity],""),tblSeverityMap[Severity_Text],tblSeverityMap[Score],0),0)</f>
        <v/>
      </c>
      <c r="T1488">
        <f>ROUND((M1488*0.25)+(N1488*0.20)+(O1488*0.15)+(P1488*0.15)+(Q1488*0.10)+(R1488*0.10)+(S1488*0.05),2)</f>
        <v/>
      </c>
      <c r="U1488">
        <f>IF(T1488&gt;=4.25,"Critical",IF(T1488&gt;=3.5,"High",IF(T1488&gt;=2,"Medium","Low")))</f>
        <v/>
      </c>
    </row>
    <row r="1489">
      <c r="R1489">
        <f>IFERROR(XLOOKUP(XLOOKUP(D1489,tblReleaseChanges[Change_ID],tblReleaseChanges[Oracle_Severity],""),tblSeverityMap[Severity_Text],tblSeverityMap[Score],0),0)</f>
        <v/>
      </c>
      <c r="T1489">
        <f>ROUND((M1489*0.25)+(N1489*0.20)+(O1489*0.15)+(P1489*0.15)+(Q1489*0.10)+(R1489*0.10)+(S1489*0.05),2)</f>
        <v/>
      </c>
      <c r="U1489">
        <f>IF(T1489&gt;=4.25,"Critical",IF(T1489&gt;=3.5,"High",IF(T1489&gt;=2,"Medium","Low")))</f>
        <v/>
      </c>
    </row>
    <row r="1490">
      <c r="R1490">
        <f>IFERROR(XLOOKUP(XLOOKUP(D1490,tblReleaseChanges[Change_ID],tblReleaseChanges[Oracle_Severity],""),tblSeverityMap[Severity_Text],tblSeverityMap[Score],0),0)</f>
        <v/>
      </c>
      <c r="T1490">
        <f>ROUND((M1490*0.25)+(N1490*0.20)+(O1490*0.15)+(P1490*0.15)+(Q1490*0.10)+(R1490*0.10)+(S1490*0.05),2)</f>
        <v/>
      </c>
      <c r="U1490">
        <f>IF(T1490&gt;=4.25,"Critical",IF(T1490&gt;=3.5,"High",IF(T1490&gt;=2,"Medium","Low")))</f>
        <v/>
      </c>
    </row>
    <row r="1491">
      <c r="R1491">
        <f>IFERROR(XLOOKUP(XLOOKUP(D1491,tblReleaseChanges[Change_ID],tblReleaseChanges[Oracle_Severity],""),tblSeverityMap[Severity_Text],tblSeverityMap[Score],0),0)</f>
        <v/>
      </c>
      <c r="T1491">
        <f>ROUND((M1491*0.25)+(N1491*0.20)+(O1491*0.15)+(P1491*0.15)+(Q1491*0.10)+(R1491*0.10)+(S1491*0.05),2)</f>
        <v/>
      </c>
      <c r="U1491">
        <f>IF(T1491&gt;=4.25,"Critical",IF(T1491&gt;=3.5,"High",IF(T1491&gt;=2,"Medium","Low")))</f>
        <v/>
      </c>
    </row>
    <row r="1492">
      <c r="R1492">
        <f>IFERROR(XLOOKUP(XLOOKUP(D1492,tblReleaseChanges[Change_ID],tblReleaseChanges[Oracle_Severity],""),tblSeverityMap[Severity_Text],tblSeverityMap[Score],0),0)</f>
        <v/>
      </c>
      <c r="T1492">
        <f>ROUND((M1492*0.25)+(N1492*0.20)+(O1492*0.15)+(P1492*0.15)+(Q1492*0.10)+(R1492*0.10)+(S1492*0.05),2)</f>
        <v/>
      </c>
      <c r="U1492">
        <f>IF(T1492&gt;=4.25,"Critical",IF(T1492&gt;=3.5,"High",IF(T1492&gt;=2,"Medium","Low")))</f>
        <v/>
      </c>
    </row>
    <row r="1493">
      <c r="R1493">
        <f>IFERROR(XLOOKUP(XLOOKUP(D1493,tblReleaseChanges[Change_ID],tblReleaseChanges[Oracle_Severity],""),tblSeverityMap[Severity_Text],tblSeverityMap[Score],0),0)</f>
        <v/>
      </c>
      <c r="T1493">
        <f>ROUND((M1493*0.25)+(N1493*0.20)+(O1493*0.15)+(P1493*0.15)+(Q1493*0.10)+(R1493*0.10)+(S1493*0.05),2)</f>
        <v/>
      </c>
      <c r="U1493">
        <f>IF(T1493&gt;=4.25,"Critical",IF(T1493&gt;=3.5,"High",IF(T1493&gt;=2,"Medium","Low")))</f>
        <v/>
      </c>
    </row>
    <row r="1494">
      <c r="R1494">
        <f>IFERROR(XLOOKUP(XLOOKUP(D1494,tblReleaseChanges[Change_ID],tblReleaseChanges[Oracle_Severity],""),tblSeverityMap[Severity_Text],tblSeverityMap[Score],0),0)</f>
        <v/>
      </c>
      <c r="T1494">
        <f>ROUND((M1494*0.25)+(N1494*0.20)+(O1494*0.15)+(P1494*0.15)+(Q1494*0.10)+(R1494*0.10)+(S1494*0.05),2)</f>
        <v/>
      </c>
      <c r="U1494">
        <f>IF(T1494&gt;=4.25,"Critical",IF(T1494&gt;=3.5,"High",IF(T1494&gt;=2,"Medium","Low")))</f>
        <v/>
      </c>
    </row>
    <row r="1495">
      <c r="R1495">
        <f>IFERROR(XLOOKUP(XLOOKUP(D1495,tblReleaseChanges[Change_ID],tblReleaseChanges[Oracle_Severity],""),tblSeverityMap[Severity_Text],tblSeverityMap[Score],0),0)</f>
        <v/>
      </c>
      <c r="T1495">
        <f>ROUND((M1495*0.25)+(N1495*0.20)+(O1495*0.15)+(P1495*0.15)+(Q1495*0.10)+(R1495*0.10)+(S1495*0.05),2)</f>
        <v/>
      </c>
      <c r="U1495">
        <f>IF(T1495&gt;=4.25,"Critical",IF(T1495&gt;=3.5,"High",IF(T1495&gt;=2,"Medium","Low")))</f>
        <v/>
      </c>
    </row>
    <row r="1496">
      <c r="R1496">
        <f>IFERROR(XLOOKUP(XLOOKUP(D1496,tblReleaseChanges[Change_ID],tblReleaseChanges[Oracle_Severity],""),tblSeverityMap[Severity_Text],tblSeverityMap[Score],0),0)</f>
        <v/>
      </c>
      <c r="T1496">
        <f>ROUND((M1496*0.25)+(N1496*0.20)+(O1496*0.15)+(P1496*0.15)+(Q1496*0.10)+(R1496*0.10)+(S1496*0.05),2)</f>
        <v/>
      </c>
      <c r="U1496">
        <f>IF(T1496&gt;=4.25,"Critical",IF(T1496&gt;=3.5,"High",IF(T1496&gt;=2,"Medium","Low")))</f>
        <v/>
      </c>
    </row>
    <row r="1497">
      <c r="R1497">
        <f>IFERROR(XLOOKUP(XLOOKUP(D1497,tblReleaseChanges[Change_ID],tblReleaseChanges[Oracle_Severity],""),tblSeverityMap[Severity_Text],tblSeverityMap[Score],0),0)</f>
        <v/>
      </c>
      <c r="T1497">
        <f>ROUND((M1497*0.25)+(N1497*0.20)+(O1497*0.15)+(P1497*0.15)+(Q1497*0.10)+(R1497*0.10)+(S1497*0.05),2)</f>
        <v/>
      </c>
      <c r="U1497">
        <f>IF(T1497&gt;=4.25,"Critical",IF(T1497&gt;=3.5,"High",IF(T1497&gt;=2,"Medium","Low")))</f>
        <v/>
      </c>
    </row>
    <row r="1498">
      <c r="R1498">
        <f>IFERROR(XLOOKUP(XLOOKUP(D1498,tblReleaseChanges[Change_ID],tblReleaseChanges[Oracle_Severity],""),tblSeverityMap[Severity_Text],tblSeverityMap[Score],0),0)</f>
        <v/>
      </c>
      <c r="T1498">
        <f>ROUND((M1498*0.25)+(N1498*0.20)+(O1498*0.15)+(P1498*0.15)+(Q1498*0.10)+(R1498*0.10)+(S1498*0.05),2)</f>
        <v/>
      </c>
      <c r="U1498">
        <f>IF(T1498&gt;=4.25,"Critical",IF(T1498&gt;=3.5,"High",IF(T1498&gt;=2,"Medium","Low")))</f>
        <v/>
      </c>
    </row>
    <row r="1499">
      <c r="R1499">
        <f>IFERROR(XLOOKUP(XLOOKUP(D1499,tblReleaseChanges[Change_ID],tblReleaseChanges[Oracle_Severity],""),tblSeverityMap[Severity_Text],tblSeverityMap[Score],0),0)</f>
        <v/>
      </c>
      <c r="T1499">
        <f>ROUND((M1499*0.25)+(N1499*0.20)+(O1499*0.15)+(P1499*0.15)+(Q1499*0.10)+(R1499*0.10)+(S1499*0.05),2)</f>
        <v/>
      </c>
      <c r="U1499">
        <f>IF(T1499&gt;=4.25,"Critical",IF(T1499&gt;=3.5,"High",IF(T1499&gt;=2,"Medium","Low")))</f>
        <v/>
      </c>
    </row>
    <row r="1500">
      <c r="R1500">
        <f>IFERROR(XLOOKUP(XLOOKUP(D1500,tblReleaseChanges[Change_ID],tblReleaseChanges[Oracle_Severity],""),tblSeverityMap[Severity_Text],tblSeverityMap[Score],0),0)</f>
        <v/>
      </c>
      <c r="T1500">
        <f>ROUND((M1500*0.25)+(N1500*0.20)+(O1500*0.15)+(P1500*0.15)+(Q1500*0.10)+(R1500*0.10)+(S1500*0.05),2)</f>
        <v/>
      </c>
      <c r="U1500">
        <f>IF(T1500&gt;=4.25,"Critical",IF(T1500&gt;=3.5,"High",IF(T1500&gt;=2,"Medium","Low")))</f>
        <v/>
      </c>
    </row>
    <row r="1501">
      <c r="R1501">
        <f>IFERROR(XLOOKUP(XLOOKUP(D1501,tblReleaseChanges[Change_ID],tblReleaseChanges[Oracle_Severity],""),tblSeverityMap[Severity_Text],tblSeverityMap[Score],0),0)</f>
        <v/>
      </c>
      <c r="T1501">
        <f>ROUND((M1501*0.25)+(N1501*0.20)+(O1501*0.15)+(P1501*0.15)+(Q1501*0.10)+(R1501*0.10)+(S1501*0.05),2)</f>
        <v/>
      </c>
      <c r="U1501">
        <f>IF(T1501&gt;=4.25,"Critical",IF(T1501&gt;=3.5,"High",IF(T1501&gt;=2,"Medium","Low")))</f>
        <v/>
      </c>
    </row>
    <row r="1502">
      <c r="R1502">
        <f>IFERROR(XLOOKUP(XLOOKUP(D1502,tblReleaseChanges[Change_ID],tblReleaseChanges[Oracle_Severity],""),tblSeverityMap[Severity_Text],tblSeverityMap[Score],0),0)</f>
        <v/>
      </c>
      <c r="T1502">
        <f>ROUND((M1502*0.25)+(N1502*0.20)+(O1502*0.15)+(P1502*0.15)+(Q1502*0.10)+(R1502*0.10)+(S1502*0.05),2)</f>
        <v/>
      </c>
      <c r="U1502">
        <f>IF(T1502&gt;=4.25,"Critical",IF(T1502&gt;=3.5,"High",IF(T1502&gt;=2,"Medium","Low")))</f>
        <v/>
      </c>
    </row>
    <row r="1503">
      <c r="R1503">
        <f>IFERROR(XLOOKUP(XLOOKUP(D1503,tblReleaseChanges[Change_ID],tblReleaseChanges[Oracle_Severity],""),tblSeverityMap[Severity_Text],tblSeverityMap[Score],0),0)</f>
        <v/>
      </c>
      <c r="T1503">
        <f>ROUND((M1503*0.25)+(N1503*0.20)+(O1503*0.15)+(P1503*0.15)+(Q1503*0.10)+(R1503*0.10)+(S1503*0.05),2)</f>
        <v/>
      </c>
      <c r="U1503">
        <f>IF(T1503&gt;=4.25,"Critical",IF(T1503&gt;=3.5,"High",IF(T1503&gt;=2,"Medium","Low")))</f>
        <v/>
      </c>
    </row>
    <row r="1504">
      <c r="R1504">
        <f>IFERROR(XLOOKUP(XLOOKUP(D1504,tblReleaseChanges[Change_ID],tblReleaseChanges[Oracle_Severity],""),tblSeverityMap[Severity_Text],tblSeverityMap[Score],0),0)</f>
        <v/>
      </c>
      <c r="T1504">
        <f>ROUND((M1504*0.25)+(N1504*0.20)+(O1504*0.15)+(P1504*0.15)+(Q1504*0.10)+(R1504*0.10)+(S1504*0.05),2)</f>
        <v/>
      </c>
      <c r="U1504">
        <f>IF(T1504&gt;=4.25,"Critical",IF(T1504&gt;=3.5,"High",IF(T1504&gt;=2,"Medium","Low")))</f>
        <v/>
      </c>
    </row>
    <row r="1505">
      <c r="R1505">
        <f>IFERROR(XLOOKUP(XLOOKUP(D1505,tblReleaseChanges[Change_ID],tblReleaseChanges[Oracle_Severity],""),tblSeverityMap[Severity_Text],tblSeverityMap[Score],0),0)</f>
        <v/>
      </c>
      <c r="T1505">
        <f>ROUND((M1505*0.25)+(N1505*0.20)+(O1505*0.15)+(P1505*0.15)+(Q1505*0.10)+(R1505*0.10)+(S1505*0.05),2)</f>
        <v/>
      </c>
      <c r="U1505">
        <f>IF(T1505&gt;=4.25,"Critical",IF(T1505&gt;=3.5,"High",IF(T1505&gt;=2,"Medium","Low")))</f>
        <v/>
      </c>
    </row>
    <row r="1506">
      <c r="R1506">
        <f>IFERROR(XLOOKUP(XLOOKUP(D1506,tblReleaseChanges[Change_ID],tblReleaseChanges[Oracle_Severity],""),tblSeverityMap[Severity_Text],tblSeverityMap[Score],0),0)</f>
        <v/>
      </c>
      <c r="T1506">
        <f>ROUND((M1506*0.25)+(N1506*0.20)+(O1506*0.15)+(P1506*0.15)+(Q1506*0.10)+(R1506*0.10)+(S1506*0.05),2)</f>
        <v/>
      </c>
      <c r="U1506">
        <f>IF(T1506&gt;=4.25,"Critical",IF(T1506&gt;=3.5,"High",IF(T1506&gt;=2,"Medium","Low")))</f>
        <v/>
      </c>
    </row>
    <row r="1507">
      <c r="R1507">
        <f>IFERROR(XLOOKUP(XLOOKUP(D1507,tblReleaseChanges[Change_ID],tblReleaseChanges[Oracle_Severity],""),tblSeverityMap[Severity_Text],tblSeverityMap[Score],0),0)</f>
        <v/>
      </c>
      <c r="T1507">
        <f>ROUND((M1507*0.25)+(N1507*0.20)+(O1507*0.15)+(P1507*0.15)+(Q1507*0.10)+(R1507*0.10)+(S1507*0.05),2)</f>
        <v/>
      </c>
      <c r="U1507">
        <f>IF(T1507&gt;=4.25,"Critical",IF(T1507&gt;=3.5,"High",IF(T1507&gt;=2,"Medium","Low")))</f>
        <v/>
      </c>
    </row>
    <row r="1508">
      <c r="R1508">
        <f>IFERROR(XLOOKUP(XLOOKUP(D1508,tblReleaseChanges[Change_ID],tblReleaseChanges[Oracle_Severity],""),tblSeverityMap[Severity_Text],tblSeverityMap[Score],0),0)</f>
        <v/>
      </c>
      <c r="T1508">
        <f>ROUND((M1508*0.25)+(N1508*0.20)+(O1508*0.15)+(P1508*0.15)+(Q1508*0.10)+(R1508*0.10)+(S1508*0.05),2)</f>
        <v/>
      </c>
      <c r="U1508">
        <f>IF(T1508&gt;=4.25,"Critical",IF(T1508&gt;=3.5,"High",IF(T1508&gt;=2,"Medium","Low")))</f>
        <v/>
      </c>
    </row>
    <row r="1509">
      <c r="R1509">
        <f>IFERROR(XLOOKUP(XLOOKUP(D1509,tblReleaseChanges[Change_ID],tblReleaseChanges[Oracle_Severity],""),tblSeverityMap[Severity_Text],tblSeverityMap[Score],0),0)</f>
        <v/>
      </c>
      <c r="T1509">
        <f>ROUND((M1509*0.25)+(N1509*0.20)+(O1509*0.15)+(P1509*0.15)+(Q1509*0.10)+(R1509*0.10)+(S1509*0.05),2)</f>
        <v/>
      </c>
      <c r="U1509">
        <f>IF(T1509&gt;=4.25,"Critical",IF(T1509&gt;=3.5,"High",IF(T1509&gt;=2,"Medium","Low")))</f>
        <v/>
      </c>
    </row>
    <row r="1510">
      <c r="R1510">
        <f>IFERROR(XLOOKUP(XLOOKUP(D1510,tblReleaseChanges[Change_ID],tblReleaseChanges[Oracle_Severity],""),tblSeverityMap[Severity_Text],tblSeverityMap[Score],0),0)</f>
        <v/>
      </c>
      <c r="T1510">
        <f>ROUND((M1510*0.25)+(N1510*0.20)+(O1510*0.15)+(P1510*0.15)+(Q1510*0.10)+(R1510*0.10)+(S1510*0.05),2)</f>
        <v/>
      </c>
      <c r="U1510">
        <f>IF(T1510&gt;=4.25,"Critical",IF(T1510&gt;=3.5,"High",IF(T1510&gt;=2,"Medium","Low")))</f>
        <v/>
      </c>
    </row>
    <row r="1511">
      <c r="R1511">
        <f>IFERROR(XLOOKUP(XLOOKUP(D1511,tblReleaseChanges[Change_ID],tblReleaseChanges[Oracle_Severity],""),tblSeverityMap[Severity_Text],tblSeverityMap[Score],0),0)</f>
        <v/>
      </c>
      <c r="T1511">
        <f>ROUND((M1511*0.25)+(N1511*0.20)+(O1511*0.15)+(P1511*0.15)+(Q1511*0.10)+(R1511*0.10)+(S1511*0.05),2)</f>
        <v/>
      </c>
      <c r="U1511">
        <f>IF(T1511&gt;=4.25,"Critical",IF(T1511&gt;=3.5,"High",IF(T1511&gt;=2,"Medium","Low")))</f>
        <v/>
      </c>
    </row>
    <row r="1512">
      <c r="R1512">
        <f>IFERROR(XLOOKUP(XLOOKUP(D1512,tblReleaseChanges[Change_ID],tblReleaseChanges[Oracle_Severity],""),tblSeverityMap[Severity_Text],tblSeverityMap[Score],0),0)</f>
        <v/>
      </c>
      <c r="T1512">
        <f>ROUND((M1512*0.25)+(N1512*0.20)+(O1512*0.15)+(P1512*0.15)+(Q1512*0.10)+(R1512*0.10)+(S1512*0.05),2)</f>
        <v/>
      </c>
      <c r="U1512">
        <f>IF(T1512&gt;=4.25,"Critical",IF(T1512&gt;=3.5,"High",IF(T1512&gt;=2,"Medium","Low")))</f>
        <v/>
      </c>
    </row>
    <row r="1513">
      <c r="R1513">
        <f>IFERROR(XLOOKUP(XLOOKUP(D1513,tblReleaseChanges[Change_ID],tblReleaseChanges[Oracle_Severity],""),tblSeverityMap[Severity_Text],tblSeverityMap[Score],0),0)</f>
        <v/>
      </c>
      <c r="T1513">
        <f>ROUND((M1513*0.25)+(N1513*0.20)+(O1513*0.15)+(P1513*0.15)+(Q1513*0.10)+(R1513*0.10)+(S1513*0.05),2)</f>
        <v/>
      </c>
      <c r="U1513">
        <f>IF(T1513&gt;=4.25,"Critical",IF(T1513&gt;=3.5,"High",IF(T1513&gt;=2,"Medium","Low")))</f>
        <v/>
      </c>
    </row>
    <row r="1514">
      <c r="R1514">
        <f>IFERROR(XLOOKUP(XLOOKUP(D1514,tblReleaseChanges[Change_ID],tblReleaseChanges[Oracle_Severity],""),tblSeverityMap[Severity_Text],tblSeverityMap[Score],0),0)</f>
        <v/>
      </c>
      <c r="T1514">
        <f>ROUND((M1514*0.25)+(N1514*0.20)+(O1514*0.15)+(P1514*0.15)+(Q1514*0.10)+(R1514*0.10)+(S1514*0.05),2)</f>
        <v/>
      </c>
      <c r="U1514">
        <f>IF(T1514&gt;=4.25,"Critical",IF(T1514&gt;=3.5,"High",IF(T1514&gt;=2,"Medium","Low")))</f>
        <v/>
      </c>
    </row>
    <row r="1515">
      <c r="R1515">
        <f>IFERROR(XLOOKUP(XLOOKUP(D1515,tblReleaseChanges[Change_ID],tblReleaseChanges[Oracle_Severity],""),tblSeverityMap[Severity_Text],tblSeverityMap[Score],0),0)</f>
        <v/>
      </c>
      <c r="T1515">
        <f>ROUND((M1515*0.25)+(N1515*0.20)+(O1515*0.15)+(P1515*0.15)+(Q1515*0.10)+(R1515*0.10)+(S1515*0.05),2)</f>
        <v/>
      </c>
      <c r="U1515">
        <f>IF(T1515&gt;=4.25,"Critical",IF(T1515&gt;=3.5,"High",IF(T1515&gt;=2,"Medium","Low")))</f>
        <v/>
      </c>
    </row>
    <row r="1516">
      <c r="R1516">
        <f>IFERROR(XLOOKUP(XLOOKUP(D1516,tblReleaseChanges[Change_ID],tblReleaseChanges[Oracle_Severity],""),tblSeverityMap[Severity_Text],tblSeverityMap[Score],0),0)</f>
        <v/>
      </c>
      <c r="T1516">
        <f>ROUND((M1516*0.25)+(N1516*0.20)+(O1516*0.15)+(P1516*0.15)+(Q1516*0.10)+(R1516*0.10)+(S1516*0.05),2)</f>
        <v/>
      </c>
      <c r="U1516">
        <f>IF(T1516&gt;=4.25,"Critical",IF(T1516&gt;=3.5,"High",IF(T1516&gt;=2,"Medium","Low")))</f>
        <v/>
      </c>
    </row>
    <row r="1517">
      <c r="R1517">
        <f>IFERROR(XLOOKUP(XLOOKUP(D1517,tblReleaseChanges[Change_ID],tblReleaseChanges[Oracle_Severity],""),tblSeverityMap[Severity_Text],tblSeverityMap[Score],0),0)</f>
        <v/>
      </c>
      <c r="T1517">
        <f>ROUND((M1517*0.25)+(N1517*0.20)+(O1517*0.15)+(P1517*0.15)+(Q1517*0.10)+(R1517*0.10)+(S1517*0.05),2)</f>
        <v/>
      </c>
      <c r="U1517">
        <f>IF(T1517&gt;=4.25,"Critical",IF(T1517&gt;=3.5,"High",IF(T1517&gt;=2,"Medium","Low")))</f>
        <v/>
      </c>
    </row>
    <row r="1518">
      <c r="R1518">
        <f>IFERROR(XLOOKUP(XLOOKUP(D1518,tblReleaseChanges[Change_ID],tblReleaseChanges[Oracle_Severity],""),tblSeverityMap[Severity_Text],tblSeverityMap[Score],0),0)</f>
        <v/>
      </c>
      <c r="T1518">
        <f>ROUND((M1518*0.25)+(N1518*0.20)+(O1518*0.15)+(P1518*0.15)+(Q1518*0.10)+(R1518*0.10)+(S1518*0.05),2)</f>
        <v/>
      </c>
      <c r="U1518">
        <f>IF(T1518&gt;=4.25,"Critical",IF(T1518&gt;=3.5,"High",IF(T1518&gt;=2,"Medium","Low")))</f>
        <v/>
      </c>
    </row>
    <row r="1519">
      <c r="R1519">
        <f>IFERROR(XLOOKUP(XLOOKUP(D1519,tblReleaseChanges[Change_ID],tblReleaseChanges[Oracle_Severity],""),tblSeverityMap[Severity_Text],tblSeverityMap[Score],0),0)</f>
        <v/>
      </c>
      <c r="T1519">
        <f>ROUND((M1519*0.25)+(N1519*0.20)+(O1519*0.15)+(P1519*0.15)+(Q1519*0.10)+(R1519*0.10)+(S1519*0.05),2)</f>
        <v/>
      </c>
      <c r="U1519">
        <f>IF(T1519&gt;=4.25,"Critical",IF(T1519&gt;=3.5,"High",IF(T1519&gt;=2,"Medium","Low")))</f>
        <v/>
      </c>
    </row>
    <row r="1520">
      <c r="R1520">
        <f>IFERROR(XLOOKUP(XLOOKUP(D1520,tblReleaseChanges[Change_ID],tblReleaseChanges[Oracle_Severity],""),tblSeverityMap[Severity_Text],tblSeverityMap[Score],0),0)</f>
        <v/>
      </c>
      <c r="T1520">
        <f>ROUND((M1520*0.25)+(N1520*0.20)+(O1520*0.15)+(P1520*0.15)+(Q1520*0.10)+(R1520*0.10)+(S1520*0.05),2)</f>
        <v/>
      </c>
      <c r="U1520">
        <f>IF(T1520&gt;=4.25,"Critical",IF(T1520&gt;=3.5,"High",IF(T1520&gt;=2,"Medium","Low")))</f>
        <v/>
      </c>
    </row>
    <row r="1521">
      <c r="R1521">
        <f>IFERROR(XLOOKUP(XLOOKUP(D1521,tblReleaseChanges[Change_ID],tblReleaseChanges[Oracle_Severity],""),tblSeverityMap[Severity_Text],tblSeverityMap[Score],0),0)</f>
        <v/>
      </c>
      <c r="T1521">
        <f>ROUND((M1521*0.25)+(N1521*0.20)+(O1521*0.15)+(P1521*0.15)+(Q1521*0.10)+(R1521*0.10)+(S1521*0.05),2)</f>
        <v/>
      </c>
      <c r="U1521">
        <f>IF(T1521&gt;=4.25,"Critical",IF(T1521&gt;=3.5,"High",IF(T1521&gt;=2,"Medium","Low")))</f>
        <v/>
      </c>
    </row>
    <row r="1522">
      <c r="R1522">
        <f>IFERROR(XLOOKUP(XLOOKUP(D1522,tblReleaseChanges[Change_ID],tblReleaseChanges[Oracle_Severity],""),tblSeverityMap[Severity_Text],tblSeverityMap[Score],0),0)</f>
        <v/>
      </c>
      <c r="T1522">
        <f>ROUND((M1522*0.25)+(N1522*0.20)+(O1522*0.15)+(P1522*0.15)+(Q1522*0.10)+(R1522*0.10)+(S1522*0.05),2)</f>
        <v/>
      </c>
      <c r="U1522">
        <f>IF(T1522&gt;=4.25,"Critical",IF(T1522&gt;=3.5,"High",IF(T1522&gt;=2,"Medium","Low")))</f>
        <v/>
      </c>
    </row>
    <row r="1523">
      <c r="R1523">
        <f>IFERROR(XLOOKUP(XLOOKUP(D1523,tblReleaseChanges[Change_ID],tblReleaseChanges[Oracle_Severity],""),tblSeverityMap[Severity_Text],tblSeverityMap[Score],0),0)</f>
        <v/>
      </c>
      <c r="T1523">
        <f>ROUND((M1523*0.25)+(N1523*0.20)+(O1523*0.15)+(P1523*0.15)+(Q1523*0.10)+(R1523*0.10)+(S1523*0.05),2)</f>
        <v/>
      </c>
      <c r="U1523">
        <f>IF(T1523&gt;=4.25,"Critical",IF(T1523&gt;=3.5,"High",IF(T1523&gt;=2,"Medium","Low")))</f>
        <v/>
      </c>
    </row>
    <row r="1524">
      <c r="R1524">
        <f>IFERROR(XLOOKUP(XLOOKUP(D1524,tblReleaseChanges[Change_ID],tblReleaseChanges[Oracle_Severity],""),tblSeverityMap[Severity_Text],tblSeverityMap[Score],0),0)</f>
        <v/>
      </c>
      <c r="T1524">
        <f>ROUND((M1524*0.25)+(N1524*0.20)+(O1524*0.15)+(P1524*0.15)+(Q1524*0.10)+(R1524*0.10)+(S1524*0.05),2)</f>
        <v/>
      </c>
      <c r="U1524">
        <f>IF(T1524&gt;=4.25,"Critical",IF(T1524&gt;=3.5,"High",IF(T1524&gt;=2,"Medium","Low")))</f>
        <v/>
      </c>
    </row>
    <row r="1525">
      <c r="R1525">
        <f>IFERROR(XLOOKUP(XLOOKUP(D1525,tblReleaseChanges[Change_ID],tblReleaseChanges[Oracle_Severity],""),tblSeverityMap[Severity_Text],tblSeverityMap[Score],0),0)</f>
        <v/>
      </c>
      <c r="T1525">
        <f>ROUND((M1525*0.25)+(N1525*0.20)+(O1525*0.15)+(P1525*0.15)+(Q1525*0.10)+(R1525*0.10)+(S1525*0.05),2)</f>
        <v/>
      </c>
      <c r="U1525">
        <f>IF(T1525&gt;=4.25,"Critical",IF(T1525&gt;=3.5,"High",IF(T1525&gt;=2,"Medium","Low")))</f>
        <v/>
      </c>
    </row>
    <row r="1526">
      <c r="R1526">
        <f>IFERROR(XLOOKUP(XLOOKUP(D1526,tblReleaseChanges[Change_ID],tblReleaseChanges[Oracle_Severity],""),tblSeverityMap[Severity_Text],tblSeverityMap[Score],0),0)</f>
        <v/>
      </c>
      <c r="T1526">
        <f>ROUND((M1526*0.25)+(N1526*0.20)+(O1526*0.15)+(P1526*0.15)+(Q1526*0.10)+(R1526*0.10)+(S1526*0.05),2)</f>
        <v/>
      </c>
      <c r="U1526">
        <f>IF(T1526&gt;=4.25,"Critical",IF(T1526&gt;=3.5,"High",IF(T1526&gt;=2,"Medium","Low")))</f>
        <v/>
      </c>
    </row>
    <row r="1527">
      <c r="R1527">
        <f>IFERROR(XLOOKUP(XLOOKUP(D1527,tblReleaseChanges[Change_ID],tblReleaseChanges[Oracle_Severity],""),tblSeverityMap[Severity_Text],tblSeverityMap[Score],0),0)</f>
        <v/>
      </c>
      <c r="T1527">
        <f>ROUND((M1527*0.25)+(N1527*0.20)+(O1527*0.15)+(P1527*0.15)+(Q1527*0.10)+(R1527*0.10)+(S1527*0.05),2)</f>
        <v/>
      </c>
      <c r="U1527">
        <f>IF(T1527&gt;=4.25,"Critical",IF(T1527&gt;=3.5,"High",IF(T1527&gt;=2,"Medium","Low")))</f>
        <v/>
      </c>
    </row>
    <row r="1528">
      <c r="R1528">
        <f>IFERROR(XLOOKUP(XLOOKUP(D1528,tblReleaseChanges[Change_ID],tblReleaseChanges[Oracle_Severity],""),tblSeverityMap[Severity_Text],tblSeverityMap[Score],0),0)</f>
        <v/>
      </c>
      <c r="T1528">
        <f>ROUND((M1528*0.25)+(N1528*0.20)+(O1528*0.15)+(P1528*0.15)+(Q1528*0.10)+(R1528*0.10)+(S1528*0.05),2)</f>
        <v/>
      </c>
      <c r="U1528">
        <f>IF(T1528&gt;=4.25,"Critical",IF(T1528&gt;=3.5,"High",IF(T1528&gt;=2,"Medium","Low")))</f>
        <v/>
      </c>
    </row>
    <row r="1529">
      <c r="R1529">
        <f>IFERROR(XLOOKUP(XLOOKUP(D1529,tblReleaseChanges[Change_ID],tblReleaseChanges[Oracle_Severity],""),tblSeverityMap[Severity_Text],tblSeverityMap[Score],0),0)</f>
        <v/>
      </c>
      <c r="T1529">
        <f>ROUND((M1529*0.25)+(N1529*0.20)+(O1529*0.15)+(P1529*0.15)+(Q1529*0.10)+(R1529*0.10)+(S1529*0.05),2)</f>
        <v/>
      </c>
      <c r="U1529">
        <f>IF(T1529&gt;=4.25,"Critical",IF(T1529&gt;=3.5,"High",IF(T1529&gt;=2,"Medium","Low")))</f>
        <v/>
      </c>
    </row>
    <row r="1530">
      <c r="R1530">
        <f>IFERROR(XLOOKUP(XLOOKUP(D1530,tblReleaseChanges[Change_ID],tblReleaseChanges[Oracle_Severity],""),tblSeverityMap[Severity_Text],tblSeverityMap[Score],0),0)</f>
        <v/>
      </c>
      <c r="T1530">
        <f>ROUND((M1530*0.25)+(N1530*0.20)+(O1530*0.15)+(P1530*0.15)+(Q1530*0.10)+(R1530*0.10)+(S1530*0.05),2)</f>
        <v/>
      </c>
      <c r="U1530">
        <f>IF(T1530&gt;=4.25,"Critical",IF(T1530&gt;=3.5,"High",IF(T1530&gt;=2,"Medium","Low")))</f>
        <v/>
      </c>
    </row>
    <row r="1531">
      <c r="R1531">
        <f>IFERROR(XLOOKUP(XLOOKUP(D1531,tblReleaseChanges[Change_ID],tblReleaseChanges[Oracle_Severity],""),tblSeverityMap[Severity_Text],tblSeverityMap[Score],0),0)</f>
        <v/>
      </c>
      <c r="T1531">
        <f>ROUND((M1531*0.25)+(N1531*0.20)+(O1531*0.15)+(P1531*0.15)+(Q1531*0.10)+(R1531*0.10)+(S1531*0.05),2)</f>
        <v/>
      </c>
      <c r="U1531">
        <f>IF(T1531&gt;=4.25,"Critical",IF(T1531&gt;=3.5,"High",IF(T1531&gt;=2,"Medium","Low")))</f>
        <v/>
      </c>
    </row>
    <row r="1532">
      <c r="R1532">
        <f>IFERROR(XLOOKUP(XLOOKUP(D1532,tblReleaseChanges[Change_ID],tblReleaseChanges[Oracle_Severity],""),tblSeverityMap[Severity_Text],tblSeverityMap[Score],0),0)</f>
        <v/>
      </c>
      <c r="T1532">
        <f>ROUND((M1532*0.25)+(N1532*0.20)+(O1532*0.15)+(P1532*0.15)+(Q1532*0.10)+(R1532*0.10)+(S1532*0.05),2)</f>
        <v/>
      </c>
      <c r="U1532">
        <f>IF(T1532&gt;=4.25,"Critical",IF(T1532&gt;=3.5,"High",IF(T1532&gt;=2,"Medium","Low")))</f>
        <v/>
      </c>
    </row>
    <row r="1533">
      <c r="R1533">
        <f>IFERROR(XLOOKUP(XLOOKUP(D1533,tblReleaseChanges[Change_ID],tblReleaseChanges[Oracle_Severity],""),tblSeverityMap[Severity_Text],tblSeverityMap[Score],0),0)</f>
        <v/>
      </c>
      <c r="T1533">
        <f>ROUND((M1533*0.25)+(N1533*0.20)+(O1533*0.15)+(P1533*0.15)+(Q1533*0.10)+(R1533*0.10)+(S1533*0.05),2)</f>
        <v/>
      </c>
      <c r="U1533">
        <f>IF(T1533&gt;=4.25,"Critical",IF(T1533&gt;=3.5,"High",IF(T1533&gt;=2,"Medium","Low")))</f>
        <v/>
      </c>
    </row>
    <row r="1534">
      <c r="R1534">
        <f>IFERROR(XLOOKUP(XLOOKUP(D1534,tblReleaseChanges[Change_ID],tblReleaseChanges[Oracle_Severity],""),tblSeverityMap[Severity_Text],tblSeverityMap[Score],0),0)</f>
        <v/>
      </c>
      <c r="T1534">
        <f>ROUND((M1534*0.25)+(N1534*0.20)+(O1534*0.15)+(P1534*0.15)+(Q1534*0.10)+(R1534*0.10)+(S1534*0.05),2)</f>
        <v/>
      </c>
      <c r="U1534">
        <f>IF(T1534&gt;=4.25,"Critical",IF(T1534&gt;=3.5,"High",IF(T1534&gt;=2,"Medium","Low")))</f>
        <v/>
      </c>
    </row>
    <row r="1535">
      <c r="R1535">
        <f>IFERROR(XLOOKUP(XLOOKUP(D1535,tblReleaseChanges[Change_ID],tblReleaseChanges[Oracle_Severity],""),tblSeverityMap[Severity_Text],tblSeverityMap[Score],0),0)</f>
        <v/>
      </c>
      <c r="T1535">
        <f>ROUND((M1535*0.25)+(N1535*0.20)+(O1535*0.15)+(P1535*0.15)+(Q1535*0.10)+(R1535*0.10)+(S1535*0.05),2)</f>
        <v/>
      </c>
      <c r="U1535">
        <f>IF(T1535&gt;=4.25,"Critical",IF(T1535&gt;=3.5,"High",IF(T1535&gt;=2,"Medium","Low")))</f>
        <v/>
      </c>
    </row>
    <row r="1536">
      <c r="R1536">
        <f>IFERROR(XLOOKUP(XLOOKUP(D1536,tblReleaseChanges[Change_ID],tblReleaseChanges[Oracle_Severity],""),tblSeverityMap[Severity_Text],tblSeverityMap[Score],0),0)</f>
        <v/>
      </c>
      <c r="T1536">
        <f>ROUND((M1536*0.25)+(N1536*0.20)+(O1536*0.15)+(P1536*0.15)+(Q1536*0.10)+(R1536*0.10)+(S1536*0.05),2)</f>
        <v/>
      </c>
      <c r="U1536">
        <f>IF(T1536&gt;=4.25,"Critical",IF(T1536&gt;=3.5,"High",IF(T1536&gt;=2,"Medium","Low")))</f>
        <v/>
      </c>
    </row>
    <row r="1537">
      <c r="R1537">
        <f>IFERROR(XLOOKUP(XLOOKUP(D1537,tblReleaseChanges[Change_ID],tblReleaseChanges[Oracle_Severity],""),tblSeverityMap[Severity_Text],tblSeverityMap[Score],0),0)</f>
        <v/>
      </c>
      <c r="T1537">
        <f>ROUND((M1537*0.25)+(N1537*0.20)+(O1537*0.15)+(P1537*0.15)+(Q1537*0.10)+(R1537*0.10)+(S1537*0.05),2)</f>
        <v/>
      </c>
      <c r="U1537">
        <f>IF(T1537&gt;=4.25,"Critical",IF(T1537&gt;=3.5,"High",IF(T1537&gt;=2,"Medium","Low")))</f>
        <v/>
      </c>
    </row>
    <row r="1538">
      <c r="R1538">
        <f>IFERROR(XLOOKUP(XLOOKUP(D1538,tblReleaseChanges[Change_ID],tblReleaseChanges[Oracle_Severity],""),tblSeverityMap[Severity_Text],tblSeverityMap[Score],0),0)</f>
        <v/>
      </c>
      <c r="T1538">
        <f>ROUND((M1538*0.25)+(N1538*0.20)+(O1538*0.15)+(P1538*0.15)+(Q1538*0.10)+(R1538*0.10)+(S1538*0.05),2)</f>
        <v/>
      </c>
      <c r="U1538">
        <f>IF(T1538&gt;=4.25,"Critical",IF(T1538&gt;=3.5,"High",IF(T1538&gt;=2,"Medium","Low")))</f>
        <v/>
      </c>
    </row>
    <row r="1539">
      <c r="R1539">
        <f>IFERROR(XLOOKUP(XLOOKUP(D1539,tblReleaseChanges[Change_ID],tblReleaseChanges[Oracle_Severity],""),tblSeverityMap[Severity_Text],tblSeverityMap[Score],0),0)</f>
        <v/>
      </c>
      <c r="T1539">
        <f>ROUND((M1539*0.25)+(N1539*0.20)+(O1539*0.15)+(P1539*0.15)+(Q1539*0.10)+(R1539*0.10)+(S1539*0.05),2)</f>
        <v/>
      </c>
      <c r="U1539">
        <f>IF(T1539&gt;=4.25,"Critical",IF(T1539&gt;=3.5,"High",IF(T1539&gt;=2,"Medium","Low")))</f>
        <v/>
      </c>
    </row>
    <row r="1540">
      <c r="R1540">
        <f>IFERROR(XLOOKUP(XLOOKUP(D1540,tblReleaseChanges[Change_ID],tblReleaseChanges[Oracle_Severity],""),tblSeverityMap[Severity_Text],tblSeverityMap[Score],0),0)</f>
        <v/>
      </c>
      <c r="T1540">
        <f>ROUND((M1540*0.25)+(N1540*0.20)+(O1540*0.15)+(P1540*0.15)+(Q1540*0.10)+(R1540*0.10)+(S1540*0.05),2)</f>
        <v/>
      </c>
      <c r="U1540">
        <f>IF(T1540&gt;=4.25,"Critical",IF(T1540&gt;=3.5,"High",IF(T1540&gt;=2,"Medium","Low")))</f>
        <v/>
      </c>
    </row>
    <row r="1541">
      <c r="R1541">
        <f>IFERROR(XLOOKUP(XLOOKUP(D1541,tblReleaseChanges[Change_ID],tblReleaseChanges[Oracle_Severity],""),tblSeverityMap[Severity_Text],tblSeverityMap[Score],0),0)</f>
        <v/>
      </c>
      <c r="T1541">
        <f>ROUND((M1541*0.25)+(N1541*0.20)+(O1541*0.15)+(P1541*0.15)+(Q1541*0.10)+(R1541*0.10)+(S1541*0.05),2)</f>
        <v/>
      </c>
      <c r="U1541">
        <f>IF(T1541&gt;=4.25,"Critical",IF(T1541&gt;=3.5,"High",IF(T1541&gt;=2,"Medium","Low")))</f>
        <v/>
      </c>
    </row>
    <row r="1542">
      <c r="R1542">
        <f>IFERROR(XLOOKUP(XLOOKUP(D1542,tblReleaseChanges[Change_ID],tblReleaseChanges[Oracle_Severity],""),tblSeverityMap[Severity_Text],tblSeverityMap[Score],0),0)</f>
        <v/>
      </c>
      <c r="T1542">
        <f>ROUND((M1542*0.25)+(N1542*0.20)+(O1542*0.15)+(P1542*0.15)+(Q1542*0.10)+(R1542*0.10)+(S1542*0.05),2)</f>
        <v/>
      </c>
      <c r="U1542">
        <f>IF(T1542&gt;=4.25,"Critical",IF(T1542&gt;=3.5,"High",IF(T1542&gt;=2,"Medium","Low")))</f>
        <v/>
      </c>
    </row>
    <row r="1543">
      <c r="R1543">
        <f>IFERROR(XLOOKUP(XLOOKUP(D1543,tblReleaseChanges[Change_ID],tblReleaseChanges[Oracle_Severity],""),tblSeverityMap[Severity_Text],tblSeverityMap[Score],0),0)</f>
        <v/>
      </c>
      <c r="T1543">
        <f>ROUND((M1543*0.25)+(N1543*0.20)+(O1543*0.15)+(P1543*0.15)+(Q1543*0.10)+(R1543*0.10)+(S1543*0.05),2)</f>
        <v/>
      </c>
      <c r="U1543">
        <f>IF(T1543&gt;=4.25,"Critical",IF(T1543&gt;=3.5,"High",IF(T1543&gt;=2,"Medium","Low")))</f>
        <v/>
      </c>
    </row>
    <row r="1544">
      <c r="R1544">
        <f>IFERROR(XLOOKUP(XLOOKUP(D1544,tblReleaseChanges[Change_ID],tblReleaseChanges[Oracle_Severity],""),tblSeverityMap[Severity_Text],tblSeverityMap[Score],0),0)</f>
        <v/>
      </c>
      <c r="T1544">
        <f>ROUND((M1544*0.25)+(N1544*0.20)+(O1544*0.15)+(P1544*0.15)+(Q1544*0.10)+(R1544*0.10)+(S1544*0.05),2)</f>
        <v/>
      </c>
      <c r="U1544">
        <f>IF(T1544&gt;=4.25,"Critical",IF(T1544&gt;=3.5,"High",IF(T1544&gt;=2,"Medium","Low")))</f>
        <v/>
      </c>
    </row>
    <row r="1545">
      <c r="R1545">
        <f>IFERROR(XLOOKUP(XLOOKUP(D1545,tblReleaseChanges[Change_ID],tblReleaseChanges[Oracle_Severity],""),tblSeverityMap[Severity_Text],tblSeverityMap[Score],0),0)</f>
        <v/>
      </c>
      <c r="T1545">
        <f>ROUND((M1545*0.25)+(N1545*0.20)+(O1545*0.15)+(P1545*0.15)+(Q1545*0.10)+(R1545*0.10)+(S1545*0.05),2)</f>
        <v/>
      </c>
      <c r="U1545">
        <f>IF(T1545&gt;=4.25,"Critical",IF(T1545&gt;=3.5,"High",IF(T1545&gt;=2,"Medium","Low")))</f>
        <v/>
      </c>
    </row>
    <row r="1546">
      <c r="R1546">
        <f>IFERROR(XLOOKUP(XLOOKUP(D1546,tblReleaseChanges[Change_ID],tblReleaseChanges[Oracle_Severity],""),tblSeverityMap[Severity_Text],tblSeverityMap[Score],0),0)</f>
        <v/>
      </c>
      <c r="T1546">
        <f>ROUND((M1546*0.25)+(N1546*0.20)+(O1546*0.15)+(P1546*0.15)+(Q1546*0.10)+(R1546*0.10)+(S1546*0.05),2)</f>
        <v/>
      </c>
      <c r="U1546">
        <f>IF(T1546&gt;=4.25,"Critical",IF(T1546&gt;=3.5,"High",IF(T1546&gt;=2,"Medium","Low")))</f>
        <v/>
      </c>
    </row>
    <row r="1547">
      <c r="R1547">
        <f>IFERROR(XLOOKUP(XLOOKUP(D1547,tblReleaseChanges[Change_ID],tblReleaseChanges[Oracle_Severity],""),tblSeverityMap[Severity_Text],tblSeverityMap[Score],0),0)</f>
        <v/>
      </c>
      <c r="T1547">
        <f>ROUND((M1547*0.25)+(N1547*0.20)+(O1547*0.15)+(P1547*0.15)+(Q1547*0.10)+(R1547*0.10)+(S1547*0.05),2)</f>
        <v/>
      </c>
      <c r="U1547">
        <f>IF(T1547&gt;=4.25,"Critical",IF(T1547&gt;=3.5,"High",IF(T1547&gt;=2,"Medium","Low")))</f>
        <v/>
      </c>
    </row>
    <row r="1548">
      <c r="R1548">
        <f>IFERROR(XLOOKUP(XLOOKUP(D1548,tblReleaseChanges[Change_ID],tblReleaseChanges[Oracle_Severity],""),tblSeverityMap[Severity_Text],tblSeverityMap[Score],0),0)</f>
        <v/>
      </c>
      <c r="T1548">
        <f>ROUND((M1548*0.25)+(N1548*0.20)+(O1548*0.15)+(P1548*0.15)+(Q1548*0.10)+(R1548*0.10)+(S1548*0.05),2)</f>
        <v/>
      </c>
      <c r="U1548">
        <f>IF(T1548&gt;=4.25,"Critical",IF(T1548&gt;=3.5,"High",IF(T1548&gt;=2,"Medium","Low")))</f>
        <v/>
      </c>
    </row>
    <row r="1549">
      <c r="R1549">
        <f>IFERROR(XLOOKUP(XLOOKUP(D1549,tblReleaseChanges[Change_ID],tblReleaseChanges[Oracle_Severity],""),tblSeverityMap[Severity_Text],tblSeverityMap[Score],0),0)</f>
        <v/>
      </c>
      <c r="T1549">
        <f>ROUND((M1549*0.25)+(N1549*0.20)+(O1549*0.15)+(P1549*0.15)+(Q1549*0.10)+(R1549*0.10)+(S1549*0.05),2)</f>
        <v/>
      </c>
      <c r="U1549">
        <f>IF(T1549&gt;=4.25,"Critical",IF(T1549&gt;=3.5,"High",IF(T1549&gt;=2,"Medium","Low")))</f>
        <v/>
      </c>
    </row>
    <row r="1550">
      <c r="R1550">
        <f>IFERROR(XLOOKUP(XLOOKUP(D1550,tblReleaseChanges[Change_ID],tblReleaseChanges[Oracle_Severity],""),tblSeverityMap[Severity_Text],tblSeverityMap[Score],0),0)</f>
        <v/>
      </c>
      <c r="T1550">
        <f>ROUND((M1550*0.25)+(N1550*0.20)+(O1550*0.15)+(P1550*0.15)+(Q1550*0.10)+(R1550*0.10)+(S1550*0.05),2)</f>
        <v/>
      </c>
      <c r="U1550">
        <f>IF(T1550&gt;=4.25,"Critical",IF(T1550&gt;=3.5,"High",IF(T1550&gt;=2,"Medium","Low")))</f>
        <v/>
      </c>
    </row>
    <row r="1551">
      <c r="R1551">
        <f>IFERROR(XLOOKUP(XLOOKUP(D1551,tblReleaseChanges[Change_ID],tblReleaseChanges[Oracle_Severity],""),tblSeverityMap[Severity_Text],tblSeverityMap[Score],0),0)</f>
        <v/>
      </c>
      <c r="T1551">
        <f>ROUND((M1551*0.25)+(N1551*0.20)+(O1551*0.15)+(P1551*0.15)+(Q1551*0.10)+(R1551*0.10)+(S1551*0.05),2)</f>
        <v/>
      </c>
      <c r="U1551">
        <f>IF(T1551&gt;=4.25,"Critical",IF(T1551&gt;=3.5,"High",IF(T1551&gt;=2,"Medium","Low")))</f>
        <v/>
      </c>
    </row>
    <row r="1552">
      <c r="R1552">
        <f>IFERROR(XLOOKUP(XLOOKUP(D1552,tblReleaseChanges[Change_ID],tblReleaseChanges[Oracle_Severity],""),tblSeverityMap[Severity_Text],tblSeverityMap[Score],0),0)</f>
        <v/>
      </c>
      <c r="T1552">
        <f>ROUND((M1552*0.25)+(N1552*0.20)+(O1552*0.15)+(P1552*0.15)+(Q1552*0.10)+(R1552*0.10)+(S1552*0.05),2)</f>
        <v/>
      </c>
      <c r="U1552">
        <f>IF(T1552&gt;=4.25,"Critical",IF(T1552&gt;=3.5,"High",IF(T1552&gt;=2,"Medium","Low")))</f>
        <v/>
      </c>
    </row>
    <row r="1553">
      <c r="R1553">
        <f>IFERROR(XLOOKUP(XLOOKUP(D1553,tblReleaseChanges[Change_ID],tblReleaseChanges[Oracle_Severity],""),tblSeverityMap[Severity_Text],tblSeverityMap[Score],0),0)</f>
        <v/>
      </c>
      <c r="T1553">
        <f>ROUND((M1553*0.25)+(N1553*0.20)+(O1553*0.15)+(P1553*0.15)+(Q1553*0.10)+(R1553*0.10)+(S1553*0.05),2)</f>
        <v/>
      </c>
      <c r="U1553">
        <f>IF(T1553&gt;=4.25,"Critical",IF(T1553&gt;=3.5,"High",IF(T1553&gt;=2,"Medium","Low")))</f>
        <v/>
      </c>
    </row>
    <row r="1554">
      <c r="R1554">
        <f>IFERROR(XLOOKUP(XLOOKUP(D1554,tblReleaseChanges[Change_ID],tblReleaseChanges[Oracle_Severity],""),tblSeverityMap[Severity_Text],tblSeverityMap[Score],0),0)</f>
        <v/>
      </c>
      <c r="T1554">
        <f>ROUND((M1554*0.25)+(N1554*0.20)+(O1554*0.15)+(P1554*0.15)+(Q1554*0.10)+(R1554*0.10)+(S1554*0.05),2)</f>
        <v/>
      </c>
      <c r="U1554">
        <f>IF(T1554&gt;=4.25,"Critical",IF(T1554&gt;=3.5,"High",IF(T1554&gt;=2,"Medium","Low")))</f>
        <v/>
      </c>
    </row>
    <row r="1555">
      <c r="R1555">
        <f>IFERROR(XLOOKUP(XLOOKUP(D1555,tblReleaseChanges[Change_ID],tblReleaseChanges[Oracle_Severity],""),tblSeverityMap[Severity_Text],tblSeverityMap[Score],0),0)</f>
        <v/>
      </c>
      <c r="T1555">
        <f>ROUND((M1555*0.25)+(N1555*0.20)+(O1555*0.15)+(P1555*0.15)+(Q1555*0.10)+(R1555*0.10)+(S1555*0.05),2)</f>
        <v/>
      </c>
      <c r="U1555">
        <f>IF(T1555&gt;=4.25,"Critical",IF(T1555&gt;=3.5,"High",IF(T1555&gt;=2,"Medium","Low")))</f>
        <v/>
      </c>
    </row>
    <row r="1556">
      <c r="R1556">
        <f>IFERROR(XLOOKUP(XLOOKUP(D1556,tblReleaseChanges[Change_ID],tblReleaseChanges[Oracle_Severity],""),tblSeverityMap[Severity_Text],tblSeverityMap[Score],0),0)</f>
        <v/>
      </c>
      <c r="T1556">
        <f>ROUND((M1556*0.25)+(N1556*0.20)+(O1556*0.15)+(P1556*0.15)+(Q1556*0.10)+(R1556*0.10)+(S1556*0.05),2)</f>
        <v/>
      </c>
      <c r="U1556">
        <f>IF(T1556&gt;=4.25,"Critical",IF(T1556&gt;=3.5,"High",IF(T1556&gt;=2,"Medium","Low")))</f>
        <v/>
      </c>
    </row>
    <row r="1557">
      <c r="R1557">
        <f>IFERROR(XLOOKUP(XLOOKUP(D1557,tblReleaseChanges[Change_ID],tblReleaseChanges[Oracle_Severity],""),tblSeverityMap[Severity_Text],tblSeverityMap[Score],0),0)</f>
        <v/>
      </c>
      <c r="T1557">
        <f>ROUND((M1557*0.25)+(N1557*0.20)+(O1557*0.15)+(P1557*0.15)+(Q1557*0.10)+(R1557*0.10)+(S1557*0.05),2)</f>
        <v/>
      </c>
      <c r="U1557">
        <f>IF(T1557&gt;=4.25,"Critical",IF(T1557&gt;=3.5,"High",IF(T1557&gt;=2,"Medium","Low")))</f>
        <v/>
      </c>
    </row>
    <row r="1558">
      <c r="R1558">
        <f>IFERROR(XLOOKUP(XLOOKUP(D1558,tblReleaseChanges[Change_ID],tblReleaseChanges[Oracle_Severity],""),tblSeverityMap[Severity_Text],tblSeverityMap[Score],0),0)</f>
        <v/>
      </c>
      <c r="T1558">
        <f>ROUND((M1558*0.25)+(N1558*0.20)+(O1558*0.15)+(P1558*0.15)+(Q1558*0.10)+(R1558*0.10)+(S1558*0.05),2)</f>
        <v/>
      </c>
      <c r="U1558">
        <f>IF(T1558&gt;=4.25,"Critical",IF(T1558&gt;=3.5,"High",IF(T1558&gt;=2,"Medium","Low")))</f>
        <v/>
      </c>
    </row>
    <row r="1559">
      <c r="R1559">
        <f>IFERROR(XLOOKUP(XLOOKUP(D1559,tblReleaseChanges[Change_ID],tblReleaseChanges[Oracle_Severity],""),tblSeverityMap[Severity_Text],tblSeverityMap[Score],0),0)</f>
        <v/>
      </c>
      <c r="T1559">
        <f>ROUND((M1559*0.25)+(N1559*0.20)+(O1559*0.15)+(P1559*0.15)+(Q1559*0.10)+(R1559*0.10)+(S1559*0.05),2)</f>
        <v/>
      </c>
      <c r="U1559">
        <f>IF(T1559&gt;=4.25,"Critical",IF(T1559&gt;=3.5,"High",IF(T1559&gt;=2,"Medium","Low")))</f>
        <v/>
      </c>
    </row>
    <row r="1560">
      <c r="R1560">
        <f>IFERROR(XLOOKUP(XLOOKUP(D1560,tblReleaseChanges[Change_ID],tblReleaseChanges[Oracle_Severity],""),tblSeverityMap[Severity_Text],tblSeverityMap[Score],0),0)</f>
        <v/>
      </c>
      <c r="T1560">
        <f>ROUND((M1560*0.25)+(N1560*0.20)+(O1560*0.15)+(P1560*0.15)+(Q1560*0.10)+(R1560*0.10)+(S1560*0.05),2)</f>
        <v/>
      </c>
      <c r="U1560">
        <f>IF(T1560&gt;=4.25,"Critical",IF(T1560&gt;=3.5,"High",IF(T1560&gt;=2,"Medium","Low")))</f>
        <v/>
      </c>
    </row>
    <row r="1561">
      <c r="R1561">
        <f>IFERROR(XLOOKUP(XLOOKUP(D1561,tblReleaseChanges[Change_ID],tblReleaseChanges[Oracle_Severity],""),tblSeverityMap[Severity_Text],tblSeverityMap[Score],0),0)</f>
        <v/>
      </c>
      <c r="T1561">
        <f>ROUND((M1561*0.25)+(N1561*0.20)+(O1561*0.15)+(P1561*0.15)+(Q1561*0.10)+(R1561*0.10)+(S1561*0.05),2)</f>
        <v/>
      </c>
      <c r="U1561">
        <f>IF(T1561&gt;=4.25,"Critical",IF(T1561&gt;=3.5,"High",IF(T1561&gt;=2,"Medium","Low")))</f>
        <v/>
      </c>
    </row>
    <row r="1562">
      <c r="R1562">
        <f>IFERROR(XLOOKUP(XLOOKUP(D1562,tblReleaseChanges[Change_ID],tblReleaseChanges[Oracle_Severity],""),tblSeverityMap[Severity_Text],tblSeverityMap[Score],0),0)</f>
        <v/>
      </c>
      <c r="T1562">
        <f>ROUND((M1562*0.25)+(N1562*0.20)+(O1562*0.15)+(P1562*0.15)+(Q1562*0.10)+(R1562*0.10)+(S1562*0.05),2)</f>
        <v/>
      </c>
      <c r="U1562">
        <f>IF(T1562&gt;=4.25,"Critical",IF(T1562&gt;=3.5,"High",IF(T1562&gt;=2,"Medium","Low")))</f>
        <v/>
      </c>
    </row>
    <row r="1563">
      <c r="R1563">
        <f>IFERROR(XLOOKUP(XLOOKUP(D1563,tblReleaseChanges[Change_ID],tblReleaseChanges[Oracle_Severity],""),tblSeverityMap[Severity_Text],tblSeverityMap[Score],0),0)</f>
        <v/>
      </c>
      <c r="T1563">
        <f>ROUND((M1563*0.25)+(N1563*0.20)+(O1563*0.15)+(P1563*0.15)+(Q1563*0.10)+(R1563*0.10)+(S1563*0.05),2)</f>
        <v/>
      </c>
      <c r="U1563">
        <f>IF(T1563&gt;=4.25,"Critical",IF(T1563&gt;=3.5,"High",IF(T1563&gt;=2,"Medium","Low")))</f>
        <v/>
      </c>
    </row>
    <row r="1564">
      <c r="R1564">
        <f>IFERROR(XLOOKUP(XLOOKUP(D1564,tblReleaseChanges[Change_ID],tblReleaseChanges[Oracle_Severity],""),tblSeverityMap[Severity_Text],tblSeverityMap[Score],0),0)</f>
        <v/>
      </c>
      <c r="T1564">
        <f>ROUND((M1564*0.25)+(N1564*0.20)+(O1564*0.15)+(P1564*0.15)+(Q1564*0.10)+(R1564*0.10)+(S1564*0.05),2)</f>
        <v/>
      </c>
      <c r="U1564">
        <f>IF(T1564&gt;=4.25,"Critical",IF(T1564&gt;=3.5,"High",IF(T1564&gt;=2,"Medium","Low")))</f>
        <v/>
      </c>
    </row>
    <row r="1565">
      <c r="R1565">
        <f>IFERROR(XLOOKUP(XLOOKUP(D1565,tblReleaseChanges[Change_ID],tblReleaseChanges[Oracle_Severity],""),tblSeverityMap[Severity_Text],tblSeverityMap[Score],0),0)</f>
        <v/>
      </c>
      <c r="T1565">
        <f>ROUND((M1565*0.25)+(N1565*0.20)+(O1565*0.15)+(P1565*0.15)+(Q1565*0.10)+(R1565*0.10)+(S1565*0.05),2)</f>
        <v/>
      </c>
      <c r="U1565">
        <f>IF(T1565&gt;=4.25,"Critical",IF(T1565&gt;=3.5,"High",IF(T1565&gt;=2,"Medium","Low")))</f>
        <v/>
      </c>
    </row>
    <row r="1566">
      <c r="R1566">
        <f>IFERROR(XLOOKUP(XLOOKUP(D1566,tblReleaseChanges[Change_ID],tblReleaseChanges[Oracle_Severity],""),tblSeverityMap[Severity_Text],tblSeverityMap[Score],0),0)</f>
        <v/>
      </c>
      <c r="T1566">
        <f>ROUND((M1566*0.25)+(N1566*0.20)+(O1566*0.15)+(P1566*0.15)+(Q1566*0.10)+(R1566*0.10)+(S1566*0.05),2)</f>
        <v/>
      </c>
      <c r="U1566">
        <f>IF(T1566&gt;=4.25,"Critical",IF(T1566&gt;=3.5,"High",IF(T1566&gt;=2,"Medium","Low")))</f>
        <v/>
      </c>
    </row>
    <row r="1567">
      <c r="R1567">
        <f>IFERROR(XLOOKUP(XLOOKUP(D1567,tblReleaseChanges[Change_ID],tblReleaseChanges[Oracle_Severity],""),tblSeverityMap[Severity_Text],tblSeverityMap[Score],0),0)</f>
        <v/>
      </c>
      <c r="T1567">
        <f>ROUND((M1567*0.25)+(N1567*0.20)+(O1567*0.15)+(P1567*0.15)+(Q1567*0.10)+(R1567*0.10)+(S1567*0.05),2)</f>
        <v/>
      </c>
      <c r="U1567">
        <f>IF(T1567&gt;=4.25,"Critical",IF(T1567&gt;=3.5,"High",IF(T1567&gt;=2,"Medium","Low")))</f>
        <v/>
      </c>
    </row>
    <row r="1568">
      <c r="R1568">
        <f>IFERROR(XLOOKUP(XLOOKUP(D1568,tblReleaseChanges[Change_ID],tblReleaseChanges[Oracle_Severity],""),tblSeverityMap[Severity_Text],tblSeverityMap[Score],0),0)</f>
        <v/>
      </c>
      <c r="T1568">
        <f>ROUND((M1568*0.25)+(N1568*0.20)+(O1568*0.15)+(P1568*0.15)+(Q1568*0.10)+(R1568*0.10)+(S1568*0.05),2)</f>
        <v/>
      </c>
      <c r="U1568">
        <f>IF(T1568&gt;=4.25,"Critical",IF(T1568&gt;=3.5,"High",IF(T1568&gt;=2,"Medium","Low")))</f>
        <v/>
      </c>
    </row>
    <row r="1569">
      <c r="R1569">
        <f>IFERROR(XLOOKUP(XLOOKUP(D1569,tblReleaseChanges[Change_ID],tblReleaseChanges[Oracle_Severity],""),tblSeverityMap[Severity_Text],tblSeverityMap[Score],0),0)</f>
        <v/>
      </c>
      <c r="T1569">
        <f>ROUND((M1569*0.25)+(N1569*0.20)+(O1569*0.15)+(P1569*0.15)+(Q1569*0.10)+(R1569*0.10)+(S1569*0.05),2)</f>
        <v/>
      </c>
      <c r="U1569">
        <f>IF(T1569&gt;=4.25,"Critical",IF(T1569&gt;=3.5,"High",IF(T1569&gt;=2,"Medium","Low")))</f>
        <v/>
      </c>
    </row>
    <row r="1570">
      <c r="R1570">
        <f>IFERROR(XLOOKUP(XLOOKUP(D1570,tblReleaseChanges[Change_ID],tblReleaseChanges[Oracle_Severity],""),tblSeverityMap[Severity_Text],tblSeverityMap[Score],0),0)</f>
        <v/>
      </c>
      <c r="T1570">
        <f>ROUND((M1570*0.25)+(N1570*0.20)+(O1570*0.15)+(P1570*0.15)+(Q1570*0.10)+(R1570*0.10)+(S1570*0.05),2)</f>
        <v/>
      </c>
      <c r="U1570">
        <f>IF(T1570&gt;=4.25,"Critical",IF(T1570&gt;=3.5,"High",IF(T1570&gt;=2,"Medium","Low")))</f>
        <v/>
      </c>
    </row>
    <row r="1571">
      <c r="R1571">
        <f>IFERROR(XLOOKUP(XLOOKUP(D1571,tblReleaseChanges[Change_ID],tblReleaseChanges[Oracle_Severity],""),tblSeverityMap[Severity_Text],tblSeverityMap[Score],0),0)</f>
        <v/>
      </c>
      <c r="T1571">
        <f>ROUND((M1571*0.25)+(N1571*0.20)+(O1571*0.15)+(P1571*0.15)+(Q1571*0.10)+(R1571*0.10)+(S1571*0.05),2)</f>
        <v/>
      </c>
      <c r="U1571">
        <f>IF(T1571&gt;=4.25,"Critical",IF(T1571&gt;=3.5,"High",IF(T1571&gt;=2,"Medium","Low")))</f>
        <v/>
      </c>
    </row>
    <row r="1572">
      <c r="R1572">
        <f>IFERROR(XLOOKUP(XLOOKUP(D1572,tblReleaseChanges[Change_ID],tblReleaseChanges[Oracle_Severity],""),tblSeverityMap[Severity_Text],tblSeverityMap[Score],0),0)</f>
        <v/>
      </c>
      <c r="T1572">
        <f>ROUND((M1572*0.25)+(N1572*0.20)+(O1572*0.15)+(P1572*0.15)+(Q1572*0.10)+(R1572*0.10)+(S1572*0.05),2)</f>
        <v/>
      </c>
      <c r="U1572">
        <f>IF(T1572&gt;=4.25,"Critical",IF(T1572&gt;=3.5,"High",IF(T1572&gt;=2,"Medium","Low")))</f>
        <v/>
      </c>
    </row>
    <row r="1573">
      <c r="R1573">
        <f>IFERROR(XLOOKUP(XLOOKUP(D1573,tblReleaseChanges[Change_ID],tblReleaseChanges[Oracle_Severity],""),tblSeverityMap[Severity_Text],tblSeverityMap[Score],0),0)</f>
        <v/>
      </c>
      <c r="T1573">
        <f>ROUND((M1573*0.25)+(N1573*0.20)+(O1573*0.15)+(P1573*0.15)+(Q1573*0.10)+(R1573*0.10)+(S1573*0.05),2)</f>
        <v/>
      </c>
      <c r="U1573">
        <f>IF(T1573&gt;=4.25,"Critical",IF(T1573&gt;=3.5,"High",IF(T1573&gt;=2,"Medium","Low")))</f>
        <v/>
      </c>
    </row>
    <row r="1574">
      <c r="R1574">
        <f>IFERROR(XLOOKUP(XLOOKUP(D1574,tblReleaseChanges[Change_ID],tblReleaseChanges[Oracle_Severity],""),tblSeverityMap[Severity_Text],tblSeverityMap[Score],0),0)</f>
        <v/>
      </c>
      <c r="T1574">
        <f>ROUND((M1574*0.25)+(N1574*0.20)+(O1574*0.15)+(P1574*0.15)+(Q1574*0.10)+(R1574*0.10)+(S1574*0.05),2)</f>
        <v/>
      </c>
      <c r="U1574">
        <f>IF(T1574&gt;=4.25,"Critical",IF(T1574&gt;=3.5,"High",IF(T1574&gt;=2,"Medium","Low")))</f>
        <v/>
      </c>
    </row>
    <row r="1575">
      <c r="R1575">
        <f>IFERROR(XLOOKUP(XLOOKUP(D1575,tblReleaseChanges[Change_ID],tblReleaseChanges[Oracle_Severity],""),tblSeverityMap[Severity_Text],tblSeverityMap[Score],0),0)</f>
        <v/>
      </c>
      <c r="T1575">
        <f>ROUND((M1575*0.25)+(N1575*0.20)+(O1575*0.15)+(P1575*0.15)+(Q1575*0.10)+(R1575*0.10)+(S1575*0.05),2)</f>
        <v/>
      </c>
      <c r="U1575">
        <f>IF(T1575&gt;=4.25,"Critical",IF(T1575&gt;=3.5,"High",IF(T1575&gt;=2,"Medium","Low")))</f>
        <v/>
      </c>
    </row>
    <row r="1576">
      <c r="R1576">
        <f>IFERROR(XLOOKUP(XLOOKUP(D1576,tblReleaseChanges[Change_ID],tblReleaseChanges[Oracle_Severity],""),tblSeverityMap[Severity_Text],tblSeverityMap[Score],0),0)</f>
        <v/>
      </c>
      <c r="T1576">
        <f>ROUND((M1576*0.25)+(N1576*0.20)+(O1576*0.15)+(P1576*0.15)+(Q1576*0.10)+(R1576*0.10)+(S1576*0.05),2)</f>
        <v/>
      </c>
      <c r="U1576">
        <f>IF(T1576&gt;=4.25,"Critical",IF(T1576&gt;=3.5,"High",IF(T1576&gt;=2,"Medium","Low")))</f>
        <v/>
      </c>
    </row>
    <row r="1577">
      <c r="R1577">
        <f>IFERROR(XLOOKUP(XLOOKUP(D1577,tblReleaseChanges[Change_ID],tblReleaseChanges[Oracle_Severity],""),tblSeverityMap[Severity_Text],tblSeverityMap[Score],0),0)</f>
        <v/>
      </c>
      <c r="T1577">
        <f>ROUND((M1577*0.25)+(N1577*0.20)+(O1577*0.15)+(P1577*0.15)+(Q1577*0.10)+(R1577*0.10)+(S1577*0.05),2)</f>
        <v/>
      </c>
      <c r="U1577">
        <f>IF(T1577&gt;=4.25,"Critical",IF(T1577&gt;=3.5,"High",IF(T1577&gt;=2,"Medium","Low")))</f>
        <v/>
      </c>
    </row>
    <row r="1578">
      <c r="R1578">
        <f>IFERROR(XLOOKUP(XLOOKUP(D1578,tblReleaseChanges[Change_ID],tblReleaseChanges[Oracle_Severity],""),tblSeverityMap[Severity_Text],tblSeverityMap[Score],0),0)</f>
        <v/>
      </c>
      <c r="T1578">
        <f>ROUND((M1578*0.25)+(N1578*0.20)+(O1578*0.15)+(P1578*0.15)+(Q1578*0.10)+(R1578*0.10)+(S1578*0.05),2)</f>
        <v/>
      </c>
      <c r="U1578">
        <f>IF(T1578&gt;=4.25,"Critical",IF(T1578&gt;=3.5,"High",IF(T1578&gt;=2,"Medium","Low")))</f>
        <v/>
      </c>
    </row>
    <row r="1579">
      <c r="R1579">
        <f>IFERROR(XLOOKUP(XLOOKUP(D1579,tblReleaseChanges[Change_ID],tblReleaseChanges[Oracle_Severity],""),tblSeverityMap[Severity_Text],tblSeverityMap[Score],0),0)</f>
        <v/>
      </c>
      <c r="T1579">
        <f>ROUND((M1579*0.25)+(N1579*0.20)+(O1579*0.15)+(P1579*0.15)+(Q1579*0.10)+(R1579*0.10)+(S1579*0.05),2)</f>
        <v/>
      </c>
      <c r="U1579">
        <f>IF(T1579&gt;=4.25,"Critical",IF(T1579&gt;=3.5,"High",IF(T1579&gt;=2,"Medium","Low")))</f>
        <v/>
      </c>
    </row>
    <row r="1580">
      <c r="R1580">
        <f>IFERROR(XLOOKUP(XLOOKUP(D1580,tblReleaseChanges[Change_ID],tblReleaseChanges[Oracle_Severity],""),tblSeverityMap[Severity_Text],tblSeverityMap[Score],0),0)</f>
        <v/>
      </c>
      <c r="T1580">
        <f>ROUND((M1580*0.25)+(N1580*0.20)+(O1580*0.15)+(P1580*0.15)+(Q1580*0.10)+(R1580*0.10)+(S1580*0.05),2)</f>
        <v/>
      </c>
      <c r="U1580">
        <f>IF(T1580&gt;=4.25,"Critical",IF(T1580&gt;=3.5,"High",IF(T1580&gt;=2,"Medium","Low")))</f>
        <v/>
      </c>
    </row>
    <row r="1581">
      <c r="R1581">
        <f>IFERROR(XLOOKUP(XLOOKUP(D1581,tblReleaseChanges[Change_ID],tblReleaseChanges[Oracle_Severity],""),tblSeverityMap[Severity_Text],tblSeverityMap[Score],0),0)</f>
        <v/>
      </c>
      <c r="T1581">
        <f>ROUND((M1581*0.25)+(N1581*0.20)+(O1581*0.15)+(P1581*0.15)+(Q1581*0.10)+(R1581*0.10)+(S1581*0.05),2)</f>
        <v/>
      </c>
      <c r="U1581">
        <f>IF(T1581&gt;=4.25,"Critical",IF(T1581&gt;=3.5,"High",IF(T1581&gt;=2,"Medium","Low")))</f>
        <v/>
      </c>
    </row>
    <row r="1582">
      <c r="R1582">
        <f>IFERROR(XLOOKUP(XLOOKUP(D1582,tblReleaseChanges[Change_ID],tblReleaseChanges[Oracle_Severity],""),tblSeverityMap[Severity_Text],tblSeverityMap[Score],0),0)</f>
        <v/>
      </c>
      <c r="T1582">
        <f>ROUND((M1582*0.25)+(N1582*0.20)+(O1582*0.15)+(P1582*0.15)+(Q1582*0.10)+(R1582*0.10)+(S1582*0.05),2)</f>
        <v/>
      </c>
      <c r="U1582">
        <f>IF(T1582&gt;=4.25,"Critical",IF(T1582&gt;=3.5,"High",IF(T1582&gt;=2,"Medium","Low")))</f>
        <v/>
      </c>
    </row>
    <row r="1583">
      <c r="R1583">
        <f>IFERROR(XLOOKUP(XLOOKUP(D1583,tblReleaseChanges[Change_ID],tblReleaseChanges[Oracle_Severity],""),tblSeverityMap[Severity_Text],tblSeverityMap[Score],0),0)</f>
        <v/>
      </c>
      <c r="T1583">
        <f>ROUND((M1583*0.25)+(N1583*0.20)+(O1583*0.15)+(P1583*0.15)+(Q1583*0.10)+(R1583*0.10)+(S1583*0.05),2)</f>
        <v/>
      </c>
      <c r="U1583">
        <f>IF(T1583&gt;=4.25,"Critical",IF(T1583&gt;=3.5,"High",IF(T1583&gt;=2,"Medium","Low")))</f>
        <v/>
      </c>
    </row>
    <row r="1584">
      <c r="R1584">
        <f>IFERROR(XLOOKUP(XLOOKUP(D1584,tblReleaseChanges[Change_ID],tblReleaseChanges[Oracle_Severity],""),tblSeverityMap[Severity_Text],tblSeverityMap[Score],0),0)</f>
        <v/>
      </c>
      <c r="T1584">
        <f>ROUND((M1584*0.25)+(N1584*0.20)+(O1584*0.15)+(P1584*0.15)+(Q1584*0.10)+(R1584*0.10)+(S1584*0.05),2)</f>
        <v/>
      </c>
      <c r="U1584">
        <f>IF(T1584&gt;=4.25,"Critical",IF(T1584&gt;=3.5,"High",IF(T1584&gt;=2,"Medium","Low")))</f>
        <v/>
      </c>
    </row>
    <row r="1585">
      <c r="R1585">
        <f>IFERROR(XLOOKUP(XLOOKUP(D1585,tblReleaseChanges[Change_ID],tblReleaseChanges[Oracle_Severity],""),tblSeverityMap[Severity_Text],tblSeverityMap[Score],0),0)</f>
        <v/>
      </c>
      <c r="T1585">
        <f>ROUND((M1585*0.25)+(N1585*0.20)+(O1585*0.15)+(P1585*0.15)+(Q1585*0.10)+(R1585*0.10)+(S1585*0.05),2)</f>
        <v/>
      </c>
      <c r="U1585">
        <f>IF(T1585&gt;=4.25,"Critical",IF(T1585&gt;=3.5,"High",IF(T1585&gt;=2,"Medium","Low")))</f>
        <v/>
      </c>
    </row>
    <row r="1586">
      <c r="R1586">
        <f>IFERROR(XLOOKUP(XLOOKUP(D1586,tblReleaseChanges[Change_ID],tblReleaseChanges[Oracle_Severity],""),tblSeverityMap[Severity_Text],tblSeverityMap[Score],0),0)</f>
        <v/>
      </c>
      <c r="T1586">
        <f>ROUND((M1586*0.25)+(N1586*0.20)+(O1586*0.15)+(P1586*0.15)+(Q1586*0.10)+(R1586*0.10)+(S1586*0.05),2)</f>
        <v/>
      </c>
      <c r="U1586">
        <f>IF(T1586&gt;=4.25,"Critical",IF(T1586&gt;=3.5,"High",IF(T1586&gt;=2,"Medium","Low")))</f>
        <v/>
      </c>
    </row>
    <row r="1587">
      <c r="R1587">
        <f>IFERROR(XLOOKUP(XLOOKUP(D1587,tblReleaseChanges[Change_ID],tblReleaseChanges[Oracle_Severity],""),tblSeverityMap[Severity_Text],tblSeverityMap[Score],0),0)</f>
        <v/>
      </c>
      <c r="T1587">
        <f>ROUND((M1587*0.25)+(N1587*0.20)+(O1587*0.15)+(P1587*0.15)+(Q1587*0.10)+(R1587*0.10)+(S1587*0.05),2)</f>
        <v/>
      </c>
      <c r="U1587">
        <f>IF(T1587&gt;=4.25,"Critical",IF(T1587&gt;=3.5,"High",IF(T1587&gt;=2,"Medium","Low")))</f>
        <v/>
      </c>
    </row>
    <row r="1588">
      <c r="R1588">
        <f>IFERROR(XLOOKUP(XLOOKUP(D1588,tblReleaseChanges[Change_ID],tblReleaseChanges[Oracle_Severity],""),tblSeverityMap[Severity_Text],tblSeverityMap[Score],0),0)</f>
        <v/>
      </c>
      <c r="T1588">
        <f>ROUND((M1588*0.25)+(N1588*0.20)+(O1588*0.15)+(P1588*0.15)+(Q1588*0.10)+(R1588*0.10)+(S1588*0.05),2)</f>
        <v/>
      </c>
      <c r="U1588">
        <f>IF(T1588&gt;=4.25,"Critical",IF(T1588&gt;=3.5,"High",IF(T1588&gt;=2,"Medium","Low")))</f>
        <v/>
      </c>
    </row>
    <row r="1589">
      <c r="R1589">
        <f>IFERROR(XLOOKUP(XLOOKUP(D1589,tblReleaseChanges[Change_ID],tblReleaseChanges[Oracle_Severity],""),tblSeverityMap[Severity_Text],tblSeverityMap[Score],0),0)</f>
        <v/>
      </c>
      <c r="T1589">
        <f>ROUND((M1589*0.25)+(N1589*0.20)+(O1589*0.15)+(P1589*0.15)+(Q1589*0.10)+(R1589*0.10)+(S1589*0.05),2)</f>
        <v/>
      </c>
      <c r="U1589">
        <f>IF(T1589&gt;=4.25,"Critical",IF(T1589&gt;=3.5,"High",IF(T1589&gt;=2,"Medium","Low")))</f>
        <v/>
      </c>
    </row>
    <row r="1590">
      <c r="R1590">
        <f>IFERROR(XLOOKUP(XLOOKUP(D1590,tblReleaseChanges[Change_ID],tblReleaseChanges[Oracle_Severity],""),tblSeverityMap[Severity_Text],tblSeverityMap[Score],0),0)</f>
        <v/>
      </c>
      <c r="T1590">
        <f>ROUND((M1590*0.25)+(N1590*0.20)+(O1590*0.15)+(P1590*0.15)+(Q1590*0.10)+(R1590*0.10)+(S1590*0.05),2)</f>
        <v/>
      </c>
      <c r="U1590">
        <f>IF(T1590&gt;=4.25,"Critical",IF(T1590&gt;=3.5,"High",IF(T1590&gt;=2,"Medium","Low")))</f>
        <v/>
      </c>
    </row>
    <row r="1591">
      <c r="R1591">
        <f>IFERROR(XLOOKUP(XLOOKUP(D1591,tblReleaseChanges[Change_ID],tblReleaseChanges[Oracle_Severity],""),tblSeverityMap[Severity_Text],tblSeverityMap[Score],0),0)</f>
        <v/>
      </c>
      <c r="T1591">
        <f>ROUND((M1591*0.25)+(N1591*0.20)+(O1591*0.15)+(P1591*0.15)+(Q1591*0.10)+(R1591*0.10)+(S1591*0.05),2)</f>
        <v/>
      </c>
      <c r="U1591">
        <f>IF(T1591&gt;=4.25,"Critical",IF(T1591&gt;=3.5,"High",IF(T1591&gt;=2,"Medium","Low")))</f>
        <v/>
      </c>
    </row>
    <row r="1592">
      <c r="R1592">
        <f>IFERROR(XLOOKUP(XLOOKUP(D1592,tblReleaseChanges[Change_ID],tblReleaseChanges[Oracle_Severity],""),tblSeverityMap[Severity_Text],tblSeverityMap[Score],0),0)</f>
        <v/>
      </c>
      <c r="T1592">
        <f>ROUND((M1592*0.25)+(N1592*0.20)+(O1592*0.15)+(P1592*0.15)+(Q1592*0.10)+(R1592*0.10)+(S1592*0.05),2)</f>
        <v/>
      </c>
      <c r="U1592">
        <f>IF(T1592&gt;=4.25,"Critical",IF(T1592&gt;=3.5,"High",IF(T1592&gt;=2,"Medium","Low")))</f>
        <v/>
      </c>
    </row>
    <row r="1593">
      <c r="R1593">
        <f>IFERROR(XLOOKUP(XLOOKUP(D1593,tblReleaseChanges[Change_ID],tblReleaseChanges[Oracle_Severity],""),tblSeverityMap[Severity_Text],tblSeverityMap[Score],0),0)</f>
        <v/>
      </c>
      <c r="T1593">
        <f>ROUND((M1593*0.25)+(N1593*0.20)+(O1593*0.15)+(P1593*0.15)+(Q1593*0.10)+(R1593*0.10)+(S1593*0.05),2)</f>
        <v/>
      </c>
      <c r="U1593">
        <f>IF(T1593&gt;=4.25,"Critical",IF(T1593&gt;=3.5,"High",IF(T1593&gt;=2,"Medium","Low")))</f>
        <v/>
      </c>
    </row>
    <row r="1594">
      <c r="R1594">
        <f>IFERROR(XLOOKUP(XLOOKUP(D1594,tblReleaseChanges[Change_ID],tblReleaseChanges[Oracle_Severity],""),tblSeverityMap[Severity_Text],tblSeverityMap[Score],0),0)</f>
        <v/>
      </c>
      <c r="T1594">
        <f>ROUND((M1594*0.25)+(N1594*0.20)+(O1594*0.15)+(P1594*0.15)+(Q1594*0.10)+(R1594*0.10)+(S1594*0.05),2)</f>
        <v/>
      </c>
      <c r="U1594">
        <f>IF(T1594&gt;=4.25,"Critical",IF(T1594&gt;=3.5,"High",IF(T1594&gt;=2,"Medium","Low")))</f>
        <v/>
      </c>
    </row>
    <row r="1595">
      <c r="R1595">
        <f>IFERROR(XLOOKUP(XLOOKUP(D1595,tblReleaseChanges[Change_ID],tblReleaseChanges[Oracle_Severity],""),tblSeverityMap[Severity_Text],tblSeverityMap[Score],0),0)</f>
        <v/>
      </c>
      <c r="T1595">
        <f>ROUND((M1595*0.25)+(N1595*0.20)+(O1595*0.15)+(P1595*0.15)+(Q1595*0.10)+(R1595*0.10)+(S1595*0.05),2)</f>
        <v/>
      </c>
      <c r="U1595">
        <f>IF(T1595&gt;=4.25,"Critical",IF(T1595&gt;=3.5,"High",IF(T1595&gt;=2,"Medium","Low")))</f>
        <v/>
      </c>
    </row>
    <row r="1596">
      <c r="R1596">
        <f>IFERROR(XLOOKUP(XLOOKUP(D1596,tblReleaseChanges[Change_ID],tblReleaseChanges[Oracle_Severity],""),tblSeverityMap[Severity_Text],tblSeverityMap[Score],0),0)</f>
        <v/>
      </c>
      <c r="T1596">
        <f>ROUND((M1596*0.25)+(N1596*0.20)+(O1596*0.15)+(P1596*0.15)+(Q1596*0.10)+(R1596*0.10)+(S1596*0.05),2)</f>
        <v/>
      </c>
      <c r="U1596">
        <f>IF(T1596&gt;=4.25,"Critical",IF(T1596&gt;=3.5,"High",IF(T1596&gt;=2,"Medium","Low")))</f>
        <v/>
      </c>
    </row>
    <row r="1597">
      <c r="R1597">
        <f>IFERROR(XLOOKUP(XLOOKUP(D1597,tblReleaseChanges[Change_ID],tblReleaseChanges[Oracle_Severity],""),tblSeverityMap[Severity_Text],tblSeverityMap[Score],0),0)</f>
        <v/>
      </c>
      <c r="T1597">
        <f>ROUND((M1597*0.25)+(N1597*0.20)+(O1597*0.15)+(P1597*0.15)+(Q1597*0.10)+(R1597*0.10)+(S1597*0.05),2)</f>
        <v/>
      </c>
      <c r="U1597">
        <f>IF(T1597&gt;=4.25,"Critical",IF(T1597&gt;=3.5,"High",IF(T1597&gt;=2,"Medium","Low")))</f>
        <v/>
      </c>
    </row>
    <row r="1598">
      <c r="R1598">
        <f>IFERROR(XLOOKUP(XLOOKUP(D1598,tblReleaseChanges[Change_ID],tblReleaseChanges[Oracle_Severity],""),tblSeverityMap[Severity_Text],tblSeverityMap[Score],0),0)</f>
        <v/>
      </c>
      <c r="T1598">
        <f>ROUND((M1598*0.25)+(N1598*0.20)+(O1598*0.15)+(P1598*0.15)+(Q1598*0.10)+(R1598*0.10)+(S1598*0.05),2)</f>
        <v/>
      </c>
      <c r="U1598">
        <f>IF(T1598&gt;=4.25,"Critical",IF(T1598&gt;=3.5,"High",IF(T1598&gt;=2,"Medium","Low")))</f>
        <v/>
      </c>
    </row>
    <row r="1599">
      <c r="R1599">
        <f>IFERROR(XLOOKUP(XLOOKUP(D1599,tblReleaseChanges[Change_ID],tblReleaseChanges[Oracle_Severity],""),tblSeverityMap[Severity_Text],tblSeverityMap[Score],0),0)</f>
        <v/>
      </c>
      <c r="T1599">
        <f>ROUND((M1599*0.25)+(N1599*0.20)+(O1599*0.15)+(P1599*0.15)+(Q1599*0.10)+(R1599*0.10)+(S1599*0.05),2)</f>
        <v/>
      </c>
      <c r="U1599">
        <f>IF(T1599&gt;=4.25,"Critical",IF(T1599&gt;=3.5,"High",IF(T1599&gt;=2,"Medium","Low")))</f>
        <v/>
      </c>
    </row>
    <row r="1600">
      <c r="R1600">
        <f>IFERROR(XLOOKUP(XLOOKUP(D1600,tblReleaseChanges[Change_ID],tblReleaseChanges[Oracle_Severity],""),tblSeverityMap[Severity_Text],tblSeverityMap[Score],0),0)</f>
        <v/>
      </c>
      <c r="T1600">
        <f>ROUND((M1600*0.25)+(N1600*0.20)+(O1600*0.15)+(P1600*0.15)+(Q1600*0.10)+(R1600*0.10)+(S1600*0.05),2)</f>
        <v/>
      </c>
      <c r="U1600">
        <f>IF(T1600&gt;=4.25,"Critical",IF(T1600&gt;=3.5,"High",IF(T1600&gt;=2,"Medium","Low")))</f>
        <v/>
      </c>
    </row>
    <row r="1601">
      <c r="R1601">
        <f>IFERROR(XLOOKUP(XLOOKUP(D1601,tblReleaseChanges[Change_ID],tblReleaseChanges[Oracle_Severity],""),tblSeverityMap[Severity_Text],tblSeverityMap[Score],0),0)</f>
        <v/>
      </c>
      <c r="T1601">
        <f>ROUND((M1601*0.25)+(N1601*0.20)+(O1601*0.15)+(P1601*0.15)+(Q1601*0.10)+(R1601*0.10)+(S1601*0.05),2)</f>
        <v/>
      </c>
      <c r="U1601">
        <f>IF(T1601&gt;=4.25,"Critical",IF(T1601&gt;=3.5,"High",IF(T1601&gt;=2,"Medium","Low")))</f>
        <v/>
      </c>
    </row>
    <row r="1602">
      <c r="R1602">
        <f>IFERROR(XLOOKUP(XLOOKUP(D1602,tblReleaseChanges[Change_ID],tblReleaseChanges[Oracle_Severity],""),tblSeverityMap[Severity_Text],tblSeverityMap[Score],0),0)</f>
        <v/>
      </c>
      <c r="T1602">
        <f>ROUND((M1602*0.25)+(N1602*0.20)+(O1602*0.15)+(P1602*0.15)+(Q1602*0.10)+(R1602*0.10)+(S1602*0.05),2)</f>
        <v/>
      </c>
      <c r="U1602">
        <f>IF(T1602&gt;=4.25,"Critical",IF(T1602&gt;=3.5,"High",IF(T1602&gt;=2,"Medium","Low")))</f>
        <v/>
      </c>
    </row>
    <row r="1603">
      <c r="R1603">
        <f>IFERROR(XLOOKUP(XLOOKUP(D1603,tblReleaseChanges[Change_ID],tblReleaseChanges[Oracle_Severity],""),tblSeverityMap[Severity_Text],tblSeverityMap[Score],0),0)</f>
        <v/>
      </c>
      <c r="T1603">
        <f>ROUND((M1603*0.25)+(N1603*0.20)+(O1603*0.15)+(P1603*0.15)+(Q1603*0.10)+(R1603*0.10)+(S1603*0.05),2)</f>
        <v/>
      </c>
      <c r="U1603">
        <f>IF(T1603&gt;=4.25,"Critical",IF(T1603&gt;=3.5,"High",IF(T1603&gt;=2,"Medium","Low")))</f>
        <v/>
      </c>
    </row>
    <row r="1604">
      <c r="R1604">
        <f>IFERROR(XLOOKUP(XLOOKUP(D1604,tblReleaseChanges[Change_ID],tblReleaseChanges[Oracle_Severity],""),tblSeverityMap[Severity_Text],tblSeverityMap[Score],0),0)</f>
        <v/>
      </c>
      <c r="T1604">
        <f>ROUND((M1604*0.25)+(N1604*0.20)+(O1604*0.15)+(P1604*0.15)+(Q1604*0.10)+(R1604*0.10)+(S1604*0.05),2)</f>
        <v/>
      </c>
      <c r="U1604">
        <f>IF(T1604&gt;=4.25,"Critical",IF(T1604&gt;=3.5,"High",IF(T1604&gt;=2,"Medium","Low")))</f>
        <v/>
      </c>
    </row>
    <row r="1605">
      <c r="R1605">
        <f>IFERROR(XLOOKUP(XLOOKUP(D1605,tblReleaseChanges[Change_ID],tblReleaseChanges[Oracle_Severity],""),tblSeverityMap[Severity_Text],tblSeverityMap[Score],0),0)</f>
        <v/>
      </c>
      <c r="T1605">
        <f>ROUND((M1605*0.25)+(N1605*0.20)+(O1605*0.15)+(P1605*0.15)+(Q1605*0.10)+(R1605*0.10)+(S1605*0.05),2)</f>
        <v/>
      </c>
      <c r="U1605">
        <f>IF(T1605&gt;=4.25,"Critical",IF(T1605&gt;=3.5,"High",IF(T1605&gt;=2,"Medium","Low")))</f>
        <v/>
      </c>
    </row>
    <row r="1606">
      <c r="R1606">
        <f>IFERROR(XLOOKUP(XLOOKUP(D1606,tblReleaseChanges[Change_ID],tblReleaseChanges[Oracle_Severity],""),tblSeverityMap[Severity_Text],tblSeverityMap[Score],0),0)</f>
        <v/>
      </c>
      <c r="T1606">
        <f>ROUND((M1606*0.25)+(N1606*0.20)+(O1606*0.15)+(P1606*0.15)+(Q1606*0.10)+(R1606*0.10)+(S1606*0.05),2)</f>
        <v/>
      </c>
      <c r="U1606">
        <f>IF(T1606&gt;=4.25,"Critical",IF(T1606&gt;=3.5,"High",IF(T1606&gt;=2,"Medium","Low")))</f>
        <v/>
      </c>
    </row>
    <row r="1607">
      <c r="R1607">
        <f>IFERROR(XLOOKUP(XLOOKUP(D1607,tblReleaseChanges[Change_ID],tblReleaseChanges[Oracle_Severity],""),tblSeverityMap[Severity_Text],tblSeverityMap[Score],0),0)</f>
        <v/>
      </c>
      <c r="T1607">
        <f>ROUND((M1607*0.25)+(N1607*0.20)+(O1607*0.15)+(P1607*0.15)+(Q1607*0.10)+(R1607*0.10)+(S1607*0.05),2)</f>
        <v/>
      </c>
      <c r="U1607">
        <f>IF(T1607&gt;=4.25,"Critical",IF(T1607&gt;=3.5,"High",IF(T1607&gt;=2,"Medium","Low")))</f>
        <v/>
      </c>
    </row>
    <row r="1608">
      <c r="R1608">
        <f>IFERROR(XLOOKUP(XLOOKUP(D1608,tblReleaseChanges[Change_ID],tblReleaseChanges[Oracle_Severity],""),tblSeverityMap[Severity_Text],tblSeverityMap[Score],0),0)</f>
        <v/>
      </c>
      <c r="T1608">
        <f>ROUND((M1608*0.25)+(N1608*0.20)+(O1608*0.15)+(P1608*0.15)+(Q1608*0.10)+(R1608*0.10)+(S1608*0.05),2)</f>
        <v/>
      </c>
      <c r="U1608">
        <f>IF(T1608&gt;=4.25,"Critical",IF(T1608&gt;=3.5,"High",IF(T1608&gt;=2,"Medium","Low")))</f>
        <v/>
      </c>
    </row>
    <row r="1609">
      <c r="R1609">
        <f>IFERROR(XLOOKUP(XLOOKUP(D1609,tblReleaseChanges[Change_ID],tblReleaseChanges[Oracle_Severity],""),tblSeverityMap[Severity_Text],tblSeverityMap[Score],0),0)</f>
        <v/>
      </c>
      <c r="T1609">
        <f>ROUND((M1609*0.25)+(N1609*0.20)+(O1609*0.15)+(P1609*0.15)+(Q1609*0.10)+(R1609*0.10)+(S1609*0.05),2)</f>
        <v/>
      </c>
      <c r="U1609">
        <f>IF(T1609&gt;=4.25,"Critical",IF(T1609&gt;=3.5,"High",IF(T1609&gt;=2,"Medium","Low")))</f>
        <v/>
      </c>
    </row>
    <row r="1610">
      <c r="R1610">
        <f>IFERROR(XLOOKUP(XLOOKUP(D1610,tblReleaseChanges[Change_ID],tblReleaseChanges[Oracle_Severity],""),tblSeverityMap[Severity_Text],tblSeverityMap[Score],0),0)</f>
        <v/>
      </c>
      <c r="T1610">
        <f>ROUND((M1610*0.25)+(N1610*0.20)+(O1610*0.15)+(P1610*0.15)+(Q1610*0.10)+(R1610*0.10)+(S1610*0.05),2)</f>
        <v/>
      </c>
      <c r="U1610">
        <f>IF(T1610&gt;=4.25,"Critical",IF(T1610&gt;=3.5,"High",IF(T1610&gt;=2,"Medium","Low")))</f>
        <v/>
      </c>
    </row>
    <row r="1611">
      <c r="R1611">
        <f>IFERROR(XLOOKUP(XLOOKUP(D1611,tblReleaseChanges[Change_ID],tblReleaseChanges[Oracle_Severity],""),tblSeverityMap[Severity_Text],tblSeverityMap[Score],0),0)</f>
        <v/>
      </c>
      <c r="T1611">
        <f>ROUND((M1611*0.25)+(N1611*0.20)+(O1611*0.15)+(P1611*0.15)+(Q1611*0.10)+(R1611*0.10)+(S1611*0.05),2)</f>
        <v/>
      </c>
      <c r="U1611">
        <f>IF(T1611&gt;=4.25,"Critical",IF(T1611&gt;=3.5,"High",IF(T1611&gt;=2,"Medium","Low")))</f>
        <v/>
      </c>
    </row>
    <row r="1612">
      <c r="R1612">
        <f>IFERROR(XLOOKUP(XLOOKUP(D1612,tblReleaseChanges[Change_ID],tblReleaseChanges[Oracle_Severity],""),tblSeverityMap[Severity_Text],tblSeverityMap[Score],0),0)</f>
        <v/>
      </c>
      <c r="T1612">
        <f>ROUND((M1612*0.25)+(N1612*0.20)+(O1612*0.15)+(P1612*0.15)+(Q1612*0.10)+(R1612*0.10)+(S1612*0.05),2)</f>
        <v/>
      </c>
      <c r="U1612">
        <f>IF(T1612&gt;=4.25,"Critical",IF(T1612&gt;=3.5,"High",IF(T1612&gt;=2,"Medium","Low")))</f>
        <v/>
      </c>
    </row>
    <row r="1613">
      <c r="R1613">
        <f>IFERROR(XLOOKUP(XLOOKUP(D1613,tblReleaseChanges[Change_ID],tblReleaseChanges[Oracle_Severity],""),tblSeverityMap[Severity_Text],tblSeverityMap[Score],0),0)</f>
        <v/>
      </c>
      <c r="T1613">
        <f>ROUND((M1613*0.25)+(N1613*0.20)+(O1613*0.15)+(P1613*0.15)+(Q1613*0.10)+(R1613*0.10)+(S1613*0.05),2)</f>
        <v/>
      </c>
      <c r="U1613">
        <f>IF(T1613&gt;=4.25,"Critical",IF(T1613&gt;=3.5,"High",IF(T1613&gt;=2,"Medium","Low")))</f>
        <v/>
      </c>
    </row>
    <row r="1614">
      <c r="R1614">
        <f>IFERROR(XLOOKUP(XLOOKUP(D1614,tblReleaseChanges[Change_ID],tblReleaseChanges[Oracle_Severity],""),tblSeverityMap[Severity_Text],tblSeverityMap[Score],0),0)</f>
        <v/>
      </c>
      <c r="T1614">
        <f>ROUND((M1614*0.25)+(N1614*0.20)+(O1614*0.15)+(P1614*0.15)+(Q1614*0.10)+(R1614*0.10)+(S1614*0.05),2)</f>
        <v/>
      </c>
      <c r="U1614">
        <f>IF(T1614&gt;=4.25,"Critical",IF(T1614&gt;=3.5,"High",IF(T1614&gt;=2,"Medium","Low")))</f>
        <v/>
      </c>
    </row>
    <row r="1615">
      <c r="R1615">
        <f>IFERROR(XLOOKUP(XLOOKUP(D1615,tblReleaseChanges[Change_ID],tblReleaseChanges[Oracle_Severity],""),tblSeverityMap[Severity_Text],tblSeverityMap[Score],0),0)</f>
        <v/>
      </c>
      <c r="T1615">
        <f>ROUND((M1615*0.25)+(N1615*0.20)+(O1615*0.15)+(P1615*0.15)+(Q1615*0.10)+(R1615*0.10)+(S1615*0.05),2)</f>
        <v/>
      </c>
      <c r="U1615">
        <f>IF(T1615&gt;=4.25,"Critical",IF(T1615&gt;=3.5,"High",IF(T1615&gt;=2,"Medium","Low")))</f>
        <v/>
      </c>
    </row>
    <row r="1616">
      <c r="R1616">
        <f>IFERROR(XLOOKUP(XLOOKUP(D1616,tblReleaseChanges[Change_ID],tblReleaseChanges[Oracle_Severity],""),tblSeverityMap[Severity_Text],tblSeverityMap[Score],0),0)</f>
        <v/>
      </c>
      <c r="T1616">
        <f>ROUND((M1616*0.25)+(N1616*0.20)+(O1616*0.15)+(P1616*0.15)+(Q1616*0.10)+(R1616*0.10)+(S1616*0.05),2)</f>
        <v/>
      </c>
      <c r="U1616">
        <f>IF(T1616&gt;=4.25,"Critical",IF(T1616&gt;=3.5,"High",IF(T1616&gt;=2,"Medium","Low")))</f>
        <v/>
      </c>
    </row>
    <row r="1617">
      <c r="R1617">
        <f>IFERROR(XLOOKUP(XLOOKUP(D1617,tblReleaseChanges[Change_ID],tblReleaseChanges[Oracle_Severity],""),tblSeverityMap[Severity_Text],tblSeverityMap[Score],0),0)</f>
        <v/>
      </c>
      <c r="T1617">
        <f>ROUND((M1617*0.25)+(N1617*0.20)+(O1617*0.15)+(P1617*0.15)+(Q1617*0.10)+(R1617*0.10)+(S1617*0.05),2)</f>
        <v/>
      </c>
      <c r="U1617">
        <f>IF(T1617&gt;=4.25,"Critical",IF(T1617&gt;=3.5,"High",IF(T1617&gt;=2,"Medium","Low")))</f>
        <v/>
      </c>
    </row>
    <row r="1618">
      <c r="R1618">
        <f>IFERROR(XLOOKUP(XLOOKUP(D1618,tblReleaseChanges[Change_ID],tblReleaseChanges[Oracle_Severity],""),tblSeverityMap[Severity_Text],tblSeverityMap[Score],0),0)</f>
        <v/>
      </c>
      <c r="T1618">
        <f>ROUND((M1618*0.25)+(N1618*0.20)+(O1618*0.15)+(P1618*0.15)+(Q1618*0.10)+(R1618*0.10)+(S1618*0.05),2)</f>
        <v/>
      </c>
      <c r="U1618">
        <f>IF(T1618&gt;=4.25,"Critical",IF(T1618&gt;=3.5,"High",IF(T1618&gt;=2,"Medium","Low")))</f>
        <v/>
      </c>
    </row>
    <row r="1619">
      <c r="R1619">
        <f>IFERROR(XLOOKUP(XLOOKUP(D1619,tblReleaseChanges[Change_ID],tblReleaseChanges[Oracle_Severity],""),tblSeverityMap[Severity_Text],tblSeverityMap[Score],0),0)</f>
        <v/>
      </c>
      <c r="T1619">
        <f>ROUND((M1619*0.25)+(N1619*0.20)+(O1619*0.15)+(P1619*0.15)+(Q1619*0.10)+(R1619*0.10)+(S1619*0.05),2)</f>
        <v/>
      </c>
      <c r="U1619">
        <f>IF(T1619&gt;=4.25,"Critical",IF(T1619&gt;=3.5,"High",IF(T1619&gt;=2,"Medium","Low")))</f>
        <v/>
      </c>
    </row>
    <row r="1620">
      <c r="R1620">
        <f>IFERROR(XLOOKUP(XLOOKUP(D1620,tblReleaseChanges[Change_ID],tblReleaseChanges[Oracle_Severity],""),tblSeverityMap[Severity_Text],tblSeverityMap[Score],0),0)</f>
        <v/>
      </c>
      <c r="T1620">
        <f>ROUND((M1620*0.25)+(N1620*0.20)+(O1620*0.15)+(P1620*0.15)+(Q1620*0.10)+(R1620*0.10)+(S1620*0.05),2)</f>
        <v/>
      </c>
      <c r="U1620">
        <f>IF(T1620&gt;=4.25,"Critical",IF(T1620&gt;=3.5,"High",IF(T1620&gt;=2,"Medium","Low")))</f>
        <v/>
      </c>
    </row>
    <row r="1621">
      <c r="R1621">
        <f>IFERROR(XLOOKUP(XLOOKUP(D1621,tblReleaseChanges[Change_ID],tblReleaseChanges[Oracle_Severity],""),tblSeverityMap[Severity_Text],tblSeverityMap[Score],0),0)</f>
        <v/>
      </c>
      <c r="T1621">
        <f>ROUND((M1621*0.25)+(N1621*0.20)+(O1621*0.15)+(P1621*0.15)+(Q1621*0.10)+(R1621*0.10)+(S1621*0.05),2)</f>
        <v/>
      </c>
      <c r="U1621">
        <f>IF(T1621&gt;=4.25,"Critical",IF(T1621&gt;=3.5,"High",IF(T1621&gt;=2,"Medium","Low")))</f>
        <v/>
      </c>
    </row>
    <row r="1622">
      <c r="R1622">
        <f>IFERROR(XLOOKUP(XLOOKUP(D1622,tblReleaseChanges[Change_ID],tblReleaseChanges[Oracle_Severity],""),tblSeverityMap[Severity_Text],tblSeverityMap[Score],0),0)</f>
        <v/>
      </c>
      <c r="T1622">
        <f>ROUND((M1622*0.25)+(N1622*0.20)+(O1622*0.15)+(P1622*0.15)+(Q1622*0.10)+(R1622*0.10)+(S1622*0.05),2)</f>
        <v/>
      </c>
      <c r="U1622">
        <f>IF(T1622&gt;=4.25,"Critical",IF(T1622&gt;=3.5,"High",IF(T1622&gt;=2,"Medium","Low")))</f>
        <v/>
      </c>
    </row>
    <row r="1623">
      <c r="R1623">
        <f>IFERROR(XLOOKUP(XLOOKUP(D1623,tblReleaseChanges[Change_ID],tblReleaseChanges[Oracle_Severity],""),tblSeverityMap[Severity_Text],tblSeverityMap[Score],0),0)</f>
        <v/>
      </c>
      <c r="T1623">
        <f>ROUND((M1623*0.25)+(N1623*0.20)+(O1623*0.15)+(P1623*0.15)+(Q1623*0.10)+(R1623*0.10)+(S1623*0.05),2)</f>
        <v/>
      </c>
      <c r="U1623">
        <f>IF(T1623&gt;=4.25,"Critical",IF(T1623&gt;=3.5,"High",IF(T1623&gt;=2,"Medium","Low")))</f>
        <v/>
      </c>
    </row>
    <row r="1624">
      <c r="R1624">
        <f>IFERROR(XLOOKUP(XLOOKUP(D1624,tblReleaseChanges[Change_ID],tblReleaseChanges[Oracle_Severity],""),tblSeverityMap[Severity_Text],tblSeverityMap[Score],0),0)</f>
        <v/>
      </c>
      <c r="T1624">
        <f>ROUND((M1624*0.25)+(N1624*0.20)+(O1624*0.15)+(P1624*0.15)+(Q1624*0.10)+(R1624*0.10)+(S1624*0.05),2)</f>
        <v/>
      </c>
      <c r="U1624">
        <f>IF(T1624&gt;=4.25,"Critical",IF(T1624&gt;=3.5,"High",IF(T1624&gt;=2,"Medium","Low")))</f>
        <v/>
      </c>
    </row>
    <row r="1625">
      <c r="R1625">
        <f>IFERROR(XLOOKUP(XLOOKUP(D1625,tblReleaseChanges[Change_ID],tblReleaseChanges[Oracle_Severity],""),tblSeverityMap[Severity_Text],tblSeverityMap[Score],0),0)</f>
        <v/>
      </c>
      <c r="T1625">
        <f>ROUND((M1625*0.25)+(N1625*0.20)+(O1625*0.15)+(P1625*0.15)+(Q1625*0.10)+(R1625*0.10)+(S1625*0.05),2)</f>
        <v/>
      </c>
      <c r="U1625">
        <f>IF(T1625&gt;=4.25,"Critical",IF(T1625&gt;=3.5,"High",IF(T1625&gt;=2,"Medium","Low")))</f>
        <v/>
      </c>
    </row>
    <row r="1626">
      <c r="R1626">
        <f>IFERROR(XLOOKUP(XLOOKUP(D1626,tblReleaseChanges[Change_ID],tblReleaseChanges[Oracle_Severity],""),tblSeverityMap[Severity_Text],tblSeverityMap[Score],0),0)</f>
        <v/>
      </c>
      <c r="T1626">
        <f>ROUND((M1626*0.25)+(N1626*0.20)+(O1626*0.15)+(P1626*0.15)+(Q1626*0.10)+(R1626*0.10)+(S1626*0.05),2)</f>
        <v/>
      </c>
      <c r="U1626">
        <f>IF(T1626&gt;=4.25,"Critical",IF(T1626&gt;=3.5,"High",IF(T1626&gt;=2,"Medium","Low")))</f>
        <v/>
      </c>
    </row>
    <row r="1627">
      <c r="R1627">
        <f>IFERROR(XLOOKUP(XLOOKUP(D1627,tblReleaseChanges[Change_ID],tblReleaseChanges[Oracle_Severity],""),tblSeverityMap[Severity_Text],tblSeverityMap[Score],0),0)</f>
        <v/>
      </c>
      <c r="T1627">
        <f>ROUND((M1627*0.25)+(N1627*0.20)+(O1627*0.15)+(P1627*0.15)+(Q1627*0.10)+(R1627*0.10)+(S1627*0.05),2)</f>
        <v/>
      </c>
      <c r="U1627">
        <f>IF(T1627&gt;=4.25,"Critical",IF(T1627&gt;=3.5,"High",IF(T1627&gt;=2,"Medium","Low")))</f>
        <v/>
      </c>
    </row>
    <row r="1628">
      <c r="R1628">
        <f>IFERROR(XLOOKUP(XLOOKUP(D1628,tblReleaseChanges[Change_ID],tblReleaseChanges[Oracle_Severity],""),tblSeverityMap[Severity_Text],tblSeverityMap[Score],0),0)</f>
        <v/>
      </c>
      <c r="T1628">
        <f>ROUND((M1628*0.25)+(N1628*0.20)+(O1628*0.15)+(P1628*0.15)+(Q1628*0.10)+(R1628*0.10)+(S1628*0.05),2)</f>
        <v/>
      </c>
      <c r="U1628">
        <f>IF(T1628&gt;=4.25,"Critical",IF(T1628&gt;=3.5,"High",IF(T1628&gt;=2,"Medium","Low")))</f>
        <v/>
      </c>
    </row>
    <row r="1629">
      <c r="R1629">
        <f>IFERROR(XLOOKUP(XLOOKUP(D1629,tblReleaseChanges[Change_ID],tblReleaseChanges[Oracle_Severity],""),tblSeverityMap[Severity_Text],tblSeverityMap[Score],0),0)</f>
        <v/>
      </c>
      <c r="T1629">
        <f>ROUND((M1629*0.25)+(N1629*0.20)+(O1629*0.15)+(P1629*0.15)+(Q1629*0.10)+(R1629*0.10)+(S1629*0.05),2)</f>
        <v/>
      </c>
      <c r="U1629">
        <f>IF(T1629&gt;=4.25,"Critical",IF(T1629&gt;=3.5,"High",IF(T1629&gt;=2,"Medium","Low")))</f>
        <v/>
      </c>
    </row>
    <row r="1630">
      <c r="R1630">
        <f>IFERROR(XLOOKUP(XLOOKUP(D1630,tblReleaseChanges[Change_ID],tblReleaseChanges[Oracle_Severity],""),tblSeverityMap[Severity_Text],tblSeverityMap[Score],0),0)</f>
        <v/>
      </c>
      <c r="T1630">
        <f>ROUND((M1630*0.25)+(N1630*0.20)+(O1630*0.15)+(P1630*0.15)+(Q1630*0.10)+(R1630*0.10)+(S1630*0.05),2)</f>
        <v/>
      </c>
      <c r="U1630">
        <f>IF(T1630&gt;=4.25,"Critical",IF(T1630&gt;=3.5,"High",IF(T1630&gt;=2,"Medium","Low")))</f>
        <v/>
      </c>
    </row>
    <row r="1631">
      <c r="R1631">
        <f>IFERROR(XLOOKUP(XLOOKUP(D1631,tblReleaseChanges[Change_ID],tblReleaseChanges[Oracle_Severity],""),tblSeverityMap[Severity_Text],tblSeverityMap[Score],0),0)</f>
        <v/>
      </c>
      <c r="T1631">
        <f>ROUND((M1631*0.25)+(N1631*0.20)+(O1631*0.15)+(P1631*0.15)+(Q1631*0.10)+(R1631*0.10)+(S1631*0.05),2)</f>
        <v/>
      </c>
      <c r="U1631">
        <f>IF(T1631&gt;=4.25,"Critical",IF(T1631&gt;=3.5,"High",IF(T1631&gt;=2,"Medium","Low")))</f>
        <v/>
      </c>
    </row>
    <row r="1632">
      <c r="R1632">
        <f>IFERROR(XLOOKUP(XLOOKUP(D1632,tblReleaseChanges[Change_ID],tblReleaseChanges[Oracle_Severity],""),tblSeverityMap[Severity_Text],tblSeverityMap[Score],0),0)</f>
        <v/>
      </c>
      <c r="T1632">
        <f>ROUND((M1632*0.25)+(N1632*0.20)+(O1632*0.15)+(P1632*0.15)+(Q1632*0.10)+(R1632*0.10)+(S1632*0.05),2)</f>
        <v/>
      </c>
      <c r="U1632">
        <f>IF(T1632&gt;=4.25,"Critical",IF(T1632&gt;=3.5,"High",IF(T1632&gt;=2,"Medium","Low")))</f>
        <v/>
      </c>
    </row>
    <row r="1633">
      <c r="R1633">
        <f>IFERROR(XLOOKUP(XLOOKUP(D1633,tblReleaseChanges[Change_ID],tblReleaseChanges[Oracle_Severity],""),tblSeverityMap[Severity_Text],tblSeverityMap[Score],0),0)</f>
        <v/>
      </c>
      <c r="T1633">
        <f>ROUND((M1633*0.25)+(N1633*0.20)+(O1633*0.15)+(P1633*0.15)+(Q1633*0.10)+(R1633*0.10)+(S1633*0.05),2)</f>
        <v/>
      </c>
      <c r="U1633">
        <f>IF(T1633&gt;=4.25,"Critical",IF(T1633&gt;=3.5,"High",IF(T1633&gt;=2,"Medium","Low")))</f>
        <v/>
      </c>
    </row>
    <row r="1634">
      <c r="R1634">
        <f>IFERROR(XLOOKUP(XLOOKUP(D1634,tblReleaseChanges[Change_ID],tblReleaseChanges[Oracle_Severity],""),tblSeverityMap[Severity_Text],tblSeverityMap[Score],0),0)</f>
        <v/>
      </c>
      <c r="T1634">
        <f>ROUND((M1634*0.25)+(N1634*0.20)+(O1634*0.15)+(P1634*0.15)+(Q1634*0.10)+(R1634*0.10)+(S1634*0.05),2)</f>
        <v/>
      </c>
      <c r="U1634">
        <f>IF(T1634&gt;=4.25,"Critical",IF(T1634&gt;=3.5,"High",IF(T1634&gt;=2,"Medium","Low")))</f>
        <v/>
      </c>
    </row>
    <row r="1635">
      <c r="R1635">
        <f>IFERROR(XLOOKUP(XLOOKUP(D1635,tblReleaseChanges[Change_ID],tblReleaseChanges[Oracle_Severity],""),tblSeverityMap[Severity_Text],tblSeverityMap[Score],0),0)</f>
        <v/>
      </c>
      <c r="T1635">
        <f>ROUND((M1635*0.25)+(N1635*0.20)+(O1635*0.15)+(P1635*0.15)+(Q1635*0.10)+(R1635*0.10)+(S1635*0.05),2)</f>
        <v/>
      </c>
      <c r="U1635">
        <f>IF(T1635&gt;=4.25,"Critical",IF(T1635&gt;=3.5,"High",IF(T1635&gt;=2,"Medium","Low")))</f>
        <v/>
      </c>
    </row>
    <row r="1636">
      <c r="R1636">
        <f>IFERROR(XLOOKUP(XLOOKUP(D1636,tblReleaseChanges[Change_ID],tblReleaseChanges[Oracle_Severity],""),tblSeverityMap[Severity_Text],tblSeverityMap[Score],0),0)</f>
        <v/>
      </c>
      <c r="T1636">
        <f>ROUND((M1636*0.25)+(N1636*0.20)+(O1636*0.15)+(P1636*0.15)+(Q1636*0.10)+(R1636*0.10)+(S1636*0.05),2)</f>
        <v/>
      </c>
      <c r="U1636">
        <f>IF(T1636&gt;=4.25,"Critical",IF(T1636&gt;=3.5,"High",IF(T1636&gt;=2,"Medium","Low")))</f>
        <v/>
      </c>
    </row>
    <row r="1637">
      <c r="R1637">
        <f>IFERROR(XLOOKUP(XLOOKUP(D1637,tblReleaseChanges[Change_ID],tblReleaseChanges[Oracle_Severity],""),tblSeverityMap[Severity_Text],tblSeverityMap[Score],0),0)</f>
        <v/>
      </c>
      <c r="T1637">
        <f>ROUND((M1637*0.25)+(N1637*0.20)+(O1637*0.15)+(P1637*0.15)+(Q1637*0.10)+(R1637*0.10)+(S1637*0.05),2)</f>
        <v/>
      </c>
      <c r="U1637">
        <f>IF(T1637&gt;=4.25,"Critical",IF(T1637&gt;=3.5,"High",IF(T1637&gt;=2,"Medium","Low")))</f>
        <v/>
      </c>
    </row>
    <row r="1638">
      <c r="R1638">
        <f>IFERROR(XLOOKUP(XLOOKUP(D1638,tblReleaseChanges[Change_ID],tblReleaseChanges[Oracle_Severity],""),tblSeverityMap[Severity_Text],tblSeverityMap[Score],0),0)</f>
        <v/>
      </c>
      <c r="T1638">
        <f>ROUND((M1638*0.25)+(N1638*0.20)+(O1638*0.15)+(P1638*0.15)+(Q1638*0.10)+(R1638*0.10)+(S1638*0.05),2)</f>
        <v/>
      </c>
      <c r="U1638">
        <f>IF(T1638&gt;=4.25,"Critical",IF(T1638&gt;=3.5,"High",IF(T1638&gt;=2,"Medium","Low")))</f>
        <v/>
      </c>
    </row>
    <row r="1639">
      <c r="R1639">
        <f>IFERROR(XLOOKUP(XLOOKUP(D1639,tblReleaseChanges[Change_ID],tblReleaseChanges[Oracle_Severity],""),tblSeverityMap[Severity_Text],tblSeverityMap[Score],0),0)</f>
        <v/>
      </c>
      <c r="T1639">
        <f>ROUND((M1639*0.25)+(N1639*0.20)+(O1639*0.15)+(P1639*0.15)+(Q1639*0.10)+(R1639*0.10)+(S1639*0.05),2)</f>
        <v/>
      </c>
      <c r="U1639">
        <f>IF(T1639&gt;=4.25,"Critical",IF(T1639&gt;=3.5,"High",IF(T1639&gt;=2,"Medium","Low")))</f>
        <v/>
      </c>
    </row>
    <row r="1640">
      <c r="R1640">
        <f>IFERROR(XLOOKUP(XLOOKUP(D1640,tblReleaseChanges[Change_ID],tblReleaseChanges[Oracle_Severity],""),tblSeverityMap[Severity_Text],tblSeverityMap[Score],0),0)</f>
        <v/>
      </c>
      <c r="T1640">
        <f>ROUND((M1640*0.25)+(N1640*0.20)+(O1640*0.15)+(P1640*0.15)+(Q1640*0.10)+(R1640*0.10)+(S1640*0.05),2)</f>
        <v/>
      </c>
      <c r="U1640">
        <f>IF(T1640&gt;=4.25,"Critical",IF(T1640&gt;=3.5,"High",IF(T1640&gt;=2,"Medium","Low")))</f>
        <v/>
      </c>
    </row>
    <row r="1641">
      <c r="R1641">
        <f>IFERROR(XLOOKUP(XLOOKUP(D1641,tblReleaseChanges[Change_ID],tblReleaseChanges[Oracle_Severity],""),tblSeverityMap[Severity_Text],tblSeverityMap[Score],0),0)</f>
        <v/>
      </c>
      <c r="T1641">
        <f>ROUND((M1641*0.25)+(N1641*0.20)+(O1641*0.15)+(P1641*0.15)+(Q1641*0.10)+(R1641*0.10)+(S1641*0.05),2)</f>
        <v/>
      </c>
      <c r="U1641">
        <f>IF(T1641&gt;=4.25,"Critical",IF(T1641&gt;=3.5,"High",IF(T1641&gt;=2,"Medium","Low")))</f>
        <v/>
      </c>
    </row>
    <row r="1642">
      <c r="R1642">
        <f>IFERROR(XLOOKUP(XLOOKUP(D1642,tblReleaseChanges[Change_ID],tblReleaseChanges[Oracle_Severity],""),tblSeverityMap[Severity_Text],tblSeverityMap[Score],0),0)</f>
        <v/>
      </c>
      <c r="T1642">
        <f>ROUND((M1642*0.25)+(N1642*0.20)+(O1642*0.15)+(P1642*0.15)+(Q1642*0.10)+(R1642*0.10)+(S1642*0.05),2)</f>
        <v/>
      </c>
      <c r="U1642">
        <f>IF(T1642&gt;=4.25,"Critical",IF(T1642&gt;=3.5,"High",IF(T1642&gt;=2,"Medium","Low")))</f>
        <v/>
      </c>
    </row>
    <row r="1643">
      <c r="R1643">
        <f>IFERROR(XLOOKUP(XLOOKUP(D1643,tblReleaseChanges[Change_ID],tblReleaseChanges[Oracle_Severity],""),tblSeverityMap[Severity_Text],tblSeverityMap[Score],0),0)</f>
        <v/>
      </c>
      <c r="T1643">
        <f>ROUND((M1643*0.25)+(N1643*0.20)+(O1643*0.15)+(P1643*0.15)+(Q1643*0.10)+(R1643*0.10)+(S1643*0.05),2)</f>
        <v/>
      </c>
      <c r="U1643">
        <f>IF(T1643&gt;=4.25,"Critical",IF(T1643&gt;=3.5,"High",IF(T1643&gt;=2,"Medium","Low")))</f>
        <v/>
      </c>
    </row>
    <row r="1644">
      <c r="R1644">
        <f>IFERROR(XLOOKUP(XLOOKUP(D1644,tblReleaseChanges[Change_ID],tblReleaseChanges[Oracle_Severity],""),tblSeverityMap[Severity_Text],tblSeverityMap[Score],0),0)</f>
        <v/>
      </c>
      <c r="T1644">
        <f>ROUND((M1644*0.25)+(N1644*0.20)+(O1644*0.15)+(P1644*0.15)+(Q1644*0.10)+(R1644*0.10)+(S1644*0.05),2)</f>
        <v/>
      </c>
      <c r="U1644">
        <f>IF(T1644&gt;=4.25,"Critical",IF(T1644&gt;=3.5,"High",IF(T1644&gt;=2,"Medium","Low")))</f>
        <v/>
      </c>
    </row>
    <row r="1645">
      <c r="R1645">
        <f>IFERROR(XLOOKUP(XLOOKUP(D1645,tblReleaseChanges[Change_ID],tblReleaseChanges[Oracle_Severity],""),tblSeverityMap[Severity_Text],tblSeverityMap[Score],0),0)</f>
        <v/>
      </c>
      <c r="T1645">
        <f>ROUND((M1645*0.25)+(N1645*0.20)+(O1645*0.15)+(P1645*0.15)+(Q1645*0.10)+(R1645*0.10)+(S1645*0.05),2)</f>
        <v/>
      </c>
      <c r="U1645">
        <f>IF(T1645&gt;=4.25,"Critical",IF(T1645&gt;=3.5,"High",IF(T1645&gt;=2,"Medium","Low")))</f>
        <v/>
      </c>
    </row>
    <row r="1646">
      <c r="R1646">
        <f>IFERROR(XLOOKUP(XLOOKUP(D1646,tblReleaseChanges[Change_ID],tblReleaseChanges[Oracle_Severity],""),tblSeverityMap[Severity_Text],tblSeverityMap[Score],0),0)</f>
        <v/>
      </c>
      <c r="T1646">
        <f>ROUND((M1646*0.25)+(N1646*0.20)+(O1646*0.15)+(P1646*0.15)+(Q1646*0.10)+(R1646*0.10)+(S1646*0.05),2)</f>
        <v/>
      </c>
      <c r="U1646">
        <f>IF(T1646&gt;=4.25,"Critical",IF(T1646&gt;=3.5,"High",IF(T1646&gt;=2,"Medium","Low")))</f>
        <v/>
      </c>
    </row>
    <row r="1647">
      <c r="R1647">
        <f>IFERROR(XLOOKUP(XLOOKUP(D1647,tblReleaseChanges[Change_ID],tblReleaseChanges[Oracle_Severity],""),tblSeverityMap[Severity_Text],tblSeverityMap[Score],0),0)</f>
        <v/>
      </c>
      <c r="T1647">
        <f>ROUND((M1647*0.25)+(N1647*0.20)+(O1647*0.15)+(P1647*0.15)+(Q1647*0.10)+(R1647*0.10)+(S1647*0.05),2)</f>
        <v/>
      </c>
      <c r="U1647">
        <f>IF(T1647&gt;=4.25,"Critical",IF(T1647&gt;=3.5,"High",IF(T1647&gt;=2,"Medium","Low")))</f>
        <v/>
      </c>
    </row>
    <row r="1648">
      <c r="R1648">
        <f>IFERROR(XLOOKUP(XLOOKUP(D1648,tblReleaseChanges[Change_ID],tblReleaseChanges[Oracle_Severity],""),tblSeverityMap[Severity_Text],tblSeverityMap[Score],0),0)</f>
        <v/>
      </c>
      <c r="T1648">
        <f>ROUND((M1648*0.25)+(N1648*0.20)+(O1648*0.15)+(P1648*0.15)+(Q1648*0.10)+(R1648*0.10)+(S1648*0.05),2)</f>
        <v/>
      </c>
      <c r="U1648">
        <f>IF(T1648&gt;=4.25,"Critical",IF(T1648&gt;=3.5,"High",IF(T1648&gt;=2,"Medium","Low")))</f>
        <v/>
      </c>
    </row>
    <row r="1649">
      <c r="R1649">
        <f>IFERROR(XLOOKUP(XLOOKUP(D1649,tblReleaseChanges[Change_ID],tblReleaseChanges[Oracle_Severity],""),tblSeverityMap[Severity_Text],tblSeverityMap[Score],0),0)</f>
        <v/>
      </c>
      <c r="T1649">
        <f>ROUND((M1649*0.25)+(N1649*0.20)+(O1649*0.15)+(P1649*0.15)+(Q1649*0.10)+(R1649*0.10)+(S1649*0.05),2)</f>
        <v/>
      </c>
      <c r="U1649">
        <f>IF(T1649&gt;=4.25,"Critical",IF(T1649&gt;=3.5,"High",IF(T1649&gt;=2,"Medium","Low")))</f>
        <v/>
      </c>
    </row>
    <row r="1650">
      <c r="R1650">
        <f>IFERROR(XLOOKUP(XLOOKUP(D1650,tblReleaseChanges[Change_ID],tblReleaseChanges[Oracle_Severity],""),tblSeverityMap[Severity_Text],tblSeverityMap[Score],0),0)</f>
        <v/>
      </c>
      <c r="T1650">
        <f>ROUND((M1650*0.25)+(N1650*0.20)+(O1650*0.15)+(P1650*0.15)+(Q1650*0.10)+(R1650*0.10)+(S1650*0.05),2)</f>
        <v/>
      </c>
      <c r="U1650">
        <f>IF(T1650&gt;=4.25,"Critical",IF(T1650&gt;=3.5,"High",IF(T1650&gt;=2,"Medium","Low")))</f>
        <v/>
      </c>
    </row>
    <row r="1651">
      <c r="R1651">
        <f>IFERROR(XLOOKUP(XLOOKUP(D1651,tblReleaseChanges[Change_ID],tblReleaseChanges[Oracle_Severity],""),tblSeverityMap[Severity_Text],tblSeverityMap[Score],0),0)</f>
        <v/>
      </c>
      <c r="T1651">
        <f>ROUND((M1651*0.25)+(N1651*0.20)+(O1651*0.15)+(P1651*0.15)+(Q1651*0.10)+(R1651*0.10)+(S1651*0.05),2)</f>
        <v/>
      </c>
      <c r="U1651">
        <f>IF(T1651&gt;=4.25,"Critical",IF(T1651&gt;=3.5,"High",IF(T1651&gt;=2,"Medium","Low")))</f>
        <v/>
      </c>
    </row>
    <row r="1652">
      <c r="R1652">
        <f>IFERROR(XLOOKUP(XLOOKUP(D1652,tblReleaseChanges[Change_ID],tblReleaseChanges[Oracle_Severity],""),tblSeverityMap[Severity_Text],tblSeverityMap[Score],0),0)</f>
        <v/>
      </c>
      <c r="T1652">
        <f>ROUND((M1652*0.25)+(N1652*0.20)+(O1652*0.15)+(P1652*0.15)+(Q1652*0.10)+(R1652*0.10)+(S1652*0.05),2)</f>
        <v/>
      </c>
      <c r="U1652">
        <f>IF(T1652&gt;=4.25,"Critical",IF(T1652&gt;=3.5,"High",IF(T1652&gt;=2,"Medium","Low")))</f>
        <v/>
      </c>
    </row>
    <row r="1653">
      <c r="R1653">
        <f>IFERROR(XLOOKUP(XLOOKUP(D1653,tblReleaseChanges[Change_ID],tblReleaseChanges[Oracle_Severity],""),tblSeverityMap[Severity_Text],tblSeverityMap[Score],0),0)</f>
        <v/>
      </c>
      <c r="T1653">
        <f>ROUND((M1653*0.25)+(N1653*0.20)+(O1653*0.15)+(P1653*0.15)+(Q1653*0.10)+(R1653*0.10)+(S1653*0.05),2)</f>
        <v/>
      </c>
      <c r="U1653">
        <f>IF(T1653&gt;=4.25,"Critical",IF(T1653&gt;=3.5,"High",IF(T1653&gt;=2,"Medium","Low")))</f>
        <v/>
      </c>
    </row>
    <row r="1654">
      <c r="R1654">
        <f>IFERROR(XLOOKUP(XLOOKUP(D1654,tblReleaseChanges[Change_ID],tblReleaseChanges[Oracle_Severity],""),tblSeverityMap[Severity_Text],tblSeverityMap[Score],0),0)</f>
        <v/>
      </c>
      <c r="T1654">
        <f>ROUND((M1654*0.25)+(N1654*0.20)+(O1654*0.15)+(P1654*0.15)+(Q1654*0.10)+(R1654*0.10)+(S1654*0.05),2)</f>
        <v/>
      </c>
      <c r="U1654">
        <f>IF(T1654&gt;=4.25,"Critical",IF(T1654&gt;=3.5,"High",IF(T1654&gt;=2,"Medium","Low")))</f>
        <v/>
      </c>
    </row>
    <row r="1655">
      <c r="R1655">
        <f>IFERROR(XLOOKUP(XLOOKUP(D1655,tblReleaseChanges[Change_ID],tblReleaseChanges[Oracle_Severity],""),tblSeverityMap[Severity_Text],tblSeverityMap[Score],0),0)</f>
        <v/>
      </c>
      <c r="T1655">
        <f>ROUND((M1655*0.25)+(N1655*0.20)+(O1655*0.15)+(P1655*0.15)+(Q1655*0.10)+(R1655*0.10)+(S1655*0.05),2)</f>
        <v/>
      </c>
      <c r="U1655">
        <f>IF(T1655&gt;=4.25,"Critical",IF(T1655&gt;=3.5,"High",IF(T1655&gt;=2,"Medium","Low")))</f>
        <v/>
      </c>
    </row>
    <row r="1656">
      <c r="R1656">
        <f>IFERROR(XLOOKUP(XLOOKUP(D1656,tblReleaseChanges[Change_ID],tblReleaseChanges[Oracle_Severity],""),tblSeverityMap[Severity_Text],tblSeverityMap[Score],0),0)</f>
        <v/>
      </c>
      <c r="T1656">
        <f>ROUND((M1656*0.25)+(N1656*0.20)+(O1656*0.15)+(P1656*0.15)+(Q1656*0.10)+(R1656*0.10)+(S1656*0.05),2)</f>
        <v/>
      </c>
      <c r="U1656">
        <f>IF(T1656&gt;=4.25,"Critical",IF(T1656&gt;=3.5,"High",IF(T1656&gt;=2,"Medium","Low")))</f>
        <v/>
      </c>
    </row>
    <row r="1657">
      <c r="R1657">
        <f>IFERROR(XLOOKUP(XLOOKUP(D1657,tblReleaseChanges[Change_ID],tblReleaseChanges[Oracle_Severity],""),tblSeverityMap[Severity_Text],tblSeverityMap[Score],0),0)</f>
        <v/>
      </c>
      <c r="T1657">
        <f>ROUND((M1657*0.25)+(N1657*0.20)+(O1657*0.15)+(P1657*0.15)+(Q1657*0.10)+(R1657*0.10)+(S1657*0.05),2)</f>
        <v/>
      </c>
      <c r="U1657">
        <f>IF(T1657&gt;=4.25,"Critical",IF(T1657&gt;=3.5,"High",IF(T1657&gt;=2,"Medium","Low")))</f>
        <v/>
      </c>
    </row>
    <row r="1658">
      <c r="R1658">
        <f>IFERROR(XLOOKUP(XLOOKUP(D1658,tblReleaseChanges[Change_ID],tblReleaseChanges[Oracle_Severity],""),tblSeverityMap[Severity_Text],tblSeverityMap[Score],0),0)</f>
        <v/>
      </c>
      <c r="T1658">
        <f>ROUND((M1658*0.25)+(N1658*0.20)+(O1658*0.15)+(P1658*0.15)+(Q1658*0.10)+(R1658*0.10)+(S1658*0.05),2)</f>
        <v/>
      </c>
      <c r="U1658">
        <f>IF(T1658&gt;=4.25,"Critical",IF(T1658&gt;=3.5,"High",IF(T1658&gt;=2,"Medium","Low")))</f>
        <v/>
      </c>
    </row>
    <row r="1659">
      <c r="R1659">
        <f>IFERROR(XLOOKUP(XLOOKUP(D1659,tblReleaseChanges[Change_ID],tblReleaseChanges[Oracle_Severity],""),tblSeverityMap[Severity_Text],tblSeverityMap[Score],0),0)</f>
        <v/>
      </c>
      <c r="T1659">
        <f>ROUND((M1659*0.25)+(N1659*0.20)+(O1659*0.15)+(P1659*0.15)+(Q1659*0.10)+(R1659*0.10)+(S1659*0.05),2)</f>
        <v/>
      </c>
      <c r="U1659">
        <f>IF(T1659&gt;=4.25,"Critical",IF(T1659&gt;=3.5,"High",IF(T1659&gt;=2,"Medium","Low")))</f>
        <v/>
      </c>
    </row>
    <row r="1660">
      <c r="R1660">
        <f>IFERROR(XLOOKUP(XLOOKUP(D1660,tblReleaseChanges[Change_ID],tblReleaseChanges[Oracle_Severity],""),tblSeverityMap[Severity_Text],tblSeverityMap[Score],0),0)</f>
        <v/>
      </c>
      <c r="T1660">
        <f>ROUND((M1660*0.25)+(N1660*0.20)+(O1660*0.15)+(P1660*0.15)+(Q1660*0.10)+(R1660*0.10)+(S1660*0.05),2)</f>
        <v/>
      </c>
      <c r="U1660">
        <f>IF(T1660&gt;=4.25,"Critical",IF(T1660&gt;=3.5,"High",IF(T1660&gt;=2,"Medium","Low")))</f>
        <v/>
      </c>
    </row>
    <row r="1661">
      <c r="R1661">
        <f>IFERROR(XLOOKUP(XLOOKUP(D1661,tblReleaseChanges[Change_ID],tblReleaseChanges[Oracle_Severity],""),tblSeverityMap[Severity_Text],tblSeverityMap[Score],0),0)</f>
        <v/>
      </c>
      <c r="T1661">
        <f>ROUND((M1661*0.25)+(N1661*0.20)+(O1661*0.15)+(P1661*0.15)+(Q1661*0.10)+(R1661*0.10)+(S1661*0.05),2)</f>
        <v/>
      </c>
      <c r="U1661">
        <f>IF(T1661&gt;=4.25,"Critical",IF(T1661&gt;=3.5,"High",IF(T1661&gt;=2,"Medium","Low")))</f>
        <v/>
      </c>
    </row>
    <row r="1662">
      <c r="R1662">
        <f>IFERROR(XLOOKUP(XLOOKUP(D1662,tblReleaseChanges[Change_ID],tblReleaseChanges[Oracle_Severity],""),tblSeverityMap[Severity_Text],tblSeverityMap[Score],0),0)</f>
        <v/>
      </c>
      <c r="T1662">
        <f>ROUND((M1662*0.25)+(N1662*0.20)+(O1662*0.15)+(P1662*0.15)+(Q1662*0.10)+(R1662*0.10)+(S1662*0.05),2)</f>
        <v/>
      </c>
      <c r="U1662">
        <f>IF(T1662&gt;=4.25,"Critical",IF(T1662&gt;=3.5,"High",IF(T1662&gt;=2,"Medium","Low")))</f>
        <v/>
      </c>
    </row>
    <row r="1663">
      <c r="R1663">
        <f>IFERROR(XLOOKUP(XLOOKUP(D1663,tblReleaseChanges[Change_ID],tblReleaseChanges[Oracle_Severity],""),tblSeverityMap[Severity_Text],tblSeverityMap[Score],0),0)</f>
        <v/>
      </c>
      <c r="T1663">
        <f>ROUND((M1663*0.25)+(N1663*0.20)+(O1663*0.15)+(P1663*0.15)+(Q1663*0.10)+(R1663*0.10)+(S1663*0.05),2)</f>
        <v/>
      </c>
      <c r="U1663">
        <f>IF(T1663&gt;=4.25,"Critical",IF(T1663&gt;=3.5,"High",IF(T1663&gt;=2,"Medium","Low")))</f>
        <v/>
      </c>
    </row>
    <row r="1664">
      <c r="R1664">
        <f>IFERROR(XLOOKUP(XLOOKUP(D1664,tblReleaseChanges[Change_ID],tblReleaseChanges[Oracle_Severity],""),tblSeverityMap[Severity_Text],tblSeverityMap[Score],0),0)</f>
        <v/>
      </c>
      <c r="T1664">
        <f>ROUND((M1664*0.25)+(N1664*0.20)+(O1664*0.15)+(P1664*0.15)+(Q1664*0.10)+(R1664*0.10)+(S1664*0.05),2)</f>
        <v/>
      </c>
      <c r="U1664">
        <f>IF(T1664&gt;=4.25,"Critical",IF(T1664&gt;=3.5,"High",IF(T1664&gt;=2,"Medium","Low")))</f>
        <v/>
      </c>
    </row>
    <row r="1665">
      <c r="R1665">
        <f>IFERROR(XLOOKUP(XLOOKUP(D1665,tblReleaseChanges[Change_ID],tblReleaseChanges[Oracle_Severity],""),tblSeverityMap[Severity_Text],tblSeverityMap[Score],0),0)</f>
        <v/>
      </c>
      <c r="T1665">
        <f>ROUND((M1665*0.25)+(N1665*0.20)+(O1665*0.15)+(P1665*0.15)+(Q1665*0.10)+(R1665*0.10)+(S1665*0.05),2)</f>
        <v/>
      </c>
      <c r="U1665">
        <f>IF(T1665&gt;=4.25,"Critical",IF(T1665&gt;=3.5,"High",IF(T1665&gt;=2,"Medium","Low")))</f>
        <v/>
      </c>
    </row>
    <row r="1666">
      <c r="R1666">
        <f>IFERROR(XLOOKUP(XLOOKUP(D1666,tblReleaseChanges[Change_ID],tblReleaseChanges[Oracle_Severity],""),tblSeverityMap[Severity_Text],tblSeverityMap[Score],0),0)</f>
        <v/>
      </c>
      <c r="T1666">
        <f>ROUND((M1666*0.25)+(N1666*0.20)+(O1666*0.15)+(P1666*0.15)+(Q1666*0.10)+(R1666*0.10)+(S1666*0.05),2)</f>
        <v/>
      </c>
      <c r="U1666">
        <f>IF(T1666&gt;=4.25,"Critical",IF(T1666&gt;=3.5,"High",IF(T1666&gt;=2,"Medium","Low")))</f>
        <v/>
      </c>
    </row>
    <row r="1667">
      <c r="R1667">
        <f>IFERROR(XLOOKUP(XLOOKUP(D1667,tblReleaseChanges[Change_ID],tblReleaseChanges[Oracle_Severity],""),tblSeverityMap[Severity_Text],tblSeverityMap[Score],0),0)</f>
        <v/>
      </c>
      <c r="T1667">
        <f>ROUND((M1667*0.25)+(N1667*0.20)+(O1667*0.15)+(P1667*0.15)+(Q1667*0.10)+(R1667*0.10)+(S1667*0.05),2)</f>
        <v/>
      </c>
      <c r="U1667">
        <f>IF(T1667&gt;=4.25,"Critical",IF(T1667&gt;=3.5,"High",IF(T1667&gt;=2,"Medium","Low")))</f>
        <v/>
      </c>
    </row>
    <row r="1668">
      <c r="R1668">
        <f>IFERROR(XLOOKUP(XLOOKUP(D1668,tblReleaseChanges[Change_ID],tblReleaseChanges[Oracle_Severity],""),tblSeverityMap[Severity_Text],tblSeverityMap[Score],0),0)</f>
        <v/>
      </c>
      <c r="T1668">
        <f>ROUND((M1668*0.25)+(N1668*0.20)+(O1668*0.15)+(P1668*0.15)+(Q1668*0.10)+(R1668*0.10)+(S1668*0.05),2)</f>
        <v/>
      </c>
      <c r="U1668">
        <f>IF(T1668&gt;=4.25,"Critical",IF(T1668&gt;=3.5,"High",IF(T1668&gt;=2,"Medium","Low")))</f>
        <v/>
      </c>
    </row>
    <row r="1669">
      <c r="R1669">
        <f>IFERROR(XLOOKUP(XLOOKUP(D1669,tblReleaseChanges[Change_ID],tblReleaseChanges[Oracle_Severity],""),tblSeverityMap[Severity_Text],tblSeverityMap[Score],0),0)</f>
        <v/>
      </c>
      <c r="T1669">
        <f>ROUND((M1669*0.25)+(N1669*0.20)+(O1669*0.15)+(P1669*0.15)+(Q1669*0.10)+(R1669*0.10)+(S1669*0.05),2)</f>
        <v/>
      </c>
      <c r="U1669">
        <f>IF(T1669&gt;=4.25,"Critical",IF(T1669&gt;=3.5,"High",IF(T1669&gt;=2,"Medium","Low")))</f>
        <v/>
      </c>
    </row>
    <row r="1670">
      <c r="R1670">
        <f>IFERROR(XLOOKUP(XLOOKUP(D1670,tblReleaseChanges[Change_ID],tblReleaseChanges[Oracle_Severity],""),tblSeverityMap[Severity_Text],tblSeverityMap[Score],0),0)</f>
        <v/>
      </c>
      <c r="T1670">
        <f>ROUND((M1670*0.25)+(N1670*0.20)+(O1670*0.15)+(P1670*0.15)+(Q1670*0.10)+(R1670*0.10)+(S1670*0.05),2)</f>
        <v/>
      </c>
      <c r="U1670">
        <f>IF(T1670&gt;=4.25,"Critical",IF(T1670&gt;=3.5,"High",IF(T1670&gt;=2,"Medium","Low")))</f>
        <v/>
      </c>
    </row>
    <row r="1671">
      <c r="R1671">
        <f>IFERROR(XLOOKUP(XLOOKUP(D1671,tblReleaseChanges[Change_ID],tblReleaseChanges[Oracle_Severity],""),tblSeverityMap[Severity_Text],tblSeverityMap[Score],0),0)</f>
        <v/>
      </c>
      <c r="T1671">
        <f>ROUND((M1671*0.25)+(N1671*0.20)+(O1671*0.15)+(P1671*0.15)+(Q1671*0.10)+(R1671*0.10)+(S1671*0.05),2)</f>
        <v/>
      </c>
      <c r="U1671">
        <f>IF(T1671&gt;=4.25,"Critical",IF(T1671&gt;=3.5,"High",IF(T1671&gt;=2,"Medium","Low")))</f>
        <v/>
      </c>
    </row>
    <row r="1672">
      <c r="R1672">
        <f>IFERROR(XLOOKUP(XLOOKUP(D1672,tblReleaseChanges[Change_ID],tblReleaseChanges[Oracle_Severity],""),tblSeverityMap[Severity_Text],tblSeverityMap[Score],0),0)</f>
        <v/>
      </c>
      <c r="T1672">
        <f>ROUND((M1672*0.25)+(N1672*0.20)+(O1672*0.15)+(P1672*0.15)+(Q1672*0.10)+(R1672*0.10)+(S1672*0.05),2)</f>
        <v/>
      </c>
      <c r="U1672">
        <f>IF(T1672&gt;=4.25,"Critical",IF(T1672&gt;=3.5,"High",IF(T1672&gt;=2,"Medium","Low")))</f>
        <v/>
      </c>
    </row>
    <row r="1673">
      <c r="R1673">
        <f>IFERROR(XLOOKUP(XLOOKUP(D1673,tblReleaseChanges[Change_ID],tblReleaseChanges[Oracle_Severity],""),tblSeverityMap[Severity_Text],tblSeverityMap[Score],0),0)</f>
        <v/>
      </c>
      <c r="T1673">
        <f>ROUND((M1673*0.25)+(N1673*0.20)+(O1673*0.15)+(P1673*0.15)+(Q1673*0.10)+(R1673*0.10)+(S1673*0.05),2)</f>
        <v/>
      </c>
      <c r="U1673">
        <f>IF(T1673&gt;=4.25,"Critical",IF(T1673&gt;=3.5,"High",IF(T1673&gt;=2,"Medium","Low")))</f>
        <v/>
      </c>
    </row>
    <row r="1674">
      <c r="R1674">
        <f>IFERROR(XLOOKUP(XLOOKUP(D1674,tblReleaseChanges[Change_ID],tblReleaseChanges[Oracle_Severity],""),tblSeverityMap[Severity_Text],tblSeverityMap[Score],0),0)</f>
        <v/>
      </c>
      <c r="T1674">
        <f>ROUND((M1674*0.25)+(N1674*0.20)+(O1674*0.15)+(P1674*0.15)+(Q1674*0.10)+(R1674*0.10)+(S1674*0.05),2)</f>
        <v/>
      </c>
      <c r="U1674">
        <f>IF(T1674&gt;=4.25,"Critical",IF(T1674&gt;=3.5,"High",IF(T1674&gt;=2,"Medium","Low")))</f>
        <v/>
      </c>
    </row>
    <row r="1675">
      <c r="R1675">
        <f>IFERROR(XLOOKUP(XLOOKUP(D1675,tblReleaseChanges[Change_ID],tblReleaseChanges[Oracle_Severity],""),tblSeverityMap[Severity_Text],tblSeverityMap[Score],0),0)</f>
        <v/>
      </c>
      <c r="T1675">
        <f>ROUND((M1675*0.25)+(N1675*0.20)+(O1675*0.15)+(P1675*0.15)+(Q1675*0.10)+(R1675*0.10)+(S1675*0.05),2)</f>
        <v/>
      </c>
      <c r="U1675">
        <f>IF(T1675&gt;=4.25,"Critical",IF(T1675&gt;=3.5,"High",IF(T1675&gt;=2,"Medium","Low")))</f>
        <v/>
      </c>
    </row>
    <row r="1676">
      <c r="R1676">
        <f>IFERROR(XLOOKUP(XLOOKUP(D1676,tblReleaseChanges[Change_ID],tblReleaseChanges[Oracle_Severity],""),tblSeverityMap[Severity_Text],tblSeverityMap[Score],0),0)</f>
        <v/>
      </c>
      <c r="T1676">
        <f>ROUND((M1676*0.25)+(N1676*0.20)+(O1676*0.15)+(P1676*0.15)+(Q1676*0.10)+(R1676*0.10)+(S1676*0.05),2)</f>
        <v/>
      </c>
      <c r="U1676">
        <f>IF(T1676&gt;=4.25,"Critical",IF(T1676&gt;=3.5,"High",IF(T1676&gt;=2,"Medium","Low")))</f>
        <v/>
      </c>
    </row>
    <row r="1677">
      <c r="R1677">
        <f>IFERROR(XLOOKUP(XLOOKUP(D1677,tblReleaseChanges[Change_ID],tblReleaseChanges[Oracle_Severity],""),tblSeverityMap[Severity_Text],tblSeverityMap[Score],0),0)</f>
        <v/>
      </c>
      <c r="T1677">
        <f>ROUND((M1677*0.25)+(N1677*0.20)+(O1677*0.15)+(P1677*0.15)+(Q1677*0.10)+(R1677*0.10)+(S1677*0.05),2)</f>
        <v/>
      </c>
      <c r="U1677">
        <f>IF(T1677&gt;=4.25,"Critical",IF(T1677&gt;=3.5,"High",IF(T1677&gt;=2,"Medium","Low")))</f>
        <v/>
      </c>
    </row>
    <row r="1678">
      <c r="R1678">
        <f>IFERROR(XLOOKUP(XLOOKUP(D1678,tblReleaseChanges[Change_ID],tblReleaseChanges[Oracle_Severity],""),tblSeverityMap[Severity_Text],tblSeverityMap[Score],0),0)</f>
        <v/>
      </c>
      <c r="T1678">
        <f>ROUND((M1678*0.25)+(N1678*0.20)+(O1678*0.15)+(P1678*0.15)+(Q1678*0.10)+(R1678*0.10)+(S1678*0.05),2)</f>
        <v/>
      </c>
      <c r="U1678">
        <f>IF(T1678&gt;=4.25,"Critical",IF(T1678&gt;=3.5,"High",IF(T1678&gt;=2,"Medium","Low")))</f>
        <v/>
      </c>
    </row>
    <row r="1679">
      <c r="R1679">
        <f>IFERROR(XLOOKUP(XLOOKUP(D1679,tblReleaseChanges[Change_ID],tblReleaseChanges[Oracle_Severity],""),tblSeverityMap[Severity_Text],tblSeverityMap[Score],0),0)</f>
        <v/>
      </c>
      <c r="T1679">
        <f>ROUND((M1679*0.25)+(N1679*0.20)+(O1679*0.15)+(P1679*0.15)+(Q1679*0.10)+(R1679*0.10)+(S1679*0.05),2)</f>
        <v/>
      </c>
      <c r="U1679">
        <f>IF(T1679&gt;=4.25,"Critical",IF(T1679&gt;=3.5,"High",IF(T1679&gt;=2,"Medium","Low")))</f>
        <v/>
      </c>
    </row>
    <row r="1680">
      <c r="R1680">
        <f>IFERROR(XLOOKUP(XLOOKUP(D1680,tblReleaseChanges[Change_ID],tblReleaseChanges[Oracle_Severity],""),tblSeverityMap[Severity_Text],tblSeverityMap[Score],0),0)</f>
        <v/>
      </c>
      <c r="T1680">
        <f>ROUND((M1680*0.25)+(N1680*0.20)+(O1680*0.15)+(P1680*0.15)+(Q1680*0.10)+(R1680*0.10)+(S1680*0.05),2)</f>
        <v/>
      </c>
      <c r="U1680">
        <f>IF(T1680&gt;=4.25,"Critical",IF(T1680&gt;=3.5,"High",IF(T1680&gt;=2,"Medium","Low")))</f>
        <v/>
      </c>
    </row>
    <row r="1681">
      <c r="R1681">
        <f>IFERROR(XLOOKUP(XLOOKUP(D1681,tblReleaseChanges[Change_ID],tblReleaseChanges[Oracle_Severity],""),tblSeverityMap[Severity_Text],tblSeverityMap[Score],0),0)</f>
        <v/>
      </c>
      <c r="T1681">
        <f>ROUND((M1681*0.25)+(N1681*0.20)+(O1681*0.15)+(P1681*0.15)+(Q1681*0.10)+(R1681*0.10)+(S1681*0.05),2)</f>
        <v/>
      </c>
      <c r="U1681">
        <f>IF(T1681&gt;=4.25,"Critical",IF(T1681&gt;=3.5,"High",IF(T1681&gt;=2,"Medium","Low")))</f>
        <v/>
      </c>
    </row>
    <row r="1682">
      <c r="R1682">
        <f>IFERROR(XLOOKUP(XLOOKUP(D1682,tblReleaseChanges[Change_ID],tblReleaseChanges[Oracle_Severity],""),tblSeverityMap[Severity_Text],tblSeverityMap[Score],0),0)</f>
        <v/>
      </c>
      <c r="T1682">
        <f>ROUND((M1682*0.25)+(N1682*0.20)+(O1682*0.15)+(P1682*0.15)+(Q1682*0.10)+(R1682*0.10)+(S1682*0.05),2)</f>
        <v/>
      </c>
      <c r="U1682">
        <f>IF(T1682&gt;=4.25,"Critical",IF(T1682&gt;=3.5,"High",IF(T1682&gt;=2,"Medium","Low")))</f>
        <v/>
      </c>
    </row>
    <row r="1683">
      <c r="R1683">
        <f>IFERROR(XLOOKUP(XLOOKUP(D1683,tblReleaseChanges[Change_ID],tblReleaseChanges[Oracle_Severity],""),tblSeverityMap[Severity_Text],tblSeverityMap[Score],0),0)</f>
        <v/>
      </c>
      <c r="T1683">
        <f>ROUND((M1683*0.25)+(N1683*0.20)+(O1683*0.15)+(P1683*0.15)+(Q1683*0.10)+(R1683*0.10)+(S1683*0.05),2)</f>
        <v/>
      </c>
      <c r="U1683">
        <f>IF(T1683&gt;=4.25,"Critical",IF(T1683&gt;=3.5,"High",IF(T1683&gt;=2,"Medium","Low")))</f>
        <v/>
      </c>
    </row>
    <row r="1684">
      <c r="R1684">
        <f>IFERROR(XLOOKUP(XLOOKUP(D1684,tblReleaseChanges[Change_ID],tblReleaseChanges[Oracle_Severity],""),tblSeverityMap[Severity_Text],tblSeverityMap[Score],0),0)</f>
        <v/>
      </c>
      <c r="T1684">
        <f>ROUND((M1684*0.25)+(N1684*0.20)+(O1684*0.15)+(P1684*0.15)+(Q1684*0.10)+(R1684*0.10)+(S1684*0.05),2)</f>
        <v/>
      </c>
      <c r="U1684">
        <f>IF(T1684&gt;=4.25,"Critical",IF(T1684&gt;=3.5,"High",IF(T1684&gt;=2,"Medium","Low")))</f>
        <v/>
      </c>
    </row>
    <row r="1685">
      <c r="R1685">
        <f>IFERROR(XLOOKUP(XLOOKUP(D1685,tblReleaseChanges[Change_ID],tblReleaseChanges[Oracle_Severity],""),tblSeverityMap[Severity_Text],tblSeverityMap[Score],0),0)</f>
        <v/>
      </c>
      <c r="T1685">
        <f>ROUND((M1685*0.25)+(N1685*0.20)+(O1685*0.15)+(P1685*0.15)+(Q1685*0.10)+(R1685*0.10)+(S1685*0.05),2)</f>
        <v/>
      </c>
      <c r="U1685">
        <f>IF(T1685&gt;=4.25,"Critical",IF(T1685&gt;=3.5,"High",IF(T1685&gt;=2,"Medium","Low")))</f>
        <v/>
      </c>
    </row>
    <row r="1686">
      <c r="R1686">
        <f>IFERROR(XLOOKUP(XLOOKUP(D1686,tblReleaseChanges[Change_ID],tblReleaseChanges[Oracle_Severity],""),tblSeverityMap[Severity_Text],tblSeverityMap[Score],0),0)</f>
        <v/>
      </c>
      <c r="T1686">
        <f>ROUND((M1686*0.25)+(N1686*0.20)+(O1686*0.15)+(P1686*0.15)+(Q1686*0.10)+(R1686*0.10)+(S1686*0.05),2)</f>
        <v/>
      </c>
      <c r="U1686">
        <f>IF(T1686&gt;=4.25,"Critical",IF(T1686&gt;=3.5,"High",IF(T1686&gt;=2,"Medium","Low")))</f>
        <v/>
      </c>
    </row>
    <row r="1687">
      <c r="R1687">
        <f>IFERROR(XLOOKUP(XLOOKUP(D1687,tblReleaseChanges[Change_ID],tblReleaseChanges[Oracle_Severity],""),tblSeverityMap[Severity_Text],tblSeverityMap[Score],0),0)</f>
        <v/>
      </c>
      <c r="T1687">
        <f>ROUND((M1687*0.25)+(N1687*0.20)+(O1687*0.15)+(P1687*0.15)+(Q1687*0.10)+(R1687*0.10)+(S1687*0.05),2)</f>
        <v/>
      </c>
      <c r="U1687">
        <f>IF(T1687&gt;=4.25,"Critical",IF(T1687&gt;=3.5,"High",IF(T1687&gt;=2,"Medium","Low")))</f>
        <v/>
      </c>
    </row>
    <row r="1688">
      <c r="R1688">
        <f>IFERROR(XLOOKUP(XLOOKUP(D1688,tblReleaseChanges[Change_ID],tblReleaseChanges[Oracle_Severity],""),tblSeverityMap[Severity_Text],tblSeverityMap[Score],0),0)</f>
        <v/>
      </c>
      <c r="T1688">
        <f>ROUND((M1688*0.25)+(N1688*0.20)+(O1688*0.15)+(P1688*0.15)+(Q1688*0.10)+(R1688*0.10)+(S1688*0.05),2)</f>
        <v/>
      </c>
      <c r="U1688">
        <f>IF(T1688&gt;=4.25,"Critical",IF(T1688&gt;=3.5,"High",IF(T1688&gt;=2,"Medium","Low")))</f>
        <v/>
      </c>
    </row>
    <row r="1689">
      <c r="R1689">
        <f>IFERROR(XLOOKUP(XLOOKUP(D1689,tblReleaseChanges[Change_ID],tblReleaseChanges[Oracle_Severity],""),tblSeverityMap[Severity_Text],tblSeverityMap[Score],0),0)</f>
        <v/>
      </c>
      <c r="T1689">
        <f>ROUND((M1689*0.25)+(N1689*0.20)+(O1689*0.15)+(P1689*0.15)+(Q1689*0.10)+(R1689*0.10)+(S1689*0.05),2)</f>
        <v/>
      </c>
      <c r="U1689">
        <f>IF(T1689&gt;=4.25,"Critical",IF(T1689&gt;=3.5,"High",IF(T1689&gt;=2,"Medium","Low")))</f>
        <v/>
      </c>
    </row>
    <row r="1690">
      <c r="R1690">
        <f>IFERROR(XLOOKUP(XLOOKUP(D1690,tblReleaseChanges[Change_ID],tblReleaseChanges[Oracle_Severity],""),tblSeverityMap[Severity_Text],tblSeverityMap[Score],0),0)</f>
        <v/>
      </c>
      <c r="T1690">
        <f>ROUND((M1690*0.25)+(N1690*0.20)+(O1690*0.15)+(P1690*0.15)+(Q1690*0.10)+(R1690*0.10)+(S1690*0.05),2)</f>
        <v/>
      </c>
      <c r="U1690">
        <f>IF(T1690&gt;=4.25,"Critical",IF(T1690&gt;=3.5,"High",IF(T1690&gt;=2,"Medium","Low")))</f>
        <v/>
      </c>
    </row>
    <row r="1691">
      <c r="R1691">
        <f>IFERROR(XLOOKUP(XLOOKUP(D1691,tblReleaseChanges[Change_ID],tblReleaseChanges[Oracle_Severity],""),tblSeverityMap[Severity_Text],tblSeverityMap[Score],0),0)</f>
        <v/>
      </c>
      <c r="T1691">
        <f>ROUND((M1691*0.25)+(N1691*0.20)+(O1691*0.15)+(P1691*0.15)+(Q1691*0.10)+(R1691*0.10)+(S1691*0.05),2)</f>
        <v/>
      </c>
      <c r="U1691">
        <f>IF(T1691&gt;=4.25,"Critical",IF(T1691&gt;=3.5,"High",IF(T1691&gt;=2,"Medium","Low")))</f>
        <v/>
      </c>
    </row>
    <row r="1692">
      <c r="R1692">
        <f>IFERROR(XLOOKUP(XLOOKUP(D1692,tblReleaseChanges[Change_ID],tblReleaseChanges[Oracle_Severity],""),tblSeverityMap[Severity_Text],tblSeverityMap[Score],0),0)</f>
        <v/>
      </c>
      <c r="T1692">
        <f>ROUND((M1692*0.25)+(N1692*0.20)+(O1692*0.15)+(P1692*0.15)+(Q1692*0.10)+(R1692*0.10)+(S1692*0.05),2)</f>
        <v/>
      </c>
      <c r="U1692">
        <f>IF(T1692&gt;=4.25,"Critical",IF(T1692&gt;=3.5,"High",IF(T1692&gt;=2,"Medium","Low")))</f>
        <v/>
      </c>
    </row>
    <row r="1693">
      <c r="R1693">
        <f>IFERROR(XLOOKUP(XLOOKUP(D1693,tblReleaseChanges[Change_ID],tblReleaseChanges[Oracle_Severity],""),tblSeverityMap[Severity_Text],tblSeverityMap[Score],0),0)</f>
        <v/>
      </c>
      <c r="T1693">
        <f>ROUND((M1693*0.25)+(N1693*0.20)+(O1693*0.15)+(P1693*0.15)+(Q1693*0.10)+(R1693*0.10)+(S1693*0.05),2)</f>
        <v/>
      </c>
      <c r="U1693">
        <f>IF(T1693&gt;=4.25,"Critical",IF(T1693&gt;=3.5,"High",IF(T1693&gt;=2,"Medium","Low")))</f>
        <v/>
      </c>
    </row>
    <row r="1694">
      <c r="R1694">
        <f>IFERROR(XLOOKUP(XLOOKUP(D1694,tblReleaseChanges[Change_ID],tblReleaseChanges[Oracle_Severity],""),tblSeverityMap[Severity_Text],tblSeverityMap[Score],0),0)</f>
        <v/>
      </c>
      <c r="T1694">
        <f>ROUND((M1694*0.25)+(N1694*0.20)+(O1694*0.15)+(P1694*0.15)+(Q1694*0.10)+(R1694*0.10)+(S1694*0.05),2)</f>
        <v/>
      </c>
      <c r="U1694">
        <f>IF(T1694&gt;=4.25,"Critical",IF(T1694&gt;=3.5,"High",IF(T1694&gt;=2,"Medium","Low")))</f>
        <v/>
      </c>
    </row>
    <row r="1695">
      <c r="R1695">
        <f>IFERROR(XLOOKUP(XLOOKUP(D1695,tblReleaseChanges[Change_ID],tblReleaseChanges[Oracle_Severity],""),tblSeverityMap[Severity_Text],tblSeverityMap[Score],0),0)</f>
        <v/>
      </c>
      <c r="T1695">
        <f>ROUND((M1695*0.25)+(N1695*0.20)+(O1695*0.15)+(P1695*0.15)+(Q1695*0.10)+(R1695*0.10)+(S1695*0.05),2)</f>
        <v/>
      </c>
      <c r="U1695">
        <f>IF(T1695&gt;=4.25,"Critical",IF(T1695&gt;=3.5,"High",IF(T1695&gt;=2,"Medium","Low")))</f>
        <v/>
      </c>
    </row>
    <row r="1696">
      <c r="R1696">
        <f>IFERROR(XLOOKUP(XLOOKUP(D1696,tblReleaseChanges[Change_ID],tblReleaseChanges[Oracle_Severity],""),tblSeverityMap[Severity_Text],tblSeverityMap[Score],0),0)</f>
        <v/>
      </c>
      <c r="T1696">
        <f>ROUND((M1696*0.25)+(N1696*0.20)+(O1696*0.15)+(P1696*0.15)+(Q1696*0.10)+(R1696*0.10)+(S1696*0.05),2)</f>
        <v/>
      </c>
      <c r="U1696">
        <f>IF(T1696&gt;=4.25,"Critical",IF(T1696&gt;=3.5,"High",IF(T1696&gt;=2,"Medium","Low")))</f>
        <v/>
      </c>
    </row>
    <row r="1697">
      <c r="R1697">
        <f>IFERROR(XLOOKUP(XLOOKUP(D1697,tblReleaseChanges[Change_ID],tblReleaseChanges[Oracle_Severity],""),tblSeverityMap[Severity_Text],tblSeverityMap[Score],0),0)</f>
        <v/>
      </c>
      <c r="T1697">
        <f>ROUND((M1697*0.25)+(N1697*0.20)+(O1697*0.15)+(P1697*0.15)+(Q1697*0.10)+(R1697*0.10)+(S1697*0.05),2)</f>
        <v/>
      </c>
      <c r="U1697">
        <f>IF(T1697&gt;=4.25,"Critical",IF(T1697&gt;=3.5,"High",IF(T1697&gt;=2,"Medium","Low")))</f>
        <v/>
      </c>
    </row>
    <row r="1698">
      <c r="R1698">
        <f>IFERROR(XLOOKUP(XLOOKUP(D1698,tblReleaseChanges[Change_ID],tblReleaseChanges[Oracle_Severity],""),tblSeverityMap[Severity_Text],tblSeverityMap[Score],0),0)</f>
        <v/>
      </c>
      <c r="T1698">
        <f>ROUND((M1698*0.25)+(N1698*0.20)+(O1698*0.15)+(P1698*0.15)+(Q1698*0.10)+(R1698*0.10)+(S1698*0.05),2)</f>
        <v/>
      </c>
      <c r="U1698">
        <f>IF(T1698&gt;=4.25,"Critical",IF(T1698&gt;=3.5,"High",IF(T1698&gt;=2,"Medium","Low")))</f>
        <v/>
      </c>
    </row>
    <row r="1699">
      <c r="R1699">
        <f>IFERROR(XLOOKUP(XLOOKUP(D1699,tblReleaseChanges[Change_ID],tblReleaseChanges[Oracle_Severity],""),tblSeverityMap[Severity_Text],tblSeverityMap[Score],0),0)</f>
        <v/>
      </c>
      <c r="T1699">
        <f>ROUND((M1699*0.25)+(N1699*0.20)+(O1699*0.15)+(P1699*0.15)+(Q1699*0.10)+(R1699*0.10)+(S1699*0.05),2)</f>
        <v/>
      </c>
      <c r="U1699">
        <f>IF(T1699&gt;=4.25,"Critical",IF(T1699&gt;=3.5,"High",IF(T1699&gt;=2,"Medium","Low")))</f>
        <v/>
      </c>
    </row>
    <row r="1700">
      <c r="R1700">
        <f>IFERROR(XLOOKUP(XLOOKUP(D1700,tblReleaseChanges[Change_ID],tblReleaseChanges[Oracle_Severity],""),tblSeverityMap[Severity_Text],tblSeverityMap[Score],0),0)</f>
        <v/>
      </c>
      <c r="T1700">
        <f>ROUND((M1700*0.25)+(N1700*0.20)+(O1700*0.15)+(P1700*0.15)+(Q1700*0.10)+(R1700*0.10)+(S1700*0.05),2)</f>
        <v/>
      </c>
      <c r="U1700">
        <f>IF(T1700&gt;=4.25,"Critical",IF(T1700&gt;=3.5,"High",IF(T1700&gt;=2,"Medium","Low")))</f>
        <v/>
      </c>
    </row>
    <row r="1701">
      <c r="R1701">
        <f>IFERROR(XLOOKUP(XLOOKUP(D1701,tblReleaseChanges[Change_ID],tblReleaseChanges[Oracle_Severity],""),tblSeverityMap[Severity_Text],tblSeverityMap[Score],0),0)</f>
        <v/>
      </c>
      <c r="T1701">
        <f>ROUND((M1701*0.25)+(N1701*0.20)+(O1701*0.15)+(P1701*0.15)+(Q1701*0.10)+(R1701*0.10)+(S1701*0.05),2)</f>
        <v/>
      </c>
      <c r="U1701">
        <f>IF(T1701&gt;=4.25,"Critical",IF(T1701&gt;=3.5,"High",IF(T1701&gt;=2,"Medium","Low")))</f>
        <v/>
      </c>
    </row>
    <row r="1702">
      <c r="R1702">
        <f>IFERROR(XLOOKUP(XLOOKUP(D1702,tblReleaseChanges[Change_ID],tblReleaseChanges[Oracle_Severity],""),tblSeverityMap[Severity_Text],tblSeverityMap[Score],0),0)</f>
        <v/>
      </c>
      <c r="T1702">
        <f>ROUND((M1702*0.25)+(N1702*0.20)+(O1702*0.15)+(P1702*0.15)+(Q1702*0.10)+(R1702*0.10)+(S1702*0.05),2)</f>
        <v/>
      </c>
      <c r="U1702">
        <f>IF(T1702&gt;=4.25,"Critical",IF(T1702&gt;=3.5,"High",IF(T1702&gt;=2,"Medium","Low")))</f>
        <v/>
      </c>
    </row>
    <row r="1703">
      <c r="R1703">
        <f>IFERROR(XLOOKUP(XLOOKUP(D1703,tblReleaseChanges[Change_ID],tblReleaseChanges[Oracle_Severity],""),tblSeverityMap[Severity_Text],tblSeverityMap[Score],0),0)</f>
        <v/>
      </c>
      <c r="T1703">
        <f>ROUND((M1703*0.25)+(N1703*0.20)+(O1703*0.15)+(P1703*0.15)+(Q1703*0.10)+(R1703*0.10)+(S1703*0.05),2)</f>
        <v/>
      </c>
      <c r="U1703">
        <f>IF(T1703&gt;=4.25,"Critical",IF(T1703&gt;=3.5,"High",IF(T1703&gt;=2,"Medium","Low")))</f>
        <v/>
      </c>
    </row>
    <row r="1704">
      <c r="R1704">
        <f>IFERROR(XLOOKUP(XLOOKUP(D1704,tblReleaseChanges[Change_ID],tblReleaseChanges[Oracle_Severity],""),tblSeverityMap[Severity_Text],tblSeverityMap[Score],0),0)</f>
        <v/>
      </c>
      <c r="T1704">
        <f>ROUND((M1704*0.25)+(N1704*0.20)+(O1704*0.15)+(P1704*0.15)+(Q1704*0.10)+(R1704*0.10)+(S1704*0.05),2)</f>
        <v/>
      </c>
      <c r="U1704">
        <f>IF(T1704&gt;=4.25,"Critical",IF(T1704&gt;=3.5,"High",IF(T1704&gt;=2,"Medium","Low")))</f>
        <v/>
      </c>
    </row>
    <row r="1705">
      <c r="R1705">
        <f>IFERROR(XLOOKUP(XLOOKUP(D1705,tblReleaseChanges[Change_ID],tblReleaseChanges[Oracle_Severity],""),tblSeverityMap[Severity_Text],tblSeverityMap[Score],0),0)</f>
        <v/>
      </c>
      <c r="T1705">
        <f>ROUND((M1705*0.25)+(N1705*0.20)+(O1705*0.15)+(P1705*0.15)+(Q1705*0.10)+(R1705*0.10)+(S1705*0.05),2)</f>
        <v/>
      </c>
      <c r="U1705">
        <f>IF(T1705&gt;=4.25,"Critical",IF(T1705&gt;=3.5,"High",IF(T1705&gt;=2,"Medium","Low")))</f>
        <v/>
      </c>
    </row>
    <row r="1706">
      <c r="R1706">
        <f>IFERROR(XLOOKUP(XLOOKUP(D1706,tblReleaseChanges[Change_ID],tblReleaseChanges[Oracle_Severity],""),tblSeverityMap[Severity_Text],tblSeverityMap[Score],0),0)</f>
        <v/>
      </c>
      <c r="T1706">
        <f>ROUND((M1706*0.25)+(N1706*0.20)+(O1706*0.15)+(P1706*0.15)+(Q1706*0.10)+(R1706*0.10)+(S1706*0.05),2)</f>
        <v/>
      </c>
      <c r="U1706">
        <f>IF(T1706&gt;=4.25,"Critical",IF(T1706&gt;=3.5,"High",IF(T1706&gt;=2,"Medium","Low")))</f>
        <v/>
      </c>
    </row>
    <row r="1707">
      <c r="R1707">
        <f>IFERROR(XLOOKUP(XLOOKUP(D1707,tblReleaseChanges[Change_ID],tblReleaseChanges[Oracle_Severity],""),tblSeverityMap[Severity_Text],tblSeverityMap[Score],0),0)</f>
        <v/>
      </c>
      <c r="T1707">
        <f>ROUND((M1707*0.25)+(N1707*0.20)+(O1707*0.15)+(P1707*0.15)+(Q1707*0.10)+(R1707*0.10)+(S1707*0.05),2)</f>
        <v/>
      </c>
      <c r="U1707">
        <f>IF(T1707&gt;=4.25,"Critical",IF(T1707&gt;=3.5,"High",IF(T1707&gt;=2,"Medium","Low")))</f>
        <v/>
      </c>
    </row>
    <row r="1708">
      <c r="R1708">
        <f>IFERROR(XLOOKUP(XLOOKUP(D1708,tblReleaseChanges[Change_ID],tblReleaseChanges[Oracle_Severity],""),tblSeverityMap[Severity_Text],tblSeverityMap[Score],0),0)</f>
        <v/>
      </c>
      <c r="T1708">
        <f>ROUND((M1708*0.25)+(N1708*0.20)+(O1708*0.15)+(P1708*0.15)+(Q1708*0.10)+(R1708*0.10)+(S1708*0.05),2)</f>
        <v/>
      </c>
      <c r="U1708">
        <f>IF(T1708&gt;=4.25,"Critical",IF(T1708&gt;=3.5,"High",IF(T1708&gt;=2,"Medium","Low")))</f>
        <v/>
      </c>
    </row>
    <row r="1709">
      <c r="R1709">
        <f>IFERROR(XLOOKUP(XLOOKUP(D1709,tblReleaseChanges[Change_ID],tblReleaseChanges[Oracle_Severity],""),tblSeverityMap[Severity_Text],tblSeverityMap[Score],0),0)</f>
        <v/>
      </c>
      <c r="T1709">
        <f>ROUND((M1709*0.25)+(N1709*0.20)+(O1709*0.15)+(P1709*0.15)+(Q1709*0.10)+(R1709*0.10)+(S1709*0.05),2)</f>
        <v/>
      </c>
      <c r="U1709">
        <f>IF(T1709&gt;=4.25,"Critical",IF(T1709&gt;=3.5,"High",IF(T1709&gt;=2,"Medium","Low")))</f>
        <v/>
      </c>
    </row>
    <row r="1710">
      <c r="R1710">
        <f>IFERROR(XLOOKUP(XLOOKUP(D1710,tblReleaseChanges[Change_ID],tblReleaseChanges[Oracle_Severity],""),tblSeverityMap[Severity_Text],tblSeverityMap[Score],0),0)</f>
        <v/>
      </c>
      <c r="T1710">
        <f>ROUND((M1710*0.25)+(N1710*0.20)+(O1710*0.15)+(P1710*0.15)+(Q1710*0.10)+(R1710*0.10)+(S1710*0.05),2)</f>
        <v/>
      </c>
      <c r="U1710">
        <f>IF(T1710&gt;=4.25,"Critical",IF(T1710&gt;=3.5,"High",IF(T1710&gt;=2,"Medium","Low")))</f>
        <v/>
      </c>
    </row>
    <row r="1711">
      <c r="R1711">
        <f>IFERROR(XLOOKUP(XLOOKUP(D1711,tblReleaseChanges[Change_ID],tblReleaseChanges[Oracle_Severity],""),tblSeverityMap[Severity_Text],tblSeverityMap[Score],0),0)</f>
        <v/>
      </c>
      <c r="T1711">
        <f>ROUND((M1711*0.25)+(N1711*0.20)+(O1711*0.15)+(P1711*0.15)+(Q1711*0.10)+(R1711*0.10)+(S1711*0.05),2)</f>
        <v/>
      </c>
      <c r="U1711">
        <f>IF(T1711&gt;=4.25,"Critical",IF(T1711&gt;=3.5,"High",IF(T1711&gt;=2,"Medium","Low")))</f>
        <v/>
      </c>
    </row>
    <row r="1712">
      <c r="R1712">
        <f>IFERROR(XLOOKUP(XLOOKUP(D1712,tblReleaseChanges[Change_ID],tblReleaseChanges[Oracle_Severity],""),tblSeverityMap[Severity_Text],tblSeverityMap[Score],0),0)</f>
        <v/>
      </c>
      <c r="T1712">
        <f>ROUND((M1712*0.25)+(N1712*0.20)+(O1712*0.15)+(P1712*0.15)+(Q1712*0.10)+(R1712*0.10)+(S1712*0.05),2)</f>
        <v/>
      </c>
      <c r="U1712">
        <f>IF(T1712&gt;=4.25,"Critical",IF(T1712&gt;=3.5,"High",IF(T1712&gt;=2,"Medium","Low")))</f>
        <v/>
      </c>
    </row>
    <row r="1713">
      <c r="R1713">
        <f>IFERROR(XLOOKUP(XLOOKUP(D1713,tblReleaseChanges[Change_ID],tblReleaseChanges[Oracle_Severity],""),tblSeverityMap[Severity_Text],tblSeverityMap[Score],0),0)</f>
        <v/>
      </c>
      <c r="T1713">
        <f>ROUND((M1713*0.25)+(N1713*0.20)+(O1713*0.15)+(P1713*0.15)+(Q1713*0.10)+(R1713*0.10)+(S1713*0.05),2)</f>
        <v/>
      </c>
      <c r="U1713">
        <f>IF(T1713&gt;=4.25,"Critical",IF(T1713&gt;=3.5,"High",IF(T1713&gt;=2,"Medium","Low")))</f>
        <v/>
      </c>
    </row>
    <row r="1714">
      <c r="R1714">
        <f>IFERROR(XLOOKUP(XLOOKUP(D1714,tblReleaseChanges[Change_ID],tblReleaseChanges[Oracle_Severity],""),tblSeverityMap[Severity_Text],tblSeverityMap[Score],0),0)</f>
        <v/>
      </c>
      <c r="T1714">
        <f>ROUND((M1714*0.25)+(N1714*0.20)+(O1714*0.15)+(P1714*0.15)+(Q1714*0.10)+(R1714*0.10)+(S1714*0.05),2)</f>
        <v/>
      </c>
      <c r="U1714">
        <f>IF(T1714&gt;=4.25,"Critical",IF(T1714&gt;=3.5,"High",IF(T1714&gt;=2,"Medium","Low")))</f>
        <v/>
      </c>
    </row>
    <row r="1715">
      <c r="R1715">
        <f>IFERROR(XLOOKUP(XLOOKUP(D1715,tblReleaseChanges[Change_ID],tblReleaseChanges[Oracle_Severity],""),tblSeverityMap[Severity_Text],tblSeverityMap[Score],0),0)</f>
        <v/>
      </c>
      <c r="T1715">
        <f>ROUND((M1715*0.25)+(N1715*0.20)+(O1715*0.15)+(P1715*0.15)+(Q1715*0.10)+(R1715*0.10)+(S1715*0.05),2)</f>
        <v/>
      </c>
      <c r="U1715">
        <f>IF(T1715&gt;=4.25,"Critical",IF(T1715&gt;=3.5,"High",IF(T1715&gt;=2,"Medium","Low")))</f>
        <v/>
      </c>
    </row>
    <row r="1716">
      <c r="R1716">
        <f>IFERROR(XLOOKUP(XLOOKUP(D1716,tblReleaseChanges[Change_ID],tblReleaseChanges[Oracle_Severity],""),tblSeverityMap[Severity_Text],tblSeverityMap[Score],0),0)</f>
        <v/>
      </c>
      <c r="T1716">
        <f>ROUND((M1716*0.25)+(N1716*0.20)+(O1716*0.15)+(P1716*0.15)+(Q1716*0.10)+(R1716*0.10)+(S1716*0.05),2)</f>
        <v/>
      </c>
      <c r="U1716">
        <f>IF(T1716&gt;=4.25,"Critical",IF(T1716&gt;=3.5,"High",IF(T1716&gt;=2,"Medium","Low")))</f>
        <v/>
      </c>
    </row>
    <row r="1717">
      <c r="R1717">
        <f>IFERROR(XLOOKUP(XLOOKUP(D1717,tblReleaseChanges[Change_ID],tblReleaseChanges[Oracle_Severity],""),tblSeverityMap[Severity_Text],tblSeverityMap[Score],0),0)</f>
        <v/>
      </c>
      <c r="T1717">
        <f>ROUND((M1717*0.25)+(N1717*0.20)+(O1717*0.15)+(P1717*0.15)+(Q1717*0.10)+(R1717*0.10)+(S1717*0.05),2)</f>
        <v/>
      </c>
      <c r="U1717">
        <f>IF(T1717&gt;=4.25,"Critical",IF(T1717&gt;=3.5,"High",IF(T1717&gt;=2,"Medium","Low")))</f>
        <v/>
      </c>
    </row>
    <row r="1718">
      <c r="R1718">
        <f>IFERROR(XLOOKUP(XLOOKUP(D1718,tblReleaseChanges[Change_ID],tblReleaseChanges[Oracle_Severity],""),tblSeverityMap[Severity_Text],tblSeverityMap[Score],0),0)</f>
        <v/>
      </c>
      <c r="T1718">
        <f>ROUND((M1718*0.25)+(N1718*0.20)+(O1718*0.15)+(P1718*0.15)+(Q1718*0.10)+(R1718*0.10)+(S1718*0.05),2)</f>
        <v/>
      </c>
      <c r="U1718">
        <f>IF(T1718&gt;=4.25,"Critical",IF(T1718&gt;=3.5,"High",IF(T1718&gt;=2,"Medium","Low")))</f>
        <v/>
      </c>
    </row>
    <row r="1719">
      <c r="R1719">
        <f>IFERROR(XLOOKUP(XLOOKUP(D1719,tblReleaseChanges[Change_ID],tblReleaseChanges[Oracle_Severity],""),tblSeverityMap[Severity_Text],tblSeverityMap[Score],0),0)</f>
        <v/>
      </c>
      <c r="T1719">
        <f>ROUND((M1719*0.25)+(N1719*0.20)+(O1719*0.15)+(P1719*0.15)+(Q1719*0.10)+(R1719*0.10)+(S1719*0.05),2)</f>
        <v/>
      </c>
      <c r="U1719">
        <f>IF(T1719&gt;=4.25,"Critical",IF(T1719&gt;=3.5,"High",IF(T1719&gt;=2,"Medium","Low")))</f>
        <v/>
      </c>
    </row>
    <row r="1720">
      <c r="R1720">
        <f>IFERROR(XLOOKUP(XLOOKUP(D1720,tblReleaseChanges[Change_ID],tblReleaseChanges[Oracle_Severity],""),tblSeverityMap[Severity_Text],tblSeverityMap[Score],0),0)</f>
        <v/>
      </c>
      <c r="T1720">
        <f>ROUND((M1720*0.25)+(N1720*0.20)+(O1720*0.15)+(P1720*0.15)+(Q1720*0.10)+(R1720*0.10)+(S1720*0.05),2)</f>
        <v/>
      </c>
      <c r="U1720">
        <f>IF(T1720&gt;=4.25,"Critical",IF(T1720&gt;=3.5,"High",IF(T1720&gt;=2,"Medium","Low")))</f>
        <v/>
      </c>
    </row>
    <row r="1721">
      <c r="R1721">
        <f>IFERROR(XLOOKUP(XLOOKUP(D1721,tblReleaseChanges[Change_ID],tblReleaseChanges[Oracle_Severity],""),tblSeverityMap[Severity_Text],tblSeverityMap[Score],0),0)</f>
        <v/>
      </c>
      <c r="T1721">
        <f>ROUND((M1721*0.25)+(N1721*0.20)+(O1721*0.15)+(P1721*0.15)+(Q1721*0.10)+(R1721*0.10)+(S1721*0.05),2)</f>
        <v/>
      </c>
      <c r="U1721">
        <f>IF(T1721&gt;=4.25,"Critical",IF(T1721&gt;=3.5,"High",IF(T1721&gt;=2,"Medium","Low")))</f>
        <v/>
      </c>
    </row>
    <row r="1722">
      <c r="R1722">
        <f>IFERROR(XLOOKUP(XLOOKUP(D1722,tblReleaseChanges[Change_ID],tblReleaseChanges[Oracle_Severity],""),tblSeverityMap[Severity_Text],tblSeverityMap[Score],0),0)</f>
        <v/>
      </c>
      <c r="T1722">
        <f>ROUND((M1722*0.25)+(N1722*0.20)+(O1722*0.15)+(P1722*0.15)+(Q1722*0.10)+(R1722*0.10)+(S1722*0.05),2)</f>
        <v/>
      </c>
      <c r="U1722">
        <f>IF(T1722&gt;=4.25,"Critical",IF(T1722&gt;=3.5,"High",IF(T1722&gt;=2,"Medium","Low")))</f>
        <v/>
      </c>
    </row>
    <row r="1723">
      <c r="R1723">
        <f>IFERROR(XLOOKUP(XLOOKUP(D1723,tblReleaseChanges[Change_ID],tblReleaseChanges[Oracle_Severity],""),tblSeverityMap[Severity_Text],tblSeverityMap[Score],0),0)</f>
        <v/>
      </c>
      <c r="T1723">
        <f>ROUND((M1723*0.25)+(N1723*0.20)+(O1723*0.15)+(P1723*0.15)+(Q1723*0.10)+(R1723*0.10)+(S1723*0.05),2)</f>
        <v/>
      </c>
      <c r="U1723">
        <f>IF(T1723&gt;=4.25,"Critical",IF(T1723&gt;=3.5,"High",IF(T1723&gt;=2,"Medium","Low")))</f>
        <v/>
      </c>
    </row>
    <row r="1724">
      <c r="R1724">
        <f>IFERROR(XLOOKUP(XLOOKUP(D1724,tblReleaseChanges[Change_ID],tblReleaseChanges[Oracle_Severity],""),tblSeverityMap[Severity_Text],tblSeverityMap[Score],0),0)</f>
        <v/>
      </c>
      <c r="T1724">
        <f>ROUND((M1724*0.25)+(N1724*0.20)+(O1724*0.15)+(P1724*0.15)+(Q1724*0.10)+(R1724*0.10)+(S1724*0.05),2)</f>
        <v/>
      </c>
      <c r="U1724">
        <f>IF(T1724&gt;=4.25,"Critical",IF(T1724&gt;=3.5,"High",IF(T1724&gt;=2,"Medium","Low")))</f>
        <v/>
      </c>
    </row>
    <row r="1725">
      <c r="R1725">
        <f>IFERROR(XLOOKUP(XLOOKUP(D1725,tblReleaseChanges[Change_ID],tblReleaseChanges[Oracle_Severity],""),tblSeverityMap[Severity_Text],tblSeverityMap[Score],0),0)</f>
        <v/>
      </c>
      <c r="T1725">
        <f>ROUND((M1725*0.25)+(N1725*0.20)+(O1725*0.15)+(P1725*0.15)+(Q1725*0.10)+(R1725*0.10)+(S1725*0.05),2)</f>
        <v/>
      </c>
      <c r="U1725">
        <f>IF(T1725&gt;=4.25,"Critical",IF(T1725&gt;=3.5,"High",IF(T1725&gt;=2,"Medium","Low")))</f>
        <v/>
      </c>
    </row>
    <row r="1726">
      <c r="R1726">
        <f>IFERROR(XLOOKUP(XLOOKUP(D1726,tblReleaseChanges[Change_ID],tblReleaseChanges[Oracle_Severity],""),tblSeverityMap[Severity_Text],tblSeverityMap[Score],0),0)</f>
        <v/>
      </c>
      <c r="T1726">
        <f>ROUND((M1726*0.25)+(N1726*0.20)+(O1726*0.15)+(P1726*0.15)+(Q1726*0.10)+(R1726*0.10)+(S1726*0.05),2)</f>
        <v/>
      </c>
      <c r="U1726">
        <f>IF(T1726&gt;=4.25,"Critical",IF(T1726&gt;=3.5,"High",IF(T1726&gt;=2,"Medium","Low")))</f>
        <v/>
      </c>
    </row>
    <row r="1727">
      <c r="R1727">
        <f>IFERROR(XLOOKUP(XLOOKUP(D1727,tblReleaseChanges[Change_ID],tblReleaseChanges[Oracle_Severity],""),tblSeverityMap[Severity_Text],tblSeverityMap[Score],0),0)</f>
        <v/>
      </c>
      <c r="T1727">
        <f>ROUND((M1727*0.25)+(N1727*0.20)+(O1727*0.15)+(P1727*0.15)+(Q1727*0.10)+(R1727*0.10)+(S1727*0.05),2)</f>
        <v/>
      </c>
      <c r="U1727">
        <f>IF(T1727&gt;=4.25,"Critical",IF(T1727&gt;=3.5,"High",IF(T1727&gt;=2,"Medium","Low")))</f>
        <v/>
      </c>
    </row>
    <row r="1728">
      <c r="R1728">
        <f>IFERROR(XLOOKUP(XLOOKUP(D1728,tblReleaseChanges[Change_ID],tblReleaseChanges[Oracle_Severity],""),tblSeverityMap[Severity_Text],tblSeverityMap[Score],0),0)</f>
        <v/>
      </c>
      <c r="T1728">
        <f>ROUND((M1728*0.25)+(N1728*0.20)+(O1728*0.15)+(P1728*0.15)+(Q1728*0.10)+(R1728*0.10)+(S1728*0.05),2)</f>
        <v/>
      </c>
      <c r="U1728">
        <f>IF(T1728&gt;=4.25,"Critical",IF(T1728&gt;=3.5,"High",IF(T1728&gt;=2,"Medium","Low")))</f>
        <v/>
      </c>
    </row>
    <row r="1729">
      <c r="R1729">
        <f>IFERROR(XLOOKUP(XLOOKUP(D1729,tblReleaseChanges[Change_ID],tblReleaseChanges[Oracle_Severity],""),tblSeverityMap[Severity_Text],tblSeverityMap[Score],0),0)</f>
        <v/>
      </c>
      <c r="T1729">
        <f>ROUND((M1729*0.25)+(N1729*0.20)+(O1729*0.15)+(P1729*0.15)+(Q1729*0.10)+(R1729*0.10)+(S1729*0.05),2)</f>
        <v/>
      </c>
      <c r="U1729">
        <f>IF(T1729&gt;=4.25,"Critical",IF(T1729&gt;=3.5,"High",IF(T1729&gt;=2,"Medium","Low")))</f>
        <v/>
      </c>
    </row>
    <row r="1730">
      <c r="R1730">
        <f>IFERROR(XLOOKUP(XLOOKUP(D1730,tblReleaseChanges[Change_ID],tblReleaseChanges[Oracle_Severity],""),tblSeverityMap[Severity_Text],tblSeverityMap[Score],0),0)</f>
        <v/>
      </c>
      <c r="T1730">
        <f>ROUND((M1730*0.25)+(N1730*0.20)+(O1730*0.15)+(P1730*0.15)+(Q1730*0.10)+(R1730*0.10)+(S1730*0.05),2)</f>
        <v/>
      </c>
      <c r="U1730">
        <f>IF(T1730&gt;=4.25,"Critical",IF(T1730&gt;=3.5,"High",IF(T1730&gt;=2,"Medium","Low")))</f>
        <v/>
      </c>
    </row>
    <row r="1731">
      <c r="R1731">
        <f>IFERROR(XLOOKUP(XLOOKUP(D1731,tblReleaseChanges[Change_ID],tblReleaseChanges[Oracle_Severity],""),tblSeverityMap[Severity_Text],tblSeverityMap[Score],0),0)</f>
        <v/>
      </c>
      <c r="T1731">
        <f>ROUND((M1731*0.25)+(N1731*0.20)+(O1731*0.15)+(P1731*0.15)+(Q1731*0.10)+(R1731*0.10)+(S1731*0.05),2)</f>
        <v/>
      </c>
      <c r="U1731">
        <f>IF(T1731&gt;=4.25,"Critical",IF(T1731&gt;=3.5,"High",IF(T1731&gt;=2,"Medium","Low")))</f>
        <v/>
      </c>
    </row>
    <row r="1732">
      <c r="R1732">
        <f>IFERROR(XLOOKUP(XLOOKUP(D1732,tblReleaseChanges[Change_ID],tblReleaseChanges[Oracle_Severity],""),tblSeverityMap[Severity_Text],tblSeverityMap[Score],0),0)</f>
        <v/>
      </c>
      <c r="T1732">
        <f>ROUND((M1732*0.25)+(N1732*0.20)+(O1732*0.15)+(P1732*0.15)+(Q1732*0.10)+(R1732*0.10)+(S1732*0.05),2)</f>
        <v/>
      </c>
      <c r="U1732">
        <f>IF(T1732&gt;=4.25,"Critical",IF(T1732&gt;=3.5,"High",IF(T1732&gt;=2,"Medium","Low")))</f>
        <v/>
      </c>
    </row>
    <row r="1733">
      <c r="R1733">
        <f>IFERROR(XLOOKUP(XLOOKUP(D1733,tblReleaseChanges[Change_ID],tblReleaseChanges[Oracle_Severity],""),tblSeverityMap[Severity_Text],tblSeverityMap[Score],0),0)</f>
        <v/>
      </c>
      <c r="T1733">
        <f>ROUND((M1733*0.25)+(N1733*0.20)+(O1733*0.15)+(P1733*0.15)+(Q1733*0.10)+(R1733*0.10)+(S1733*0.05),2)</f>
        <v/>
      </c>
      <c r="U1733">
        <f>IF(T1733&gt;=4.25,"Critical",IF(T1733&gt;=3.5,"High",IF(T1733&gt;=2,"Medium","Low")))</f>
        <v/>
      </c>
    </row>
    <row r="1734">
      <c r="R1734">
        <f>IFERROR(XLOOKUP(XLOOKUP(D1734,tblReleaseChanges[Change_ID],tblReleaseChanges[Oracle_Severity],""),tblSeverityMap[Severity_Text],tblSeverityMap[Score],0),0)</f>
        <v/>
      </c>
      <c r="T1734">
        <f>ROUND((M1734*0.25)+(N1734*0.20)+(O1734*0.15)+(P1734*0.15)+(Q1734*0.10)+(R1734*0.10)+(S1734*0.05),2)</f>
        <v/>
      </c>
      <c r="U1734">
        <f>IF(T1734&gt;=4.25,"Critical",IF(T1734&gt;=3.5,"High",IF(T1734&gt;=2,"Medium","Low")))</f>
        <v/>
      </c>
    </row>
    <row r="1735">
      <c r="R1735">
        <f>IFERROR(XLOOKUP(XLOOKUP(D1735,tblReleaseChanges[Change_ID],tblReleaseChanges[Oracle_Severity],""),tblSeverityMap[Severity_Text],tblSeverityMap[Score],0),0)</f>
        <v/>
      </c>
      <c r="T1735">
        <f>ROUND((M1735*0.25)+(N1735*0.20)+(O1735*0.15)+(P1735*0.15)+(Q1735*0.10)+(R1735*0.10)+(S1735*0.05),2)</f>
        <v/>
      </c>
      <c r="U1735">
        <f>IF(T1735&gt;=4.25,"Critical",IF(T1735&gt;=3.5,"High",IF(T1735&gt;=2,"Medium","Low")))</f>
        <v/>
      </c>
    </row>
    <row r="1736">
      <c r="R1736">
        <f>IFERROR(XLOOKUP(XLOOKUP(D1736,tblReleaseChanges[Change_ID],tblReleaseChanges[Oracle_Severity],""),tblSeverityMap[Severity_Text],tblSeverityMap[Score],0),0)</f>
        <v/>
      </c>
      <c r="T1736">
        <f>ROUND((M1736*0.25)+(N1736*0.20)+(O1736*0.15)+(P1736*0.15)+(Q1736*0.10)+(R1736*0.10)+(S1736*0.05),2)</f>
        <v/>
      </c>
      <c r="U1736">
        <f>IF(T1736&gt;=4.25,"Critical",IF(T1736&gt;=3.5,"High",IF(T1736&gt;=2,"Medium","Low")))</f>
        <v/>
      </c>
    </row>
    <row r="1737">
      <c r="R1737">
        <f>IFERROR(XLOOKUP(XLOOKUP(D1737,tblReleaseChanges[Change_ID],tblReleaseChanges[Oracle_Severity],""),tblSeverityMap[Severity_Text],tblSeverityMap[Score],0),0)</f>
        <v/>
      </c>
      <c r="T1737">
        <f>ROUND((M1737*0.25)+(N1737*0.20)+(O1737*0.15)+(P1737*0.15)+(Q1737*0.10)+(R1737*0.10)+(S1737*0.05),2)</f>
        <v/>
      </c>
      <c r="U1737">
        <f>IF(T1737&gt;=4.25,"Critical",IF(T1737&gt;=3.5,"High",IF(T1737&gt;=2,"Medium","Low")))</f>
        <v/>
      </c>
    </row>
    <row r="1738">
      <c r="R1738">
        <f>IFERROR(XLOOKUP(XLOOKUP(D1738,tblReleaseChanges[Change_ID],tblReleaseChanges[Oracle_Severity],""),tblSeverityMap[Severity_Text],tblSeverityMap[Score],0),0)</f>
        <v/>
      </c>
      <c r="T1738">
        <f>ROUND((M1738*0.25)+(N1738*0.20)+(O1738*0.15)+(P1738*0.15)+(Q1738*0.10)+(R1738*0.10)+(S1738*0.05),2)</f>
        <v/>
      </c>
      <c r="U1738">
        <f>IF(T1738&gt;=4.25,"Critical",IF(T1738&gt;=3.5,"High",IF(T1738&gt;=2,"Medium","Low")))</f>
        <v/>
      </c>
    </row>
    <row r="1739">
      <c r="R1739">
        <f>IFERROR(XLOOKUP(XLOOKUP(D1739,tblReleaseChanges[Change_ID],tblReleaseChanges[Oracle_Severity],""),tblSeverityMap[Severity_Text],tblSeverityMap[Score],0),0)</f>
        <v/>
      </c>
      <c r="T1739">
        <f>ROUND((M1739*0.25)+(N1739*0.20)+(O1739*0.15)+(P1739*0.15)+(Q1739*0.10)+(R1739*0.10)+(S1739*0.05),2)</f>
        <v/>
      </c>
      <c r="U1739">
        <f>IF(T1739&gt;=4.25,"Critical",IF(T1739&gt;=3.5,"High",IF(T1739&gt;=2,"Medium","Low")))</f>
        <v/>
      </c>
    </row>
    <row r="1740">
      <c r="R1740">
        <f>IFERROR(XLOOKUP(XLOOKUP(D1740,tblReleaseChanges[Change_ID],tblReleaseChanges[Oracle_Severity],""),tblSeverityMap[Severity_Text],tblSeverityMap[Score],0),0)</f>
        <v/>
      </c>
      <c r="T1740">
        <f>ROUND((M1740*0.25)+(N1740*0.20)+(O1740*0.15)+(P1740*0.15)+(Q1740*0.10)+(R1740*0.10)+(S1740*0.05),2)</f>
        <v/>
      </c>
      <c r="U1740">
        <f>IF(T1740&gt;=4.25,"Critical",IF(T1740&gt;=3.5,"High",IF(T1740&gt;=2,"Medium","Low")))</f>
        <v/>
      </c>
    </row>
    <row r="1741">
      <c r="R1741">
        <f>IFERROR(XLOOKUP(XLOOKUP(D1741,tblReleaseChanges[Change_ID],tblReleaseChanges[Oracle_Severity],""),tblSeverityMap[Severity_Text],tblSeverityMap[Score],0),0)</f>
        <v/>
      </c>
      <c r="T1741">
        <f>ROUND((M1741*0.25)+(N1741*0.20)+(O1741*0.15)+(P1741*0.15)+(Q1741*0.10)+(R1741*0.10)+(S1741*0.05),2)</f>
        <v/>
      </c>
      <c r="U1741">
        <f>IF(T1741&gt;=4.25,"Critical",IF(T1741&gt;=3.5,"High",IF(T1741&gt;=2,"Medium","Low")))</f>
        <v/>
      </c>
    </row>
    <row r="1742">
      <c r="R1742">
        <f>IFERROR(XLOOKUP(XLOOKUP(D1742,tblReleaseChanges[Change_ID],tblReleaseChanges[Oracle_Severity],""),tblSeverityMap[Severity_Text],tblSeverityMap[Score],0),0)</f>
        <v/>
      </c>
      <c r="T1742">
        <f>ROUND((M1742*0.25)+(N1742*0.20)+(O1742*0.15)+(P1742*0.15)+(Q1742*0.10)+(R1742*0.10)+(S1742*0.05),2)</f>
        <v/>
      </c>
      <c r="U1742">
        <f>IF(T1742&gt;=4.25,"Critical",IF(T1742&gt;=3.5,"High",IF(T1742&gt;=2,"Medium","Low")))</f>
        <v/>
      </c>
    </row>
    <row r="1743">
      <c r="R1743">
        <f>IFERROR(XLOOKUP(XLOOKUP(D1743,tblReleaseChanges[Change_ID],tblReleaseChanges[Oracle_Severity],""),tblSeverityMap[Severity_Text],tblSeverityMap[Score],0),0)</f>
        <v/>
      </c>
      <c r="T1743">
        <f>ROUND((M1743*0.25)+(N1743*0.20)+(O1743*0.15)+(P1743*0.15)+(Q1743*0.10)+(R1743*0.10)+(S1743*0.05),2)</f>
        <v/>
      </c>
      <c r="U1743">
        <f>IF(T1743&gt;=4.25,"Critical",IF(T1743&gt;=3.5,"High",IF(T1743&gt;=2,"Medium","Low")))</f>
        <v/>
      </c>
    </row>
    <row r="1744">
      <c r="R1744">
        <f>IFERROR(XLOOKUP(XLOOKUP(D1744,tblReleaseChanges[Change_ID],tblReleaseChanges[Oracle_Severity],""),tblSeverityMap[Severity_Text],tblSeverityMap[Score],0),0)</f>
        <v/>
      </c>
      <c r="T1744">
        <f>ROUND((M1744*0.25)+(N1744*0.20)+(O1744*0.15)+(P1744*0.15)+(Q1744*0.10)+(R1744*0.10)+(S1744*0.05),2)</f>
        <v/>
      </c>
      <c r="U1744">
        <f>IF(T1744&gt;=4.25,"Critical",IF(T1744&gt;=3.5,"High",IF(T1744&gt;=2,"Medium","Low")))</f>
        <v/>
      </c>
    </row>
    <row r="1745">
      <c r="R1745">
        <f>IFERROR(XLOOKUP(XLOOKUP(D1745,tblReleaseChanges[Change_ID],tblReleaseChanges[Oracle_Severity],""),tblSeverityMap[Severity_Text],tblSeverityMap[Score],0),0)</f>
        <v/>
      </c>
      <c r="T1745">
        <f>ROUND((M1745*0.25)+(N1745*0.20)+(O1745*0.15)+(P1745*0.15)+(Q1745*0.10)+(R1745*0.10)+(S1745*0.05),2)</f>
        <v/>
      </c>
      <c r="U1745">
        <f>IF(T1745&gt;=4.25,"Critical",IF(T1745&gt;=3.5,"High",IF(T1745&gt;=2,"Medium","Low")))</f>
        <v/>
      </c>
    </row>
    <row r="1746">
      <c r="R1746">
        <f>IFERROR(XLOOKUP(XLOOKUP(D1746,tblReleaseChanges[Change_ID],tblReleaseChanges[Oracle_Severity],""),tblSeverityMap[Severity_Text],tblSeverityMap[Score],0),0)</f>
        <v/>
      </c>
      <c r="T1746">
        <f>ROUND((M1746*0.25)+(N1746*0.20)+(O1746*0.15)+(P1746*0.15)+(Q1746*0.10)+(R1746*0.10)+(S1746*0.05),2)</f>
        <v/>
      </c>
      <c r="U1746">
        <f>IF(T1746&gt;=4.25,"Critical",IF(T1746&gt;=3.5,"High",IF(T1746&gt;=2,"Medium","Low")))</f>
        <v/>
      </c>
    </row>
    <row r="1747">
      <c r="R1747">
        <f>IFERROR(XLOOKUP(XLOOKUP(D1747,tblReleaseChanges[Change_ID],tblReleaseChanges[Oracle_Severity],""),tblSeverityMap[Severity_Text],tblSeverityMap[Score],0),0)</f>
        <v/>
      </c>
      <c r="T1747">
        <f>ROUND((M1747*0.25)+(N1747*0.20)+(O1747*0.15)+(P1747*0.15)+(Q1747*0.10)+(R1747*0.10)+(S1747*0.05),2)</f>
        <v/>
      </c>
      <c r="U1747">
        <f>IF(T1747&gt;=4.25,"Critical",IF(T1747&gt;=3.5,"High",IF(T1747&gt;=2,"Medium","Low")))</f>
        <v/>
      </c>
    </row>
    <row r="1748">
      <c r="R1748">
        <f>IFERROR(XLOOKUP(XLOOKUP(D1748,tblReleaseChanges[Change_ID],tblReleaseChanges[Oracle_Severity],""),tblSeverityMap[Severity_Text],tblSeverityMap[Score],0),0)</f>
        <v/>
      </c>
      <c r="T1748">
        <f>ROUND((M1748*0.25)+(N1748*0.20)+(O1748*0.15)+(P1748*0.15)+(Q1748*0.10)+(R1748*0.10)+(S1748*0.05),2)</f>
        <v/>
      </c>
      <c r="U1748">
        <f>IF(T1748&gt;=4.25,"Critical",IF(T1748&gt;=3.5,"High",IF(T1748&gt;=2,"Medium","Low")))</f>
        <v/>
      </c>
    </row>
    <row r="1749">
      <c r="R1749">
        <f>IFERROR(XLOOKUP(XLOOKUP(D1749,tblReleaseChanges[Change_ID],tblReleaseChanges[Oracle_Severity],""),tblSeverityMap[Severity_Text],tblSeverityMap[Score],0),0)</f>
        <v/>
      </c>
      <c r="T1749">
        <f>ROUND((M1749*0.25)+(N1749*0.20)+(O1749*0.15)+(P1749*0.15)+(Q1749*0.10)+(R1749*0.10)+(S1749*0.05),2)</f>
        <v/>
      </c>
      <c r="U1749">
        <f>IF(T1749&gt;=4.25,"Critical",IF(T1749&gt;=3.5,"High",IF(T1749&gt;=2,"Medium","Low")))</f>
        <v/>
      </c>
    </row>
    <row r="1750">
      <c r="R1750">
        <f>IFERROR(XLOOKUP(XLOOKUP(D1750,tblReleaseChanges[Change_ID],tblReleaseChanges[Oracle_Severity],""),tblSeverityMap[Severity_Text],tblSeverityMap[Score],0),0)</f>
        <v/>
      </c>
      <c r="T1750">
        <f>ROUND((M1750*0.25)+(N1750*0.20)+(O1750*0.15)+(P1750*0.15)+(Q1750*0.10)+(R1750*0.10)+(S1750*0.05),2)</f>
        <v/>
      </c>
      <c r="U1750">
        <f>IF(T1750&gt;=4.25,"Critical",IF(T1750&gt;=3.5,"High",IF(T1750&gt;=2,"Medium","Low")))</f>
        <v/>
      </c>
    </row>
    <row r="1751">
      <c r="R1751">
        <f>IFERROR(XLOOKUP(XLOOKUP(D1751,tblReleaseChanges[Change_ID],tblReleaseChanges[Oracle_Severity],""),tblSeverityMap[Severity_Text],tblSeverityMap[Score],0),0)</f>
        <v/>
      </c>
      <c r="T1751">
        <f>ROUND((M1751*0.25)+(N1751*0.20)+(O1751*0.15)+(P1751*0.15)+(Q1751*0.10)+(R1751*0.10)+(S1751*0.05),2)</f>
        <v/>
      </c>
      <c r="U1751">
        <f>IF(T1751&gt;=4.25,"Critical",IF(T1751&gt;=3.5,"High",IF(T1751&gt;=2,"Medium","Low")))</f>
        <v/>
      </c>
    </row>
    <row r="1752">
      <c r="R1752">
        <f>IFERROR(XLOOKUP(XLOOKUP(D1752,tblReleaseChanges[Change_ID],tblReleaseChanges[Oracle_Severity],""),tblSeverityMap[Severity_Text],tblSeverityMap[Score],0),0)</f>
        <v/>
      </c>
      <c r="T1752">
        <f>ROUND((M1752*0.25)+(N1752*0.20)+(O1752*0.15)+(P1752*0.15)+(Q1752*0.10)+(R1752*0.10)+(S1752*0.05),2)</f>
        <v/>
      </c>
      <c r="U1752">
        <f>IF(T1752&gt;=4.25,"Critical",IF(T1752&gt;=3.5,"High",IF(T1752&gt;=2,"Medium","Low")))</f>
        <v/>
      </c>
    </row>
    <row r="1753">
      <c r="R1753">
        <f>IFERROR(XLOOKUP(XLOOKUP(D1753,tblReleaseChanges[Change_ID],tblReleaseChanges[Oracle_Severity],""),tblSeverityMap[Severity_Text],tblSeverityMap[Score],0),0)</f>
        <v/>
      </c>
      <c r="T1753">
        <f>ROUND((M1753*0.25)+(N1753*0.20)+(O1753*0.15)+(P1753*0.15)+(Q1753*0.10)+(R1753*0.10)+(S1753*0.05),2)</f>
        <v/>
      </c>
      <c r="U1753">
        <f>IF(T1753&gt;=4.25,"Critical",IF(T1753&gt;=3.5,"High",IF(T1753&gt;=2,"Medium","Low")))</f>
        <v/>
      </c>
    </row>
    <row r="1754">
      <c r="R1754">
        <f>IFERROR(XLOOKUP(XLOOKUP(D1754,tblReleaseChanges[Change_ID],tblReleaseChanges[Oracle_Severity],""),tblSeverityMap[Severity_Text],tblSeverityMap[Score],0),0)</f>
        <v/>
      </c>
      <c r="T1754">
        <f>ROUND((M1754*0.25)+(N1754*0.20)+(O1754*0.15)+(P1754*0.15)+(Q1754*0.10)+(R1754*0.10)+(S1754*0.05),2)</f>
        <v/>
      </c>
      <c r="U1754">
        <f>IF(T1754&gt;=4.25,"Critical",IF(T1754&gt;=3.5,"High",IF(T1754&gt;=2,"Medium","Low")))</f>
        <v/>
      </c>
    </row>
    <row r="1755">
      <c r="R1755">
        <f>IFERROR(XLOOKUP(XLOOKUP(D1755,tblReleaseChanges[Change_ID],tblReleaseChanges[Oracle_Severity],""),tblSeverityMap[Severity_Text],tblSeverityMap[Score],0),0)</f>
        <v/>
      </c>
      <c r="T1755">
        <f>ROUND((M1755*0.25)+(N1755*0.20)+(O1755*0.15)+(P1755*0.15)+(Q1755*0.10)+(R1755*0.10)+(S1755*0.05),2)</f>
        <v/>
      </c>
      <c r="U1755">
        <f>IF(T1755&gt;=4.25,"Critical",IF(T1755&gt;=3.5,"High",IF(T1755&gt;=2,"Medium","Low")))</f>
        <v/>
      </c>
    </row>
    <row r="1756">
      <c r="R1756">
        <f>IFERROR(XLOOKUP(XLOOKUP(D1756,tblReleaseChanges[Change_ID],tblReleaseChanges[Oracle_Severity],""),tblSeverityMap[Severity_Text],tblSeverityMap[Score],0),0)</f>
        <v/>
      </c>
      <c r="T1756">
        <f>ROUND((M1756*0.25)+(N1756*0.20)+(O1756*0.15)+(P1756*0.15)+(Q1756*0.10)+(R1756*0.10)+(S1756*0.05),2)</f>
        <v/>
      </c>
      <c r="U1756">
        <f>IF(T1756&gt;=4.25,"Critical",IF(T1756&gt;=3.5,"High",IF(T1756&gt;=2,"Medium","Low")))</f>
        <v/>
      </c>
    </row>
    <row r="1757">
      <c r="R1757">
        <f>IFERROR(XLOOKUP(XLOOKUP(D1757,tblReleaseChanges[Change_ID],tblReleaseChanges[Oracle_Severity],""),tblSeverityMap[Severity_Text],tblSeverityMap[Score],0),0)</f>
        <v/>
      </c>
      <c r="T1757">
        <f>ROUND((M1757*0.25)+(N1757*0.20)+(O1757*0.15)+(P1757*0.15)+(Q1757*0.10)+(R1757*0.10)+(S1757*0.05),2)</f>
        <v/>
      </c>
      <c r="U1757">
        <f>IF(T1757&gt;=4.25,"Critical",IF(T1757&gt;=3.5,"High",IF(T1757&gt;=2,"Medium","Low")))</f>
        <v/>
      </c>
    </row>
    <row r="1758">
      <c r="R1758">
        <f>IFERROR(XLOOKUP(XLOOKUP(D1758,tblReleaseChanges[Change_ID],tblReleaseChanges[Oracle_Severity],""),tblSeverityMap[Severity_Text],tblSeverityMap[Score],0),0)</f>
        <v/>
      </c>
      <c r="T1758">
        <f>ROUND((M1758*0.25)+(N1758*0.20)+(O1758*0.15)+(P1758*0.15)+(Q1758*0.10)+(R1758*0.10)+(S1758*0.05),2)</f>
        <v/>
      </c>
      <c r="U1758">
        <f>IF(T1758&gt;=4.25,"Critical",IF(T1758&gt;=3.5,"High",IF(T1758&gt;=2,"Medium","Low")))</f>
        <v/>
      </c>
    </row>
    <row r="1759">
      <c r="R1759">
        <f>IFERROR(XLOOKUP(XLOOKUP(D1759,tblReleaseChanges[Change_ID],tblReleaseChanges[Oracle_Severity],""),tblSeverityMap[Severity_Text],tblSeverityMap[Score],0),0)</f>
        <v/>
      </c>
      <c r="T1759">
        <f>ROUND((M1759*0.25)+(N1759*0.20)+(O1759*0.15)+(P1759*0.15)+(Q1759*0.10)+(R1759*0.10)+(S1759*0.05),2)</f>
        <v/>
      </c>
      <c r="U1759">
        <f>IF(T1759&gt;=4.25,"Critical",IF(T1759&gt;=3.5,"High",IF(T1759&gt;=2,"Medium","Low")))</f>
        <v/>
      </c>
    </row>
    <row r="1760">
      <c r="R1760">
        <f>IFERROR(XLOOKUP(XLOOKUP(D1760,tblReleaseChanges[Change_ID],tblReleaseChanges[Oracle_Severity],""),tblSeverityMap[Severity_Text],tblSeverityMap[Score],0),0)</f>
        <v/>
      </c>
      <c r="T1760">
        <f>ROUND((M1760*0.25)+(N1760*0.20)+(O1760*0.15)+(P1760*0.15)+(Q1760*0.10)+(R1760*0.10)+(S1760*0.05),2)</f>
        <v/>
      </c>
      <c r="U1760">
        <f>IF(T1760&gt;=4.25,"Critical",IF(T1760&gt;=3.5,"High",IF(T1760&gt;=2,"Medium","Low")))</f>
        <v/>
      </c>
    </row>
    <row r="1761">
      <c r="R1761">
        <f>IFERROR(XLOOKUP(XLOOKUP(D1761,tblReleaseChanges[Change_ID],tblReleaseChanges[Oracle_Severity],""),tblSeverityMap[Severity_Text],tblSeverityMap[Score],0),0)</f>
        <v/>
      </c>
      <c r="T1761">
        <f>ROUND((M1761*0.25)+(N1761*0.20)+(O1761*0.15)+(P1761*0.15)+(Q1761*0.10)+(R1761*0.10)+(S1761*0.05),2)</f>
        <v/>
      </c>
      <c r="U1761">
        <f>IF(T1761&gt;=4.25,"Critical",IF(T1761&gt;=3.5,"High",IF(T1761&gt;=2,"Medium","Low")))</f>
        <v/>
      </c>
    </row>
    <row r="1762">
      <c r="R1762">
        <f>IFERROR(XLOOKUP(XLOOKUP(D1762,tblReleaseChanges[Change_ID],tblReleaseChanges[Oracle_Severity],""),tblSeverityMap[Severity_Text],tblSeverityMap[Score],0),0)</f>
        <v/>
      </c>
      <c r="T1762">
        <f>ROUND((M1762*0.25)+(N1762*0.20)+(O1762*0.15)+(P1762*0.15)+(Q1762*0.10)+(R1762*0.10)+(S1762*0.05),2)</f>
        <v/>
      </c>
      <c r="U1762">
        <f>IF(T1762&gt;=4.25,"Critical",IF(T1762&gt;=3.5,"High",IF(T1762&gt;=2,"Medium","Low")))</f>
        <v/>
      </c>
    </row>
    <row r="1763">
      <c r="R1763">
        <f>IFERROR(XLOOKUP(XLOOKUP(D1763,tblReleaseChanges[Change_ID],tblReleaseChanges[Oracle_Severity],""),tblSeverityMap[Severity_Text],tblSeverityMap[Score],0),0)</f>
        <v/>
      </c>
      <c r="T1763">
        <f>ROUND((M1763*0.25)+(N1763*0.20)+(O1763*0.15)+(P1763*0.15)+(Q1763*0.10)+(R1763*0.10)+(S1763*0.05),2)</f>
        <v/>
      </c>
      <c r="U1763">
        <f>IF(T1763&gt;=4.25,"Critical",IF(T1763&gt;=3.5,"High",IF(T1763&gt;=2,"Medium","Low")))</f>
        <v/>
      </c>
    </row>
    <row r="1764">
      <c r="R1764">
        <f>IFERROR(XLOOKUP(XLOOKUP(D1764,tblReleaseChanges[Change_ID],tblReleaseChanges[Oracle_Severity],""),tblSeverityMap[Severity_Text],tblSeverityMap[Score],0),0)</f>
        <v/>
      </c>
      <c r="T1764">
        <f>ROUND((M1764*0.25)+(N1764*0.20)+(O1764*0.15)+(P1764*0.15)+(Q1764*0.10)+(R1764*0.10)+(S1764*0.05),2)</f>
        <v/>
      </c>
      <c r="U1764">
        <f>IF(T1764&gt;=4.25,"Critical",IF(T1764&gt;=3.5,"High",IF(T1764&gt;=2,"Medium","Low")))</f>
        <v/>
      </c>
    </row>
    <row r="1765">
      <c r="R1765">
        <f>IFERROR(XLOOKUP(XLOOKUP(D1765,tblReleaseChanges[Change_ID],tblReleaseChanges[Oracle_Severity],""),tblSeverityMap[Severity_Text],tblSeverityMap[Score],0),0)</f>
        <v/>
      </c>
      <c r="T1765">
        <f>ROUND((M1765*0.25)+(N1765*0.20)+(O1765*0.15)+(P1765*0.15)+(Q1765*0.10)+(R1765*0.10)+(S1765*0.05),2)</f>
        <v/>
      </c>
      <c r="U1765">
        <f>IF(T1765&gt;=4.25,"Critical",IF(T1765&gt;=3.5,"High",IF(T1765&gt;=2,"Medium","Low")))</f>
        <v/>
      </c>
    </row>
    <row r="1766">
      <c r="R1766">
        <f>IFERROR(XLOOKUP(XLOOKUP(D1766,tblReleaseChanges[Change_ID],tblReleaseChanges[Oracle_Severity],""),tblSeverityMap[Severity_Text],tblSeverityMap[Score],0),0)</f>
        <v/>
      </c>
      <c r="T1766">
        <f>ROUND((M1766*0.25)+(N1766*0.20)+(O1766*0.15)+(P1766*0.15)+(Q1766*0.10)+(R1766*0.10)+(S1766*0.05),2)</f>
        <v/>
      </c>
      <c r="U1766">
        <f>IF(T1766&gt;=4.25,"Critical",IF(T1766&gt;=3.5,"High",IF(T1766&gt;=2,"Medium","Low")))</f>
        <v/>
      </c>
    </row>
    <row r="1767">
      <c r="R1767">
        <f>IFERROR(XLOOKUP(XLOOKUP(D1767,tblReleaseChanges[Change_ID],tblReleaseChanges[Oracle_Severity],""),tblSeverityMap[Severity_Text],tblSeverityMap[Score],0),0)</f>
        <v/>
      </c>
      <c r="T1767">
        <f>ROUND((M1767*0.25)+(N1767*0.20)+(O1767*0.15)+(P1767*0.15)+(Q1767*0.10)+(R1767*0.10)+(S1767*0.05),2)</f>
        <v/>
      </c>
      <c r="U1767">
        <f>IF(T1767&gt;=4.25,"Critical",IF(T1767&gt;=3.5,"High",IF(T1767&gt;=2,"Medium","Low")))</f>
        <v/>
      </c>
    </row>
    <row r="1768">
      <c r="R1768">
        <f>IFERROR(XLOOKUP(XLOOKUP(D1768,tblReleaseChanges[Change_ID],tblReleaseChanges[Oracle_Severity],""),tblSeverityMap[Severity_Text],tblSeverityMap[Score],0),0)</f>
        <v/>
      </c>
      <c r="T1768">
        <f>ROUND((M1768*0.25)+(N1768*0.20)+(O1768*0.15)+(P1768*0.15)+(Q1768*0.10)+(R1768*0.10)+(S1768*0.05),2)</f>
        <v/>
      </c>
      <c r="U1768">
        <f>IF(T1768&gt;=4.25,"Critical",IF(T1768&gt;=3.5,"High",IF(T1768&gt;=2,"Medium","Low")))</f>
        <v/>
      </c>
    </row>
    <row r="1769">
      <c r="R1769">
        <f>IFERROR(XLOOKUP(XLOOKUP(D1769,tblReleaseChanges[Change_ID],tblReleaseChanges[Oracle_Severity],""),tblSeverityMap[Severity_Text],tblSeverityMap[Score],0),0)</f>
        <v/>
      </c>
      <c r="T1769">
        <f>ROUND((M1769*0.25)+(N1769*0.20)+(O1769*0.15)+(P1769*0.15)+(Q1769*0.10)+(R1769*0.10)+(S1769*0.05),2)</f>
        <v/>
      </c>
      <c r="U1769">
        <f>IF(T1769&gt;=4.25,"Critical",IF(T1769&gt;=3.5,"High",IF(T1769&gt;=2,"Medium","Low")))</f>
        <v/>
      </c>
    </row>
    <row r="1770">
      <c r="R1770">
        <f>IFERROR(XLOOKUP(XLOOKUP(D1770,tblReleaseChanges[Change_ID],tblReleaseChanges[Oracle_Severity],""),tblSeverityMap[Severity_Text],tblSeverityMap[Score],0),0)</f>
        <v/>
      </c>
      <c r="T1770">
        <f>ROUND((M1770*0.25)+(N1770*0.20)+(O1770*0.15)+(P1770*0.15)+(Q1770*0.10)+(R1770*0.10)+(S1770*0.05),2)</f>
        <v/>
      </c>
      <c r="U1770">
        <f>IF(T1770&gt;=4.25,"Critical",IF(T1770&gt;=3.5,"High",IF(T1770&gt;=2,"Medium","Low")))</f>
        <v/>
      </c>
    </row>
    <row r="1771">
      <c r="R1771">
        <f>IFERROR(XLOOKUP(XLOOKUP(D1771,tblReleaseChanges[Change_ID],tblReleaseChanges[Oracle_Severity],""),tblSeverityMap[Severity_Text],tblSeverityMap[Score],0),0)</f>
        <v/>
      </c>
      <c r="T1771">
        <f>ROUND((M1771*0.25)+(N1771*0.20)+(O1771*0.15)+(P1771*0.15)+(Q1771*0.10)+(R1771*0.10)+(S1771*0.05),2)</f>
        <v/>
      </c>
      <c r="U1771">
        <f>IF(T1771&gt;=4.25,"Critical",IF(T1771&gt;=3.5,"High",IF(T1771&gt;=2,"Medium","Low")))</f>
        <v/>
      </c>
    </row>
    <row r="1772">
      <c r="R1772">
        <f>IFERROR(XLOOKUP(XLOOKUP(D1772,tblReleaseChanges[Change_ID],tblReleaseChanges[Oracle_Severity],""),tblSeverityMap[Severity_Text],tblSeverityMap[Score],0),0)</f>
        <v/>
      </c>
      <c r="T1772">
        <f>ROUND((M1772*0.25)+(N1772*0.20)+(O1772*0.15)+(P1772*0.15)+(Q1772*0.10)+(R1772*0.10)+(S1772*0.05),2)</f>
        <v/>
      </c>
      <c r="U1772">
        <f>IF(T1772&gt;=4.25,"Critical",IF(T1772&gt;=3.5,"High",IF(T1772&gt;=2,"Medium","Low")))</f>
        <v/>
      </c>
    </row>
    <row r="1773">
      <c r="R1773">
        <f>IFERROR(XLOOKUP(XLOOKUP(D1773,tblReleaseChanges[Change_ID],tblReleaseChanges[Oracle_Severity],""),tblSeverityMap[Severity_Text],tblSeverityMap[Score],0),0)</f>
        <v/>
      </c>
      <c r="T1773">
        <f>ROUND((M1773*0.25)+(N1773*0.20)+(O1773*0.15)+(P1773*0.15)+(Q1773*0.10)+(R1773*0.10)+(S1773*0.05),2)</f>
        <v/>
      </c>
      <c r="U1773">
        <f>IF(T1773&gt;=4.25,"Critical",IF(T1773&gt;=3.5,"High",IF(T1773&gt;=2,"Medium","Low")))</f>
        <v/>
      </c>
    </row>
    <row r="1774">
      <c r="R1774">
        <f>IFERROR(XLOOKUP(XLOOKUP(D1774,tblReleaseChanges[Change_ID],tblReleaseChanges[Oracle_Severity],""),tblSeverityMap[Severity_Text],tblSeverityMap[Score],0),0)</f>
        <v/>
      </c>
      <c r="T1774">
        <f>ROUND((M1774*0.25)+(N1774*0.20)+(O1774*0.15)+(P1774*0.15)+(Q1774*0.10)+(R1774*0.10)+(S1774*0.05),2)</f>
        <v/>
      </c>
      <c r="U1774">
        <f>IF(T1774&gt;=4.25,"Critical",IF(T1774&gt;=3.5,"High",IF(T1774&gt;=2,"Medium","Low")))</f>
        <v/>
      </c>
    </row>
    <row r="1775">
      <c r="R1775">
        <f>IFERROR(XLOOKUP(XLOOKUP(D1775,tblReleaseChanges[Change_ID],tblReleaseChanges[Oracle_Severity],""),tblSeverityMap[Severity_Text],tblSeverityMap[Score],0),0)</f>
        <v/>
      </c>
      <c r="T1775">
        <f>ROUND((M1775*0.25)+(N1775*0.20)+(O1775*0.15)+(P1775*0.15)+(Q1775*0.10)+(R1775*0.10)+(S1775*0.05),2)</f>
        <v/>
      </c>
      <c r="U1775">
        <f>IF(T1775&gt;=4.25,"Critical",IF(T1775&gt;=3.5,"High",IF(T1775&gt;=2,"Medium","Low")))</f>
        <v/>
      </c>
    </row>
    <row r="1776">
      <c r="R1776">
        <f>IFERROR(XLOOKUP(XLOOKUP(D1776,tblReleaseChanges[Change_ID],tblReleaseChanges[Oracle_Severity],""),tblSeverityMap[Severity_Text],tblSeverityMap[Score],0),0)</f>
        <v/>
      </c>
      <c r="T1776">
        <f>ROUND((M1776*0.25)+(N1776*0.20)+(O1776*0.15)+(P1776*0.15)+(Q1776*0.10)+(R1776*0.10)+(S1776*0.05),2)</f>
        <v/>
      </c>
      <c r="U1776">
        <f>IF(T1776&gt;=4.25,"Critical",IF(T1776&gt;=3.5,"High",IF(T1776&gt;=2,"Medium","Low")))</f>
        <v/>
      </c>
    </row>
    <row r="1777">
      <c r="R1777">
        <f>IFERROR(XLOOKUP(XLOOKUP(D1777,tblReleaseChanges[Change_ID],tblReleaseChanges[Oracle_Severity],""),tblSeverityMap[Severity_Text],tblSeverityMap[Score],0),0)</f>
        <v/>
      </c>
      <c r="T1777">
        <f>ROUND((M1777*0.25)+(N1777*0.20)+(O1777*0.15)+(P1777*0.15)+(Q1777*0.10)+(R1777*0.10)+(S1777*0.05),2)</f>
        <v/>
      </c>
      <c r="U1777">
        <f>IF(T1777&gt;=4.25,"Critical",IF(T1777&gt;=3.5,"High",IF(T1777&gt;=2,"Medium","Low")))</f>
        <v/>
      </c>
    </row>
    <row r="1778">
      <c r="R1778">
        <f>IFERROR(XLOOKUP(XLOOKUP(D1778,tblReleaseChanges[Change_ID],tblReleaseChanges[Oracle_Severity],""),tblSeverityMap[Severity_Text],tblSeverityMap[Score],0),0)</f>
        <v/>
      </c>
      <c r="T1778">
        <f>ROUND((M1778*0.25)+(N1778*0.20)+(O1778*0.15)+(P1778*0.15)+(Q1778*0.10)+(R1778*0.10)+(S1778*0.05),2)</f>
        <v/>
      </c>
      <c r="U1778">
        <f>IF(T1778&gt;=4.25,"Critical",IF(T1778&gt;=3.5,"High",IF(T1778&gt;=2,"Medium","Low")))</f>
        <v/>
      </c>
    </row>
    <row r="1779">
      <c r="R1779">
        <f>IFERROR(XLOOKUP(XLOOKUP(D1779,tblReleaseChanges[Change_ID],tblReleaseChanges[Oracle_Severity],""),tblSeverityMap[Severity_Text],tblSeverityMap[Score],0),0)</f>
        <v/>
      </c>
      <c r="T1779">
        <f>ROUND((M1779*0.25)+(N1779*0.20)+(O1779*0.15)+(P1779*0.15)+(Q1779*0.10)+(R1779*0.10)+(S1779*0.05),2)</f>
        <v/>
      </c>
      <c r="U1779">
        <f>IF(T1779&gt;=4.25,"Critical",IF(T1779&gt;=3.5,"High",IF(T1779&gt;=2,"Medium","Low")))</f>
        <v/>
      </c>
    </row>
    <row r="1780">
      <c r="R1780">
        <f>IFERROR(XLOOKUP(XLOOKUP(D1780,tblReleaseChanges[Change_ID],tblReleaseChanges[Oracle_Severity],""),tblSeverityMap[Severity_Text],tblSeverityMap[Score],0),0)</f>
        <v/>
      </c>
      <c r="T1780">
        <f>ROUND((M1780*0.25)+(N1780*0.20)+(O1780*0.15)+(P1780*0.15)+(Q1780*0.10)+(R1780*0.10)+(S1780*0.05),2)</f>
        <v/>
      </c>
      <c r="U1780">
        <f>IF(T1780&gt;=4.25,"Critical",IF(T1780&gt;=3.5,"High",IF(T1780&gt;=2,"Medium","Low")))</f>
        <v/>
      </c>
    </row>
    <row r="1781">
      <c r="R1781">
        <f>IFERROR(XLOOKUP(XLOOKUP(D1781,tblReleaseChanges[Change_ID],tblReleaseChanges[Oracle_Severity],""),tblSeverityMap[Severity_Text],tblSeverityMap[Score],0),0)</f>
        <v/>
      </c>
      <c r="T1781">
        <f>ROUND((M1781*0.25)+(N1781*0.20)+(O1781*0.15)+(P1781*0.15)+(Q1781*0.10)+(R1781*0.10)+(S1781*0.05),2)</f>
        <v/>
      </c>
      <c r="U1781">
        <f>IF(T1781&gt;=4.25,"Critical",IF(T1781&gt;=3.5,"High",IF(T1781&gt;=2,"Medium","Low")))</f>
        <v/>
      </c>
    </row>
    <row r="1782">
      <c r="R1782">
        <f>IFERROR(XLOOKUP(XLOOKUP(D1782,tblReleaseChanges[Change_ID],tblReleaseChanges[Oracle_Severity],""),tblSeverityMap[Severity_Text],tblSeverityMap[Score],0),0)</f>
        <v/>
      </c>
      <c r="T1782">
        <f>ROUND((M1782*0.25)+(N1782*0.20)+(O1782*0.15)+(P1782*0.15)+(Q1782*0.10)+(R1782*0.10)+(S1782*0.05),2)</f>
        <v/>
      </c>
      <c r="U1782">
        <f>IF(T1782&gt;=4.25,"Critical",IF(T1782&gt;=3.5,"High",IF(T1782&gt;=2,"Medium","Low")))</f>
        <v/>
      </c>
    </row>
    <row r="1783">
      <c r="R1783">
        <f>IFERROR(XLOOKUP(XLOOKUP(D1783,tblReleaseChanges[Change_ID],tblReleaseChanges[Oracle_Severity],""),tblSeverityMap[Severity_Text],tblSeverityMap[Score],0),0)</f>
        <v/>
      </c>
      <c r="T1783">
        <f>ROUND((M1783*0.25)+(N1783*0.20)+(O1783*0.15)+(P1783*0.15)+(Q1783*0.10)+(R1783*0.10)+(S1783*0.05),2)</f>
        <v/>
      </c>
      <c r="U1783">
        <f>IF(T1783&gt;=4.25,"Critical",IF(T1783&gt;=3.5,"High",IF(T1783&gt;=2,"Medium","Low")))</f>
        <v/>
      </c>
    </row>
    <row r="1784">
      <c r="R1784">
        <f>IFERROR(XLOOKUP(XLOOKUP(D1784,tblReleaseChanges[Change_ID],tblReleaseChanges[Oracle_Severity],""),tblSeverityMap[Severity_Text],tblSeverityMap[Score],0),0)</f>
        <v/>
      </c>
      <c r="T1784">
        <f>ROUND((M1784*0.25)+(N1784*0.20)+(O1784*0.15)+(P1784*0.15)+(Q1784*0.10)+(R1784*0.10)+(S1784*0.05),2)</f>
        <v/>
      </c>
      <c r="U1784">
        <f>IF(T1784&gt;=4.25,"Critical",IF(T1784&gt;=3.5,"High",IF(T1784&gt;=2,"Medium","Low")))</f>
        <v/>
      </c>
    </row>
    <row r="1785">
      <c r="R1785">
        <f>IFERROR(XLOOKUP(XLOOKUP(D1785,tblReleaseChanges[Change_ID],tblReleaseChanges[Oracle_Severity],""),tblSeverityMap[Severity_Text],tblSeverityMap[Score],0),0)</f>
        <v/>
      </c>
      <c r="T1785">
        <f>ROUND((M1785*0.25)+(N1785*0.20)+(O1785*0.15)+(P1785*0.15)+(Q1785*0.10)+(R1785*0.10)+(S1785*0.05),2)</f>
        <v/>
      </c>
      <c r="U1785">
        <f>IF(T1785&gt;=4.25,"Critical",IF(T1785&gt;=3.5,"High",IF(T1785&gt;=2,"Medium","Low")))</f>
        <v/>
      </c>
    </row>
    <row r="1786">
      <c r="R1786">
        <f>IFERROR(XLOOKUP(XLOOKUP(D1786,tblReleaseChanges[Change_ID],tblReleaseChanges[Oracle_Severity],""),tblSeverityMap[Severity_Text],tblSeverityMap[Score],0),0)</f>
        <v/>
      </c>
      <c r="T1786">
        <f>ROUND((M1786*0.25)+(N1786*0.20)+(O1786*0.15)+(P1786*0.15)+(Q1786*0.10)+(R1786*0.10)+(S1786*0.05),2)</f>
        <v/>
      </c>
      <c r="U1786">
        <f>IF(T1786&gt;=4.25,"Critical",IF(T1786&gt;=3.5,"High",IF(T1786&gt;=2,"Medium","Low")))</f>
        <v/>
      </c>
    </row>
    <row r="1787">
      <c r="R1787">
        <f>IFERROR(XLOOKUP(XLOOKUP(D1787,tblReleaseChanges[Change_ID],tblReleaseChanges[Oracle_Severity],""),tblSeverityMap[Severity_Text],tblSeverityMap[Score],0),0)</f>
        <v/>
      </c>
      <c r="T1787">
        <f>ROUND((M1787*0.25)+(N1787*0.20)+(O1787*0.15)+(P1787*0.15)+(Q1787*0.10)+(R1787*0.10)+(S1787*0.05),2)</f>
        <v/>
      </c>
      <c r="U1787">
        <f>IF(T1787&gt;=4.25,"Critical",IF(T1787&gt;=3.5,"High",IF(T1787&gt;=2,"Medium","Low")))</f>
        <v/>
      </c>
    </row>
    <row r="1788">
      <c r="R1788">
        <f>IFERROR(XLOOKUP(XLOOKUP(D1788,tblReleaseChanges[Change_ID],tblReleaseChanges[Oracle_Severity],""),tblSeverityMap[Severity_Text],tblSeverityMap[Score],0),0)</f>
        <v/>
      </c>
      <c r="T1788">
        <f>ROUND((M1788*0.25)+(N1788*0.20)+(O1788*0.15)+(P1788*0.15)+(Q1788*0.10)+(R1788*0.10)+(S1788*0.05),2)</f>
        <v/>
      </c>
      <c r="U1788">
        <f>IF(T1788&gt;=4.25,"Critical",IF(T1788&gt;=3.5,"High",IF(T1788&gt;=2,"Medium","Low")))</f>
        <v/>
      </c>
    </row>
    <row r="1789">
      <c r="R1789">
        <f>IFERROR(XLOOKUP(XLOOKUP(D1789,tblReleaseChanges[Change_ID],tblReleaseChanges[Oracle_Severity],""),tblSeverityMap[Severity_Text],tblSeverityMap[Score],0),0)</f>
        <v/>
      </c>
      <c r="T1789">
        <f>ROUND((M1789*0.25)+(N1789*0.20)+(O1789*0.15)+(P1789*0.15)+(Q1789*0.10)+(R1789*0.10)+(S1789*0.05),2)</f>
        <v/>
      </c>
      <c r="U1789">
        <f>IF(T1789&gt;=4.25,"Critical",IF(T1789&gt;=3.5,"High",IF(T1789&gt;=2,"Medium","Low")))</f>
        <v/>
      </c>
    </row>
    <row r="1790">
      <c r="R1790">
        <f>IFERROR(XLOOKUP(XLOOKUP(D1790,tblReleaseChanges[Change_ID],tblReleaseChanges[Oracle_Severity],""),tblSeverityMap[Severity_Text],tblSeverityMap[Score],0),0)</f>
        <v/>
      </c>
      <c r="T1790">
        <f>ROUND((M1790*0.25)+(N1790*0.20)+(O1790*0.15)+(P1790*0.15)+(Q1790*0.10)+(R1790*0.10)+(S1790*0.05),2)</f>
        <v/>
      </c>
      <c r="U1790">
        <f>IF(T1790&gt;=4.25,"Critical",IF(T1790&gt;=3.5,"High",IF(T1790&gt;=2,"Medium","Low")))</f>
        <v/>
      </c>
    </row>
    <row r="1791">
      <c r="R1791">
        <f>IFERROR(XLOOKUP(XLOOKUP(D1791,tblReleaseChanges[Change_ID],tblReleaseChanges[Oracle_Severity],""),tblSeverityMap[Severity_Text],tblSeverityMap[Score],0),0)</f>
        <v/>
      </c>
      <c r="T1791">
        <f>ROUND((M1791*0.25)+(N1791*0.20)+(O1791*0.15)+(P1791*0.15)+(Q1791*0.10)+(R1791*0.10)+(S1791*0.05),2)</f>
        <v/>
      </c>
      <c r="U1791">
        <f>IF(T1791&gt;=4.25,"Critical",IF(T1791&gt;=3.5,"High",IF(T1791&gt;=2,"Medium","Low")))</f>
        <v/>
      </c>
    </row>
    <row r="1792">
      <c r="R1792">
        <f>IFERROR(XLOOKUP(XLOOKUP(D1792,tblReleaseChanges[Change_ID],tblReleaseChanges[Oracle_Severity],""),tblSeverityMap[Severity_Text],tblSeverityMap[Score],0),0)</f>
        <v/>
      </c>
      <c r="T1792">
        <f>ROUND((M1792*0.25)+(N1792*0.20)+(O1792*0.15)+(P1792*0.15)+(Q1792*0.10)+(R1792*0.10)+(S1792*0.05),2)</f>
        <v/>
      </c>
      <c r="U1792">
        <f>IF(T1792&gt;=4.25,"Critical",IF(T1792&gt;=3.5,"High",IF(T1792&gt;=2,"Medium","Low")))</f>
        <v/>
      </c>
    </row>
    <row r="1793">
      <c r="R1793">
        <f>IFERROR(XLOOKUP(XLOOKUP(D1793,tblReleaseChanges[Change_ID],tblReleaseChanges[Oracle_Severity],""),tblSeverityMap[Severity_Text],tblSeverityMap[Score],0),0)</f>
        <v/>
      </c>
      <c r="T1793">
        <f>ROUND((M1793*0.25)+(N1793*0.20)+(O1793*0.15)+(P1793*0.15)+(Q1793*0.10)+(R1793*0.10)+(S1793*0.05),2)</f>
        <v/>
      </c>
      <c r="U1793">
        <f>IF(T1793&gt;=4.25,"Critical",IF(T1793&gt;=3.5,"High",IF(T1793&gt;=2,"Medium","Low")))</f>
        <v/>
      </c>
    </row>
    <row r="1794">
      <c r="R1794">
        <f>IFERROR(XLOOKUP(XLOOKUP(D1794,tblReleaseChanges[Change_ID],tblReleaseChanges[Oracle_Severity],""),tblSeverityMap[Severity_Text],tblSeverityMap[Score],0),0)</f>
        <v/>
      </c>
      <c r="T1794">
        <f>ROUND((M1794*0.25)+(N1794*0.20)+(O1794*0.15)+(P1794*0.15)+(Q1794*0.10)+(R1794*0.10)+(S1794*0.05),2)</f>
        <v/>
      </c>
      <c r="U1794">
        <f>IF(T1794&gt;=4.25,"Critical",IF(T1794&gt;=3.5,"High",IF(T1794&gt;=2,"Medium","Low")))</f>
        <v/>
      </c>
    </row>
    <row r="1795">
      <c r="R1795">
        <f>IFERROR(XLOOKUP(XLOOKUP(D1795,tblReleaseChanges[Change_ID],tblReleaseChanges[Oracle_Severity],""),tblSeverityMap[Severity_Text],tblSeverityMap[Score],0),0)</f>
        <v/>
      </c>
      <c r="T1795">
        <f>ROUND((M1795*0.25)+(N1795*0.20)+(O1795*0.15)+(P1795*0.15)+(Q1795*0.10)+(R1795*0.10)+(S1795*0.05),2)</f>
        <v/>
      </c>
      <c r="U1795">
        <f>IF(T1795&gt;=4.25,"Critical",IF(T1795&gt;=3.5,"High",IF(T1795&gt;=2,"Medium","Low")))</f>
        <v/>
      </c>
    </row>
    <row r="1796">
      <c r="R1796">
        <f>IFERROR(XLOOKUP(XLOOKUP(D1796,tblReleaseChanges[Change_ID],tblReleaseChanges[Oracle_Severity],""),tblSeverityMap[Severity_Text],tblSeverityMap[Score],0),0)</f>
        <v/>
      </c>
      <c r="T1796">
        <f>ROUND((M1796*0.25)+(N1796*0.20)+(O1796*0.15)+(P1796*0.15)+(Q1796*0.10)+(R1796*0.10)+(S1796*0.05),2)</f>
        <v/>
      </c>
      <c r="U1796">
        <f>IF(T1796&gt;=4.25,"Critical",IF(T1796&gt;=3.5,"High",IF(T1796&gt;=2,"Medium","Low")))</f>
        <v/>
      </c>
    </row>
    <row r="1797">
      <c r="R1797">
        <f>IFERROR(XLOOKUP(XLOOKUP(D1797,tblReleaseChanges[Change_ID],tblReleaseChanges[Oracle_Severity],""),tblSeverityMap[Severity_Text],tblSeverityMap[Score],0),0)</f>
        <v/>
      </c>
      <c r="T1797">
        <f>ROUND((M1797*0.25)+(N1797*0.20)+(O1797*0.15)+(P1797*0.15)+(Q1797*0.10)+(R1797*0.10)+(S1797*0.05),2)</f>
        <v/>
      </c>
      <c r="U1797">
        <f>IF(T1797&gt;=4.25,"Critical",IF(T1797&gt;=3.5,"High",IF(T1797&gt;=2,"Medium","Low")))</f>
        <v/>
      </c>
    </row>
    <row r="1798">
      <c r="R1798">
        <f>IFERROR(XLOOKUP(XLOOKUP(D1798,tblReleaseChanges[Change_ID],tblReleaseChanges[Oracle_Severity],""),tblSeverityMap[Severity_Text],tblSeverityMap[Score],0),0)</f>
        <v/>
      </c>
      <c r="T1798">
        <f>ROUND((M1798*0.25)+(N1798*0.20)+(O1798*0.15)+(P1798*0.15)+(Q1798*0.10)+(R1798*0.10)+(S1798*0.05),2)</f>
        <v/>
      </c>
      <c r="U1798">
        <f>IF(T1798&gt;=4.25,"Critical",IF(T1798&gt;=3.5,"High",IF(T1798&gt;=2,"Medium","Low")))</f>
        <v/>
      </c>
    </row>
    <row r="1799">
      <c r="R1799">
        <f>IFERROR(XLOOKUP(XLOOKUP(D1799,tblReleaseChanges[Change_ID],tblReleaseChanges[Oracle_Severity],""),tblSeverityMap[Severity_Text],tblSeverityMap[Score],0),0)</f>
        <v/>
      </c>
      <c r="T1799">
        <f>ROUND((M1799*0.25)+(N1799*0.20)+(O1799*0.15)+(P1799*0.15)+(Q1799*0.10)+(R1799*0.10)+(S1799*0.05),2)</f>
        <v/>
      </c>
      <c r="U1799">
        <f>IF(T1799&gt;=4.25,"Critical",IF(T1799&gt;=3.5,"High",IF(T1799&gt;=2,"Medium","Low")))</f>
        <v/>
      </c>
    </row>
    <row r="1800">
      <c r="R1800">
        <f>IFERROR(XLOOKUP(XLOOKUP(D1800,tblReleaseChanges[Change_ID],tblReleaseChanges[Oracle_Severity],""),tblSeverityMap[Severity_Text],tblSeverityMap[Score],0),0)</f>
        <v/>
      </c>
      <c r="T1800">
        <f>ROUND((M1800*0.25)+(N1800*0.20)+(O1800*0.15)+(P1800*0.15)+(Q1800*0.10)+(R1800*0.10)+(S1800*0.05),2)</f>
        <v/>
      </c>
      <c r="U1800">
        <f>IF(T1800&gt;=4.25,"Critical",IF(T1800&gt;=3.5,"High",IF(T1800&gt;=2,"Medium","Low")))</f>
        <v/>
      </c>
    </row>
    <row r="1801">
      <c r="R1801">
        <f>IFERROR(XLOOKUP(XLOOKUP(D1801,tblReleaseChanges[Change_ID],tblReleaseChanges[Oracle_Severity],""),tblSeverityMap[Severity_Text],tblSeverityMap[Score],0),0)</f>
        <v/>
      </c>
      <c r="T1801">
        <f>ROUND((M1801*0.25)+(N1801*0.20)+(O1801*0.15)+(P1801*0.15)+(Q1801*0.10)+(R1801*0.10)+(S1801*0.05),2)</f>
        <v/>
      </c>
      <c r="U1801">
        <f>IF(T1801&gt;=4.25,"Critical",IF(T1801&gt;=3.5,"High",IF(T1801&gt;=2,"Medium","Low")))</f>
        <v/>
      </c>
    </row>
    <row r="1802">
      <c r="R1802">
        <f>IFERROR(XLOOKUP(XLOOKUP(D1802,tblReleaseChanges[Change_ID],tblReleaseChanges[Oracle_Severity],""),tblSeverityMap[Severity_Text],tblSeverityMap[Score],0),0)</f>
        <v/>
      </c>
      <c r="T1802">
        <f>ROUND((M1802*0.25)+(N1802*0.20)+(O1802*0.15)+(P1802*0.15)+(Q1802*0.10)+(R1802*0.10)+(S1802*0.05),2)</f>
        <v/>
      </c>
      <c r="U1802">
        <f>IF(T1802&gt;=4.25,"Critical",IF(T1802&gt;=3.5,"High",IF(T1802&gt;=2,"Medium","Low")))</f>
        <v/>
      </c>
    </row>
    <row r="1803">
      <c r="R1803">
        <f>IFERROR(XLOOKUP(XLOOKUP(D1803,tblReleaseChanges[Change_ID],tblReleaseChanges[Oracle_Severity],""),tblSeverityMap[Severity_Text],tblSeverityMap[Score],0),0)</f>
        <v/>
      </c>
      <c r="T1803">
        <f>ROUND((M1803*0.25)+(N1803*0.20)+(O1803*0.15)+(P1803*0.15)+(Q1803*0.10)+(R1803*0.10)+(S1803*0.05),2)</f>
        <v/>
      </c>
      <c r="U1803">
        <f>IF(T1803&gt;=4.25,"Critical",IF(T1803&gt;=3.5,"High",IF(T1803&gt;=2,"Medium","Low")))</f>
        <v/>
      </c>
    </row>
    <row r="1804">
      <c r="R1804">
        <f>IFERROR(XLOOKUP(XLOOKUP(D1804,tblReleaseChanges[Change_ID],tblReleaseChanges[Oracle_Severity],""),tblSeverityMap[Severity_Text],tblSeverityMap[Score],0),0)</f>
        <v/>
      </c>
      <c r="T1804">
        <f>ROUND((M1804*0.25)+(N1804*0.20)+(O1804*0.15)+(P1804*0.15)+(Q1804*0.10)+(R1804*0.10)+(S1804*0.05),2)</f>
        <v/>
      </c>
      <c r="U1804">
        <f>IF(T1804&gt;=4.25,"Critical",IF(T1804&gt;=3.5,"High",IF(T1804&gt;=2,"Medium","Low")))</f>
        <v/>
      </c>
    </row>
    <row r="1805">
      <c r="R1805">
        <f>IFERROR(XLOOKUP(XLOOKUP(D1805,tblReleaseChanges[Change_ID],tblReleaseChanges[Oracle_Severity],""),tblSeverityMap[Severity_Text],tblSeverityMap[Score],0),0)</f>
        <v/>
      </c>
      <c r="T1805">
        <f>ROUND((M1805*0.25)+(N1805*0.20)+(O1805*0.15)+(P1805*0.15)+(Q1805*0.10)+(R1805*0.10)+(S1805*0.05),2)</f>
        <v/>
      </c>
      <c r="U1805">
        <f>IF(T1805&gt;=4.25,"Critical",IF(T1805&gt;=3.5,"High",IF(T1805&gt;=2,"Medium","Low")))</f>
        <v/>
      </c>
    </row>
    <row r="1806">
      <c r="R1806">
        <f>IFERROR(XLOOKUP(XLOOKUP(D1806,tblReleaseChanges[Change_ID],tblReleaseChanges[Oracle_Severity],""),tblSeverityMap[Severity_Text],tblSeverityMap[Score],0),0)</f>
        <v/>
      </c>
      <c r="T1806">
        <f>ROUND((M1806*0.25)+(N1806*0.20)+(O1806*0.15)+(P1806*0.15)+(Q1806*0.10)+(R1806*0.10)+(S1806*0.05),2)</f>
        <v/>
      </c>
      <c r="U1806">
        <f>IF(T1806&gt;=4.25,"Critical",IF(T1806&gt;=3.5,"High",IF(T1806&gt;=2,"Medium","Low")))</f>
        <v/>
      </c>
    </row>
    <row r="1807">
      <c r="R1807">
        <f>IFERROR(XLOOKUP(XLOOKUP(D1807,tblReleaseChanges[Change_ID],tblReleaseChanges[Oracle_Severity],""),tblSeverityMap[Severity_Text],tblSeverityMap[Score],0),0)</f>
        <v/>
      </c>
      <c r="T1807">
        <f>ROUND((M1807*0.25)+(N1807*0.20)+(O1807*0.15)+(P1807*0.15)+(Q1807*0.10)+(R1807*0.10)+(S1807*0.05),2)</f>
        <v/>
      </c>
      <c r="U1807">
        <f>IF(T1807&gt;=4.25,"Critical",IF(T1807&gt;=3.5,"High",IF(T1807&gt;=2,"Medium","Low")))</f>
        <v/>
      </c>
    </row>
    <row r="1808">
      <c r="R1808">
        <f>IFERROR(XLOOKUP(XLOOKUP(D1808,tblReleaseChanges[Change_ID],tblReleaseChanges[Oracle_Severity],""),tblSeverityMap[Severity_Text],tblSeverityMap[Score],0),0)</f>
        <v/>
      </c>
      <c r="T1808">
        <f>ROUND((M1808*0.25)+(N1808*0.20)+(O1808*0.15)+(P1808*0.15)+(Q1808*0.10)+(R1808*0.10)+(S1808*0.05),2)</f>
        <v/>
      </c>
      <c r="U1808">
        <f>IF(T1808&gt;=4.25,"Critical",IF(T1808&gt;=3.5,"High",IF(T1808&gt;=2,"Medium","Low")))</f>
        <v/>
      </c>
    </row>
    <row r="1809">
      <c r="R1809">
        <f>IFERROR(XLOOKUP(XLOOKUP(D1809,tblReleaseChanges[Change_ID],tblReleaseChanges[Oracle_Severity],""),tblSeverityMap[Severity_Text],tblSeverityMap[Score],0),0)</f>
        <v/>
      </c>
      <c r="T1809">
        <f>ROUND((M1809*0.25)+(N1809*0.20)+(O1809*0.15)+(P1809*0.15)+(Q1809*0.10)+(R1809*0.10)+(S1809*0.05),2)</f>
        <v/>
      </c>
      <c r="U1809">
        <f>IF(T1809&gt;=4.25,"Critical",IF(T1809&gt;=3.5,"High",IF(T1809&gt;=2,"Medium","Low")))</f>
        <v/>
      </c>
    </row>
    <row r="1810">
      <c r="R1810">
        <f>IFERROR(XLOOKUP(XLOOKUP(D1810,tblReleaseChanges[Change_ID],tblReleaseChanges[Oracle_Severity],""),tblSeverityMap[Severity_Text],tblSeverityMap[Score],0),0)</f>
        <v/>
      </c>
      <c r="T1810">
        <f>ROUND((M1810*0.25)+(N1810*0.20)+(O1810*0.15)+(P1810*0.15)+(Q1810*0.10)+(R1810*0.10)+(S1810*0.05),2)</f>
        <v/>
      </c>
      <c r="U1810">
        <f>IF(T1810&gt;=4.25,"Critical",IF(T1810&gt;=3.5,"High",IF(T1810&gt;=2,"Medium","Low")))</f>
        <v/>
      </c>
    </row>
    <row r="1811">
      <c r="R1811">
        <f>IFERROR(XLOOKUP(XLOOKUP(D1811,tblReleaseChanges[Change_ID],tblReleaseChanges[Oracle_Severity],""),tblSeverityMap[Severity_Text],tblSeverityMap[Score],0),0)</f>
        <v/>
      </c>
      <c r="T1811">
        <f>ROUND((M1811*0.25)+(N1811*0.20)+(O1811*0.15)+(P1811*0.15)+(Q1811*0.10)+(R1811*0.10)+(S1811*0.05),2)</f>
        <v/>
      </c>
      <c r="U1811">
        <f>IF(T1811&gt;=4.25,"Critical",IF(T1811&gt;=3.5,"High",IF(T1811&gt;=2,"Medium","Low")))</f>
        <v/>
      </c>
    </row>
    <row r="1812">
      <c r="R1812">
        <f>IFERROR(XLOOKUP(XLOOKUP(D1812,tblReleaseChanges[Change_ID],tblReleaseChanges[Oracle_Severity],""),tblSeverityMap[Severity_Text],tblSeverityMap[Score],0),0)</f>
        <v/>
      </c>
      <c r="T1812">
        <f>ROUND((M1812*0.25)+(N1812*0.20)+(O1812*0.15)+(P1812*0.15)+(Q1812*0.10)+(R1812*0.10)+(S1812*0.05),2)</f>
        <v/>
      </c>
      <c r="U1812">
        <f>IF(T1812&gt;=4.25,"Critical",IF(T1812&gt;=3.5,"High",IF(T1812&gt;=2,"Medium","Low")))</f>
        <v/>
      </c>
    </row>
    <row r="1813">
      <c r="R1813">
        <f>IFERROR(XLOOKUP(XLOOKUP(D1813,tblReleaseChanges[Change_ID],tblReleaseChanges[Oracle_Severity],""),tblSeverityMap[Severity_Text],tblSeverityMap[Score],0),0)</f>
        <v/>
      </c>
      <c r="T1813">
        <f>ROUND((M1813*0.25)+(N1813*0.20)+(O1813*0.15)+(P1813*0.15)+(Q1813*0.10)+(R1813*0.10)+(S1813*0.05),2)</f>
        <v/>
      </c>
      <c r="U1813">
        <f>IF(T1813&gt;=4.25,"Critical",IF(T1813&gt;=3.5,"High",IF(T1813&gt;=2,"Medium","Low")))</f>
        <v/>
      </c>
    </row>
    <row r="1814">
      <c r="R1814">
        <f>IFERROR(XLOOKUP(XLOOKUP(D1814,tblReleaseChanges[Change_ID],tblReleaseChanges[Oracle_Severity],""),tblSeverityMap[Severity_Text],tblSeverityMap[Score],0),0)</f>
        <v/>
      </c>
      <c r="T1814">
        <f>ROUND((M1814*0.25)+(N1814*0.20)+(O1814*0.15)+(P1814*0.15)+(Q1814*0.10)+(R1814*0.10)+(S1814*0.05),2)</f>
        <v/>
      </c>
      <c r="U1814">
        <f>IF(T1814&gt;=4.25,"Critical",IF(T1814&gt;=3.5,"High",IF(T1814&gt;=2,"Medium","Low")))</f>
        <v/>
      </c>
    </row>
    <row r="1815">
      <c r="R1815">
        <f>IFERROR(XLOOKUP(XLOOKUP(D1815,tblReleaseChanges[Change_ID],tblReleaseChanges[Oracle_Severity],""),tblSeverityMap[Severity_Text],tblSeverityMap[Score],0),0)</f>
        <v/>
      </c>
      <c r="T1815">
        <f>ROUND((M1815*0.25)+(N1815*0.20)+(O1815*0.15)+(P1815*0.15)+(Q1815*0.10)+(R1815*0.10)+(S1815*0.05),2)</f>
        <v/>
      </c>
      <c r="U1815">
        <f>IF(T1815&gt;=4.25,"Critical",IF(T1815&gt;=3.5,"High",IF(T1815&gt;=2,"Medium","Low")))</f>
        <v/>
      </c>
    </row>
    <row r="1816">
      <c r="R1816">
        <f>IFERROR(XLOOKUP(XLOOKUP(D1816,tblReleaseChanges[Change_ID],tblReleaseChanges[Oracle_Severity],""),tblSeverityMap[Severity_Text],tblSeverityMap[Score],0),0)</f>
        <v/>
      </c>
      <c r="T1816">
        <f>ROUND((M1816*0.25)+(N1816*0.20)+(O1816*0.15)+(P1816*0.15)+(Q1816*0.10)+(R1816*0.10)+(S1816*0.05),2)</f>
        <v/>
      </c>
      <c r="U1816">
        <f>IF(T1816&gt;=4.25,"Critical",IF(T1816&gt;=3.5,"High",IF(T1816&gt;=2,"Medium","Low")))</f>
        <v/>
      </c>
    </row>
    <row r="1817">
      <c r="R1817">
        <f>IFERROR(XLOOKUP(XLOOKUP(D1817,tblReleaseChanges[Change_ID],tblReleaseChanges[Oracle_Severity],""),tblSeverityMap[Severity_Text],tblSeverityMap[Score],0),0)</f>
        <v/>
      </c>
      <c r="T1817">
        <f>ROUND((M1817*0.25)+(N1817*0.20)+(O1817*0.15)+(P1817*0.15)+(Q1817*0.10)+(R1817*0.10)+(S1817*0.05),2)</f>
        <v/>
      </c>
      <c r="U1817">
        <f>IF(T1817&gt;=4.25,"Critical",IF(T1817&gt;=3.5,"High",IF(T1817&gt;=2,"Medium","Low")))</f>
        <v/>
      </c>
    </row>
    <row r="1818">
      <c r="R1818">
        <f>IFERROR(XLOOKUP(XLOOKUP(D1818,tblReleaseChanges[Change_ID],tblReleaseChanges[Oracle_Severity],""),tblSeverityMap[Severity_Text],tblSeverityMap[Score],0),0)</f>
        <v/>
      </c>
      <c r="T1818">
        <f>ROUND((M1818*0.25)+(N1818*0.20)+(O1818*0.15)+(P1818*0.15)+(Q1818*0.10)+(R1818*0.10)+(S1818*0.05),2)</f>
        <v/>
      </c>
      <c r="U1818">
        <f>IF(T1818&gt;=4.25,"Critical",IF(T1818&gt;=3.5,"High",IF(T1818&gt;=2,"Medium","Low")))</f>
        <v/>
      </c>
    </row>
    <row r="1819">
      <c r="R1819">
        <f>IFERROR(XLOOKUP(XLOOKUP(D1819,tblReleaseChanges[Change_ID],tblReleaseChanges[Oracle_Severity],""),tblSeverityMap[Severity_Text],tblSeverityMap[Score],0),0)</f>
        <v/>
      </c>
      <c r="T1819">
        <f>ROUND((M1819*0.25)+(N1819*0.20)+(O1819*0.15)+(P1819*0.15)+(Q1819*0.10)+(R1819*0.10)+(S1819*0.05),2)</f>
        <v/>
      </c>
      <c r="U1819">
        <f>IF(T1819&gt;=4.25,"Critical",IF(T1819&gt;=3.5,"High",IF(T1819&gt;=2,"Medium","Low")))</f>
        <v/>
      </c>
    </row>
    <row r="1820">
      <c r="R1820">
        <f>IFERROR(XLOOKUP(XLOOKUP(D1820,tblReleaseChanges[Change_ID],tblReleaseChanges[Oracle_Severity],""),tblSeverityMap[Severity_Text],tblSeverityMap[Score],0),0)</f>
        <v/>
      </c>
      <c r="T1820">
        <f>ROUND((M1820*0.25)+(N1820*0.20)+(O1820*0.15)+(P1820*0.15)+(Q1820*0.10)+(R1820*0.10)+(S1820*0.05),2)</f>
        <v/>
      </c>
      <c r="U1820">
        <f>IF(T1820&gt;=4.25,"Critical",IF(T1820&gt;=3.5,"High",IF(T1820&gt;=2,"Medium","Low")))</f>
        <v/>
      </c>
    </row>
    <row r="1821">
      <c r="R1821">
        <f>IFERROR(XLOOKUP(XLOOKUP(D1821,tblReleaseChanges[Change_ID],tblReleaseChanges[Oracle_Severity],""),tblSeverityMap[Severity_Text],tblSeverityMap[Score],0),0)</f>
        <v/>
      </c>
      <c r="T1821">
        <f>ROUND((M1821*0.25)+(N1821*0.20)+(O1821*0.15)+(P1821*0.15)+(Q1821*0.10)+(R1821*0.10)+(S1821*0.05),2)</f>
        <v/>
      </c>
      <c r="U1821">
        <f>IF(T1821&gt;=4.25,"Critical",IF(T1821&gt;=3.5,"High",IF(T1821&gt;=2,"Medium","Low")))</f>
        <v/>
      </c>
    </row>
    <row r="1822">
      <c r="R1822">
        <f>IFERROR(XLOOKUP(XLOOKUP(D1822,tblReleaseChanges[Change_ID],tblReleaseChanges[Oracle_Severity],""),tblSeverityMap[Severity_Text],tblSeverityMap[Score],0),0)</f>
        <v/>
      </c>
      <c r="T1822">
        <f>ROUND((M1822*0.25)+(N1822*0.20)+(O1822*0.15)+(P1822*0.15)+(Q1822*0.10)+(R1822*0.10)+(S1822*0.05),2)</f>
        <v/>
      </c>
      <c r="U1822">
        <f>IF(T1822&gt;=4.25,"Critical",IF(T1822&gt;=3.5,"High",IF(T1822&gt;=2,"Medium","Low")))</f>
        <v/>
      </c>
    </row>
    <row r="1823">
      <c r="R1823">
        <f>IFERROR(XLOOKUP(XLOOKUP(D1823,tblReleaseChanges[Change_ID],tblReleaseChanges[Oracle_Severity],""),tblSeverityMap[Severity_Text],tblSeverityMap[Score],0),0)</f>
        <v/>
      </c>
      <c r="T1823">
        <f>ROUND((M1823*0.25)+(N1823*0.20)+(O1823*0.15)+(P1823*0.15)+(Q1823*0.10)+(R1823*0.10)+(S1823*0.05),2)</f>
        <v/>
      </c>
      <c r="U1823">
        <f>IF(T1823&gt;=4.25,"Critical",IF(T1823&gt;=3.5,"High",IF(T1823&gt;=2,"Medium","Low")))</f>
        <v/>
      </c>
    </row>
    <row r="1824">
      <c r="R1824">
        <f>IFERROR(XLOOKUP(XLOOKUP(D1824,tblReleaseChanges[Change_ID],tblReleaseChanges[Oracle_Severity],""),tblSeverityMap[Severity_Text],tblSeverityMap[Score],0),0)</f>
        <v/>
      </c>
      <c r="T1824">
        <f>ROUND((M1824*0.25)+(N1824*0.20)+(O1824*0.15)+(P1824*0.15)+(Q1824*0.10)+(R1824*0.10)+(S1824*0.05),2)</f>
        <v/>
      </c>
      <c r="U1824">
        <f>IF(T1824&gt;=4.25,"Critical",IF(T1824&gt;=3.5,"High",IF(T1824&gt;=2,"Medium","Low")))</f>
        <v/>
      </c>
    </row>
    <row r="1825">
      <c r="R1825">
        <f>IFERROR(XLOOKUP(XLOOKUP(D1825,tblReleaseChanges[Change_ID],tblReleaseChanges[Oracle_Severity],""),tblSeverityMap[Severity_Text],tblSeverityMap[Score],0),0)</f>
        <v/>
      </c>
      <c r="T1825">
        <f>ROUND((M1825*0.25)+(N1825*0.20)+(O1825*0.15)+(P1825*0.15)+(Q1825*0.10)+(R1825*0.10)+(S1825*0.05),2)</f>
        <v/>
      </c>
      <c r="U1825">
        <f>IF(T1825&gt;=4.25,"Critical",IF(T1825&gt;=3.5,"High",IF(T1825&gt;=2,"Medium","Low")))</f>
        <v/>
      </c>
    </row>
    <row r="1826">
      <c r="R1826">
        <f>IFERROR(XLOOKUP(XLOOKUP(D1826,tblReleaseChanges[Change_ID],tblReleaseChanges[Oracle_Severity],""),tblSeverityMap[Severity_Text],tblSeverityMap[Score],0),0)</f>
        <v/>
      </c>
      <c r="T1826">
        <f>ROUND((M1826*0.25)+(N1826*0.20)+(O1826*0.15)+(P1826*0.15)+(Q1826*0.10)+(R1826*0.10)+(S1826*0.05),2)</f>
        <v/>
      </c>
      <c r="U1826">
        <f>IF(T1826&gt;=4.25,"Critical",IF(T1826&gt;=3.5,"High",IF(T1826&gt;=2,"Medium","Low")))</f>
        <v/>
      </c>
    </row>
    <row r="1827">
      <c r="R1827">
        <f>IFERROR(XLOOKUP(XLOOKUP(D1827,tblReleaseChanges[Change_ID],tblReleaseChanges[Oracle_Severity],""),tblSeverityMap[Severity_Text],tblSeverityMap[Score],0),0)</f>
        <v/>
      </c>
      <c r="T1827">
        <f>ROUND((M1827*0.25)+(N1827*0.20)+(O1827*0.15)+(P1827*0.15)+(Q1827*0.10)+(R1827*0.10)+(S1827*0.05),2)</f>
        <v/>
      </c>
      <c r="U1827">
        <f>IF(T1827&gt;=4.25,"Critical",IF(T1827&gt;=3.5,"High",IF(T1827&gt;=2,"Medium","Low")))</f>
        <v/>
      </c>
    </row>
    <row r="1828">
      <c r="R1828">
        <f>IFERROR(XLOOKUP(XLOOKUP(D1828,tblReleaseChanges[Change_ID],tblReleaseChanges[Oracle_Severity],""),tblSeverityMap[Severity_Text],tblSeverityMap[Score],0),0)</f>
        <v/>
      </c>
      <c r="T1828">
        <f>ROUND((M1828*0.25)+(N1828*0.20)+(O1828*0.15)+(P1828*0.15)+(Q1828*0.10)+(R1828*0.10)+(S1828*0.05),2)</f>
        <v/>
      </c>
      <c r="U1828">
        <f>IF(T1828&gt;=4.25,"Critical",IF(T1828&gt;=3.5,"High",IF(T1828&gt;=2,"Medium","Low")))</f>
        <v/>
      </c>
    </row>
    <row r="1829">
      <c r="R1829">
        <f>IFERROR(XLOOKUP(XLOOKUP(D1829,tblReleaseChanges[Change_ID],tblReleaseChanges[Oracle_Severity],""),tblSeverityMap[Severity_Text],tblSeverityMap[Score],0),0)</f>
        <v/>
      </c>
      <c r="T1829">
        <f>ROUND((M1829*0.25)+(N1829*0.20)+(O1829*0.15)+(P1829*0.15)+(Q1829*0.10)+(R1829*0.10)+(S1829*0.05),2)</f>
        <v/>
      </c>
      <c r="U1829">
        <f>IF(T1829&gt;=4.25,"Critical",IF(T1829&gt;=3.5,"High",IF(T1829&gt;=2,"Medium","Low")))</f>
        <v/>
      </c>
    </row>
    <row r="1830">
      <c r="R1830">
        <f>IFERROR(XLOOKUP(XLOOKUP(D1830,tblReleaseChanges[Change_ID],tblReleaseChanges[Oracle_Severity],""),tblSeverityMap[Severity_Text],tblSeverityMap[Score],0),0)</f>
        <v/>
      </c>
      <c r="T1830">
        <f>ROUND((M1830*0.25)+(N1830*0.20)+(O1830*0.15)+(P1830*0.15)+(Q1830*0.10)+(R1830*0.10)+(S1830*0.05),2)</f>
        <v/>
      </c>
      <c r="U1830">
        <f>IF(T1830&gt;=4.25,"Critical",IF(T1830&gt;=3.5,"High",IF(T1830&gt;=2,"Medium","Low")))</f>
        <v/>
      </c>
    </row>
    <row r="1831">
      <c r="R1831">
        <f>IFERROR(XLOOKUP(XLOOKUP(D1831,tblReleaseChanges[Change_ID],tblReleaseChanges[Oracle_Severity],""),tblSeverityMap[Severity_Text],tblSeverityMap[Score],0),0)</f>
        <v/>
      </c>
      <c r="T1831">
        <f>ROUND((M1831*0.25)+(N1831*0.20)+(O1831*0.15)+(P1831*0.15)+(Q1831*0.10)+(R1831*0.10)+(S1831*0.05),2)</f>
        <v/>
      </c>
      <c r="U1831">
        <f>IF(T1831&gt;=4.25,"Critical",IF(T1831&gt;=3.5,"High",IF(T1831&gt;=2,"Medium","Low")))</f>
        <v/>
      </c>
    </row>
    <row r="1832">
      <c r="R1832">
        <f>IFERROR(XLOOKUP(XLOOKUP(D1832,tblReleaseChanges[Change_ID],tblReleaseChanges[Oracle_Severity],""),tblSeverityMap[Severity_Text],tblSeverityMap[Score],0),0)</f>
        <v/>
      </c>
      <c r="T1832">
        <f>ROUND((M1832*0.25)+(N1832*0.20)+(O1832*0.15)+(P1832*0.15)+(Q1832*0.10)+(R1832*0.10)+(S1832*0.05),2)</f>
        <v/>
      </c>
      <c r="U1832">
        <f>IF(T1832&gt;=4.25,"Critical",IF(T1832&gt;=3.5,"High",IF(T1832&gt;=2,"Medium","Low")))</f>
        <v/>
      </c>
    </row>
    <row r="1833">
      <c r="R1833">
        <f>IFERROR(XLOOKUP(XLOOKUP(D1833,tblReleaseChanges[Change_ID],tblReleaseChanges[Oracle_Severity],""),tblSeverityMap[Severity_Text],tblSeverityMap[Score],0),0)</f>
        <v/>
      </c>
      <c r="T1833">
        <f>ROUND((M1833*0.25)+(N1833*0.20)+(O1833*0.15)+(P1833*0.15)+(Q1833*0.10)+(R1833*0.10)+(S1833*0.05),2)</f>
        <v/>
      </c>
      <c r="U1833">
        <f>IF(T1833&gt;=4.25,"Critical",IF(T1833&gt;=3.5,"High",IF(T1833&gt;=2,"Medium","Low")))</f>
        <v/>
      </c>
    </row>
    <row r="1834">
      <c r="R1834">
        <f>IFERROR(XLOOKUP(XLOOKUP(D1834,tblReleaseChanges[Change_ID],tblReleaseChanges[Oracle_Severity],""),tblSeverityMap[Severity_Text],tblSeverityMap[Score],0),0)</f>
        <v/>
      </c>
      <c r="T1834">
        <f>ROUND((M1834*0.25)+(N1834*0.20)+(O1834*0.15)+(P1834*0.15)+(Q1834*0.10)+(R1834*0.10)+(S1834*0.05),2)</f>
        <v/>
      </c>
      <c r="U1834">
        <f>IF(T1834&gt;=4.25,"Critical",IF(T1834&gt;=3.5,"High",IF(T1834&gt;=2,"Medium","Low")))</f>
        <v/>
      </c>
    </row>
    <row r="1835">
      <c r="R1835">
        <f>IFERROR(XLOOKUP(XLOOKUP(D1835,tblReleaseChanges[Change_ID],tblReleaseChanges[Oracle_Severity],""),tblSeverityMap[Severity_Text],tblSeverityMap[Score],0),0)</f>
        <v/>
      </c>
      <c r="T1835">
        <f>ROUND((M1835*0.25)+(N1835*0.20)+(O1835*0.15)+(P1835*0.15)+(Q1835*0.10)+(R1835*0.10)+(S1835*0.05),2)</f>
        <v/>
      </c>
      <c r="U1835">
        <f>IF(T1835&gt;=4.25,"Critical",IF(T1835&gt;=3.5,"High",IF(T1835&gt;=2,"Medium","Low")))</f>
        <v/>
      </c>
    </row>
    <row r="1836">
      <c r="R1836">
        <f>IFERROR(XLOOKUP(XLOOKUP(D1836,tblReleaseChanges[Change_ID],tblReleaseChanges[Oracle_Severity],""),tblSeverityMap[Severity_Text],tblSeverityMap[Score],0),0)</f>
        <v/>
      </c>
      <c r="T1836">
        <f>ROUND((M1836*0.25)+(N1836*0.20)+(O1836*0.15)+(P1836*0.15)+(Q1836*0.10)+(R1836*0.10)+(S1836*0.05),2)</f>
        <v/>
      </c>
      <c r="U1836">
        <f>IF(T1836&gt;=4.25,"Critical",IF(T1836&gt;=3.5,"High",IF(T1836&gt;=2,"Medium","Low")))</f>
        <v/>
      </c>
    </row>
    <row r="1837">
      <c r="R1837">
        <f>IFERROR(XLOOKUP(XLOOKUP(D1837,tblReleaseChanges[Change_ID],tblReleaseChanges[Oracle_Severity],""),tblSeverityMap[Severity_Text],tblSeverityMap[Score],0),0)</f>
        <v/>
      </c>
      <c r="T1837">
        <f>ROUND((M1837*0.25)+(N1837*0.20)+(O1837*0.15)+(P1837*0.15)+(Q1837*0.10)+(R1837*0.10)+(S1837*0.05),2)</f>
        <v/>
      </c>
      <c r="U1837">
        <f>IF(T1837&gt;=4.25,"Critical",IF(T1837&gt;=3.5,"High",IF(T1837&gt;=2,"Medium","Low")))</f>
        <v/>
      </c>
    </row>
    <row r="1838">
      <c r="R1838">
        <f>IFERROR(XLOOKUP(XLOOKUP(D1838,tblReleaseChanges[Change_ID],tblReleaseChanges[Oracle_Severity],""),tblSeverityMap[Severity_Text],tblSeverityMap[Score],0),0)</f>
        <v/>
      </c>
      <c r="T1838">
        <f>ROUND((M1838*0.25)+(N1838*0.20)+(O1838*0.15)+(P1838*0.15)+(Q1838*0.10)+(R1838*0.10)+(S1838*0.05),2)</f>
        <v/>
      </c>
      <c r="U1838">
        <f>IF(T1838&gt;=4.25,"Critical",IF(T1838&gt;=3.5,"High",IF(T1838&gt;=2,"Medium","Low")))</f>
        <v/>
      </c>
    </row>
    <row r="1839">
      <c r="R1839">
        <f>IFERROR(XLOOKUP(XLOOKUP(D1839,tblReleaseChanges[Change_ID],tblReleaseChanges[Oracle_Severity],""),tblSeverityMap[Severity_Text],tblSeverityMap[Score],0),0)</f>
        <v/>
      </c>
      <c r="T1839">
        <f>ROUND((M1839*0.25)+(N1839*0.20)+(O1839*0.15)+(P1839*0.15)+(Q1839*0.10)+(R1839*0.10)+(S1839*0.05),2)</f>
        <v/>
      </c>
      <c r="U1839">
        <f>IF(T1839&gt;=4.25,"Critical",IF(T1839&gt;=3.5,"High",IF(T1839&gt;=2,"Medium","Low")))</f>
        <v/>
      </c>
    </row>
    <row r="1840">
      <c r="R1840">
        <f>IFERROR(XLOOKUP(XLOOKUP(D1840,tblReleaseChanges[Change_ID],tblReleaseChanges[Oracle_Severity],""),tblSeverityMap[Severity_Text],tblSeverityMap[Score],0),0)</f>
        <v/>
      </c>
      <c r="T1840">
        <f>ROUND((M1840*0.25)+(N1840*0.20)+(O1840*0.15)+(P1840*0.15)+(Q1840*0.10)+(R1840*0.10)+(S1840*0.05),2)</f>
        <v/>
      </c>
      <c r="U1840">
        <f>IF(T1840&gt;=4.25,"Critical",IF(T1840&gt;=3.5,"High",IF(T1840&gt;=2,"Medium","Low")))</f>
        <v/>
      </c>
    </row>
    <row r="1841">
      <c r="R1841">
        <f>IFERROR(XLOOKUP(XLOOKUP(D1841,tblReleaseChanges[Change_ID],tblReleaseChanges[Oracle_Severity],""),tblSeverityMap[Severity_Text],tblSeverityMap[Score],0),0)</f>
        <v/>
      </c>
      <c r="T1841">
        <f>ROUND((M1841*0.25)+(N1841*0.20)+(O1841*0.15)+(P1841*0.15)+(Q1841*0.10)+(R1841*0.10)+(S1841*0.05),2)</f>
        <v/>
      </c>
      <c r="U1841">
        <f>IF(T1841&gt;=4.25,"Critical",IF(T1841&gt;=3.5,"High",IF(T1841&gt;=2,"Medium","Low")))</f>
        <v/>
      </c>
    </row>
    <row r="1842">
      <c r="R1842">
        <f>IFERROR(XLOOKUP(XLOOKUP(D1842,tblReleaseChanges[Change_ID],tblReleaseChanges[Oracle_Severity],""),tblSeverityMap[Severity_Text],tblSeverityMap[Score],0),0)</f>
        <v/>
      </c>
      <c r="T1842">
        <f>ROUND((M1842*0.25)+(N1842*0.20)+(O1842*0.15)+(P1842*0.15)+(Q1842*0.10)+(R1842*0.10)+(S1842*0.05),2)</f>
        <v/>
      </c>
      <c r="U1842">
        <f>IF(T1842&gt;=4.25,"Critical",IF(T1842&gt;=3.5,"High",IF(T1842&gt;=2,"Medium","Low")))</f>
        <v/>
      </c>
    </row>
    <row r="1843">
      <c r="R1843">
        <f>IFERROR(XLOOKUP(XLOOKUP(D1843,tblReleaseChanges[Change_ID],tblReleaseChanges[Oracle_Severity],""),tblSeverityMap[Severity_Text],tblSeverityMap[Score],0),0)</f>
        <v/>
      </c>
      <c r="T1843">
        <f>ROUND((M1843*0.25)+(N1843*0.20)+(O1843*0.15)+(P1843*0.15)+(Q1843*0.10)+(R1843*0.10)+(S1843*0.05),2)</f>
        <v/>
      </c>
      <c r="U1843">
        <f>IF(T1843&gt;=4.25,"Critical",IF(T1843&gt;=3.5,"High",IF(T1843&gt;=2,"Medium","Low")))</f>
        <v/>
      </c>
    </row>
    <row r="1844">
      <c r="R1844">
        <f>IFERROR(XLOOKUP(XLOOKUP(D1844,tblReleaseChanges[Change_ID],tblReleaseChanges[Oracle_Severity],""),tblSeverityMap[Severity_Text],tblSeverityMap[Score],0),0)</f>
        <v/>
      </c>
      <c r="T1844">
        <f>ROUND((M1844*0.25)+(N1844*0.20)+(O1844*0.15)+(P1844*0.15)+(Q1844*0.10)+(R1844*0.10)+(S1844*0.05),2)</f>
        <v/>
      </c>
      <c r="U1844">
        <f>IF(T1844&gt;=4.25,"Critical",IF(T1844&gt;=3.5,"High",IF(T1844&gt;=2,"Medium","Low")))</f>
        <v/>
      </c>
    </row>
    <row r="1845">
      <c r="R1845">
        <f>IFERROR(XLOOKUP(XLOOKUP(D1845,tblReleaseChanges[Change_ID],tblReleaseChanges[Oracle_Severity],""),tblSeverityMap[Severity_Text],tblSeverityMap[Score],0),0)</f>
        <v/>
      </c>
      <c r="T1845">
        <f>ROUND((M1845*0.25)+(N1845*0.20)+(O1845*0.15)+(P1845*0.15)+(Q1845*0.10)+(R1845*0.10)+(S1845*0.05),2)</f>
        <v/>
      </c>
      <c r="U1845">
        <f>IF(T1845&gt;=4.25,"Critical",IF(T1845&gt;=3.5,"High",IF(T1845&gt;=2,"Medium","Low")))</f>
        <v/>
      </c>
    </row>
    <row r="1846">
      <c r="R1846">
        <f>IFERROR(XLOOKUP(XLOOKUP(D1846,tblReleaseChanges[Change_ID],tblReleaseChanges[Oracle_Severity],""),tblSeverityMap[Severity_Text],tblSeverityMap[Score],0),0)</f>
        <v/>
      </c>
      <c r="T1846">
        <f>ROUND((M1846*0.25)+(N1846*0.20)+(O1846*0.15)+(P1846*0.15)+(Q1846*0.10)+(R1846*0.10)+(S1846*0.05),2)</f>
        <v/>
      </c>
      <c r="U1846">
        <f>IF(T1846&gt;=4.25,"Critical",IF(T1846&gt;=3.5,"High",IF(T1846&gt;=2,"Medium","Low")))</f>
        <v/>
      </c>
    </row>
    <row r="1847">
      <c r="R1847">
        <f>IFERROR(XLOOKUP(XLOOKUP(D1847,tblReleaseChanges[Change_ID],tblReleaseChanges[Oracle_Severity],""),tblSeverityMap[Severity_Text],tblSeverityMap[Score],0),0)</f>
        <v/>
      </c>
      <c r="T1847">
        <f>ROUND((M1847*0.25)+(N1847*0.20)+(O1847*0.15)+(P1847*0.15)+(Q1847*0.10)+(R1847*0.10)+(S1847*0.05),2)</f>
        <v/>
      </c>
      <c r="U1847">
        <f>IF(T1847&gt;=4.25,"Critical",IF(T1847&gt;=3.5,"High",IF(T1847&gt;=2,"Medium","Low")))</f>
        <v/>
      </c>
    </row>
    <row r="1848">
      <c r="R1848">
        <f>IFERROR(XLOOKUP(XLOOKUP(D1848,tblReleaseChanges[Change_ID],tblReleaseChanges[Oracle_Severity],""),tblSeverityMap[Severity_Text],tblSeverityMap[Score],0),0)</f>
        <v/>
      </c>
      <c r="T1848">
        <f>ROUND((M1848*0.25)+(N1848*0.20)+(O1848*0.15)+(P1848*0.15)+(Q1848*0.10)+(R1848*0.10)+(S1848*0.05),2)</f>
        <v/>
      </c>
      <c r="U1848">
        <f>IF(T1848&gt;=4.25,"Critical",IF(T1848&gt;=3.5,"High",IF(T1848&gt;=2,"Medium","Low")))</f>
        <v/>
      </c>
    </row>
    <row r="1849">
      <c r="R1849">
        <f>IFERROR(XLOOKUP(XLOOKUP(D1849,tblReleaseChanges[Change_ID],tblReleaseChanges[Oracle_Severity],""),tblSeverityMap[Severity_Text],tblSeverityMap[Score],0),0)</f>
        <v/>
      </c>
      <c r="T1849">
        <f>ROUND((M1849*0.25)+(N1849*0.20)+(O1849*0.15)+(P1849*0.15)+(Q1849*0.10)+(R1849*0.10)+(S1849*0.05),2)</f>
        <v/>
      </c>
      <c r="U1849">
        <f>IF(T1849&gt;=4.25,"Critical",IF(T1849&gt;=3.5,"High",IF(T1849&gt;=2,"Medium","Low")))</f>
        <v/>
      </c>
    </row>
    <row r="1850">
      <c r="R1850">
        <f>IFERROR(XLOOKUP(XLOOKUP(D1850,tblReleaseChanges[Change_ID],tblReleaseChanges[Oracle_Severity],""),tblSeverityMap[Severity_Text],tblSeverityMap[Score],0),0)</f>
        <v/>
      </c>
      <c r="T1850">
        <f>ROUND((M1850*0.25)+(N1850*0.20)+(O1850*0.15)+(P1850*0.15)+(Q1850*0.10)+(R1850*0.10)+(S1850*0.05),2)</f>
        <v/>
      </c>
      <c r="U1850">
        <f>IF(T1850&gt;=4.25,"Critical",IF(T1850&gt;=3.5,"High",IF(T1850&gt;=2,"Medium","Low")))</f>
        <v/>
      </c>
    </row>
    <row r="1851">
      <c r="R1851">
        <f>IFERROR(XLOOKUP(XLOOKUP(D1851,tblReleaseChanges[Change_ID],tblReleaseChanges[Oracle_Severity],""),tblSeverityMap[Severity_Text],tblSeverityMap[Score],0),0)</f>
        <v/>
      </c>
      <c r="T1851">
        <f>ROUND((M1851*0.25)+(N1851*0.20)+(O1851*0.15)+(P1851*0.15)+(Q1851*0.10)+(R1851*0.10)+(S1851*0.05),2)</f>
        <v/>
      </c>
      <c r="U1851">
        <f>IF(T1851&gt;=4.25,"Critical",IF(T1851&gt;=3.5,"High",IF(T1851&gt;=2,"Medium","Low")))</f>
        <v/>
      </c>
    </row>
    <row r="1852">
      <c r="R1852">
        <f>IFERROR(XLOOKUP(XLOOKUP(D1852,tblReleaseChanges[Change_ID],tblReleaseChanges[Oracle_Severity],""),tblSeverityMap[Severity_Text],tblSeverityMap[Score],0),0)</f>
        <v/>
      </c>
      <c r="T1852">
        <f>ROUND((M1852*0.25)+(N1852*0.20)+(O1852*0.15)+(P1852*0.15)+(Q1852*0.10)+(R1852*0.10)+(S1852*0.05),2)</f>
        <v/>
      </c>
      <c r="U1852">
        <f>IF(T1852&gt;=4.25,"Critical",IF(T1852&gt;=3.5,"High",IF(T1852&gt;=2,"Medium","Low")))</f>
        <v/>
      </c>
    </row>
    <row r="1853">
      <c r="R1853">
        <f>IFERROR(XLOOKUP(XLOOKUP(D1853,tblReleaseChanges[Change_ID],tblReleaseChanges[Oracle_Severity],""),tblSeverityMap[Severity_Text],tblSeverityMap[Score],0),0)</f>
        <v/>
      </c>
      <c r="T1853">
        <f>ROUND((M1853*0.25)+(N1853*0.20)+(O1853*0.15)+(P1853*0.15)+(Q1853*0.10)+(R1853*0.10)+(S1853*0.05),2)</f>
        <v/>
      </c>
      <c r="U1853">
        <f>IF(T1853&gt;=4.25,"Critical",IF(T1853&gt;=3.5,"High",IF(T1853&gt;=2,"Medium","Low")))</f>
        <v/>
      </c>
    </row>
    <row r="1854">
      <c r="R1854">
        <f>IFERROR(XLOOKUP(XLOOKUP(D1854,tblReleaseChanges[Change_ID],tblReleaseChanges[Oracle_Severity],""),tblSeverityMap[Severity_Text],tblSeverityMap[Score],0),0)</f>
        <v/>
      </c>
      <c r="T1854">
        <f>ROUND((M1854*0.25)+(N1854*0.20)+(O1854*0.15)+(P1854*0.15)+(Q1854*0.10)+(R1854*0.10)+(S1854*0.05),2)</f>
        <v/>
      </c>
      <c r="U1854">
        <f>IF(T1854&gt;=4.25,"Critical",IF(T1854&gt;=3.5,"High",IF(T1854&gt;=2,"Medium","Low")))</f>
        <v/>
      </c>
    </row>
    <row r="1855">
      <c r="R1855">
        <f>IFERROR(XLOOKUP(XLOOKUP(D1855,tblReleaseChanges[Change_ID],tblReleaseChanges[Oracle_Severity],""),tblSeverityMap[Severity_Text],tblSeverityMap[Score],0),0)</f>
        <v/>
      </c>
      <c r="T1855">
        <f>ROUND((M1855*0.25)+(N1855*0.20)+(O1855*0.15)+(P1855*0.15)+(Q1855*0.10)+(R1855*0.10)+(S1855*0.05),2)</f>
        <v/>
      </c>
      <c r="U1855">
        <f>IF(T1855&gt;=4.25,"Critical",IF(T1855&gt;=3.5,"High",IF(T1855&gt;=2,"Medium","Low")))</f>
        <v/>
      </c>
    </row>
    <row r="1856">
      <c r="R1856">
        <f>IFERROR(XLOOKUP(XLOOKUP(D1856,tblReleaseChanges[Change_ID],tblReleaseChanges[Oracle_Severity],""),tblSeverityMap[Severity_Text],tblSeverityMap[Score],0),0)</f>
        <v/>
      </c>
      <c r="T1856">
        <f>ROUND((M1856*0.25)+(N1856*0.20)+(O1856*0.15)+(P1856*0.15)+(Q1856*0.10)+(R1856*0.10)+(S1856*0.05),2)</f>
        <v/>
      </c>
      <c r="U1856">
        <f>IF(T1856&gt;=4.25,"Critical",IF(T1856&gt;=3.5,"High",IF(T1856&gt;=2,"Medium","Low")))</f>
        <v/>
      </c>
    </row>
    <row r="1857">
      <c r="R1857">
        <f>IFERROR(XLOOKUP(XLOOKUP(D1857,tblReleaseChanges[Change_ID],tblReleaseChanges[Oracle_Severity],""),tblSeverityMap[Severity_Text],tblSeverityMap[Score],0),0)</f>
        <v/>
      </c>
      <c r="T1857">
        <f>ROUND((M1857*0.25)+(N1857*0.20)+(O1857*0.15)+(P1857*0.15)+(Q1857*0.10)+(R1857*0.10)+(S1857*0.05),2)</f>
        <v/>
      </c>
      <c r="U1857">
        <f>IF(T1857&gt;=4.25,"Critical",IF(T1857&gt;=3.5,"High",IF(T1857&gt;=2,"Medium","Low")))</f>
        <v/>
      </c>
    </row>
    <row r="1858">
      <c r="R1858">
        <f>IFERROR(XLOOKUP(XLOOKUP(D1858,tblReleaseChanges[Change_ID],tblReleaseChanges[Oracle_Severity],""),tblSeverityMap[Severity_Text],tblSeverityMap[Score],0),0)</f>
        <v/>
      </c>
      <c r="T1858">
        <f>ROUND((M1858*0.25)+(N1858*0.20)+(O1858*0.15)+(P1858*0.15)+(Q1858*0.10)+(R1858*0.10)+(S1858*0.05),2)</f>
        <v/>
      </c>
      <c r="U1858">
        <f>IF(T1858&gt;=4.25,"Critical",IF(T1858&gt;=3.5,"High",IF(T1858&gt;=2,"Medium","Low")))</f>
        <v/>
      </c>
    </row>
    <row r="1859">
      <c r="R1859">
        <f>IFERROR(XLOOKUP(XLOOKUP(D1859,tblReleaseChanges[Change_ID],tblReleaseChanges[Oracle_Severity],""),tblSeverityMap[Severity_Text],tblSeverityMap[Score],0),0)</f>
        <v/>
      </c>
      <c r="T1859">
        <f>ROUND((M1859*0.25)+(N1859*0.20)+(O1859*0.15)+(P1859*0.15)+(Q1859*0.10)+(R1859*0.10)+(S1859*0.05),2)</f>
        <v/>
      </c>
      <c r="U1859">
        <f>IF(T1859&gt;=4.25,"Critical",IF(T1859&gt;=3.5,"High",IF(T1859&gt;=2,"Medium","Low")))</f>
        <v/>
      </c>
    </row>
    <row r="1860">
      <c r="R1860">
        <f>IFERROR(XLOOKUP(XLOOKUP(D1860,tblReleaseChanges[Change_ID],tblReleaseChanges[Oracle_Severity],""),tblSeverityMap[Severity_Text],tblSeverityMap[Score],0),0)</f>
        <v/>
      </c>
      <c r="T1860">
        <f>ROUND((M1860*0.25)+(N1860*0.20)+(O1860*0.15)+(P1860*0.15)+(Q1860*0.10)+(R1860*0.10)+(S1860*0.05),2)</f>
        <v/>
      </c>
      <c r="U1860">
        <f>IF(T1860&gt;=4.25,"Critical",IF(T1860&gt;=3.5,"High",IF(T1860&gt;=2,"Medium","Low")))</f>
        <v/>
      </c>
    </row>
    <row r="1861">
      <c r="R1861">
        <f>IFERROR(XLOOKUP(XLOOKUP(D1861,tblReleaseChanges[Change_ID],tblReleaseChanges[Oracle_Severity],""),tblSeverityMap[Severity_Text],tblSeverityMap[Score],0),0)</f>
        <v/>
      </c>
      <c r="T1861">
        <f>ROUND((M1861*0.25)+(N1861*0.20)+(O1861*0.15)+(P1861*0.15)+(Q1861*0.10)+(R1861*0.10)+(S1861*0.05),2)</f>
        <v/>
      </c>
      <c r="U1861">
        <f>IF(T1861&gt;=4.25,"Critical",IF(T1861&gt;=3.5,"High",IF(T1861&gt;=2,"Medium","Low")))</f>
        <v/>
      </c>
    </row>
    <row r="1862">
      <c r="R1862">
        <f>IFERROR(XLOOKUP(XLOOKUP(D1862,tblReleaseChanges[Change_ID],tblReleaseChanges[Oracle_Severity],""),tblSeverityMap[Severity_Text],tblSeverityMap[Score],0),0)</f>
        <v/>
      </c>
      <c r="T1862">
        <f>ROUND((M1862*0.25)+(N1862*0.20)+(O1862*0.15)+(P1862*0.15)+(Q1862*0.10)+(R1862*0.10)+(S1862*0.05),2)</f>
        <v/>
      </c>
      <c r="U1862">
        <f>IF(T1862&gt;=4.25,"Critical",IF(T1862&gt;=3.5,"High",IF(T1862&gt;=2,"Medium","Low")))</f>
        <v/>
      </c>
    </row>
    <row r="1863">
      <c r="R1863">
        <f>IFERROR(XLOOKUP(XLOOKUP(D1863,tblReleaseChanges[Change_ID],tblReleaseChanges[Oracle_Severity],""),tblSeverityMap[Severity_Text],tblSeverityMap[Score],0),0)</f>
        <v/>
      </c>
      <c r="T1863">
        <f>ROUND((M1863*0.25)+(N1863*0.20)+(O1863*0.15)+(P1863*0.15)+(Q1863*0.10)+(R1863*0.10)+(S1863*0.05),2)</f>
        <v/>
      </c>
      <c r="U1863">
        <f>IF(T1863&gt;=4.25,"Critical",IF(T1863&gt;=3.5,"High",IF(T1863&gt;=2,"Medium","Low")))</f>
        <v/>
      </c>
    </row>
    <row r="1864">
      <c r="R1864">
        <f>IFERROR(XLOOKUP(XLOOKUP(D1864,tblReleaseChanges[Change_ID],tblReleaseChanges[Oracle_Severity],""),tblSeverityMap[Severity_Text],tblSeverityMap[Score],0),0)</f>
        <v/>
      </c>
      <c r="T1864">
        <f>ROUND((M1864*0.25)+(N1864*0.20)+(O1864*0.15)+(P1864*0.15)+(Q1864*0.10)+(R1864*0.10)+(S1864*0.05),2)</f>
        <v/>
      </c>
      <c r="U1864">
        <f>IF(T1864&gt;=4.25,"Critical",IF(T1864&gt;=3.5,"High",IF(T1864&gt;=2,"Medium","Low")))</f>
        <v/>
      </c>
    </row>
    <row r="1865">
      <c r="R1865">
        <f>IFERROR(XLOOKUP(XLOOKUP(D1865,tblReleaseChanges[Change_ID],tblReleaseChanges[Oracle_Severity],""),tblSeverityMap[Severity_Text],tblSeverityMap[Score],0),0)</f>
        <v/>
      </c>
      <c r="T1865">
        <f>ROUND((M1865*0.25)+(N1865*0.20)+(O1865*0.15)+(P1865*0.15)+(Q1865*0.10)+(R1865*0.10)+(S1865*0.05),2)</f>
        <v/>
      </c>
      <c r="U1865">
        <f>IF(T1865&gt;=4.25,"Critical",IF(T1865&gt;=3.5,"High",IF(T1865&gt;=2,"Medium","Low")))</f>
        <v/>
      </c>
    </row>
    <row r="1866">
      <c r="R1866">
        <f>IFERROR(XLOOKUP(XLOOKUP(D1866,tblReleaseChanges[Change_ID],tblReleaseChanges[Oracle_Severity],""),tblSeverityMap[Severity_Text],tblSeverityMap[Score],0),0)</f>
        <v/>
      </c>
      <c r="T1866">
        <f>ROUND((M1866*0.25)+(N1866*0.20)+(O1866*0.15)+(P1866*0.15)+(Q1866*0.10)+(R1866*0.10)+(S1866*0.05),2)</f>
        <v/>
      </c>
      <c r="U1866">
        <f>IF(T1866&gt;=4.25,"Critical",IF(T1866&gt;=3.5,"High",IF(T1866&gt;=2,"Medium","Low")))</f>
        <v/>
      </c>
    </row>
    <row r="1867">
      <c r="R1867">
        <f>IFERROR(XLOOKUP(XLOOKUP(D1867,tblReleaseChanges[Change_ID],tblReleaseChanges[Oracle_Severity],""),tblSeverityMap[Severity_Text],tblSeverityMap[Score],0),0)</f>
        <v/>
      </c>
      <c r="T1867">
        <f>ROUND((M1867*0.25)+(N1867*0.20)+(O1867*0.15)+(P1867*0.15)+(Q1867*0.10)+(R1867*0.10)+(S1867*0.05),2)</f>
        <v/>
      </c>
      <c r="U1867">
        <f>IF(T1867&gt;=4.25,"Critical",IF(T1867&gt;=3.5,"High",IF(T1867&gt;=2,"Medium","Low")))</f>
        <v/>
      </c>
    </row>
    <row r="1868">
      <c r="R1868">
        <f>IFERROR(XLOOKUP(XLOOKUP(D1868,tblReleaseChanges[Change_ID],tblReleaseChanges[Oracle_Severity],""),tblSeverityMap[Severity_Text],tblSeverityMap[Score],0),0)</f>
        <v/>
      </c>
      <c r="T1868">
        <f>ROUND((M1868*0.25)+(N1868*0.20)+(O1868*0.15)+(P1868*0.15)+(Q1868*0.10)+(R1868*0.10)+(S1868*0.05),2)</f>
        <v/>
      </c>
      <c r="U1868">
        <f>IF(T1868&gt;=4.25,"Critical",IF(T1868&gt;=3.5,"High",IF(T1868&gt;=2,"Medium","Low")))</f>
        <v/>
      </c>
    </row>
    <row r="1869">
      <c r="R1869">
        <f>IFERROR(XLOOKUP(XLOOKUP(D1869,tblReleaseChanges[Change_ID],tblReleaseChanges[Oracle_Severity],""),tblSeverityMap[Severity_Text],tblSeverityMap[Score],0),0)</f>
        <v/>
      </c>
      <c r="T1869">
        <f>ROUND((M1869*0.25)+(N1869*0.20)+(O1869*0.15)+(P1869*0.15)+(Q1869*0.10)+(R1869*0.10)+(S1869*0.05),2)</f>
        <v/>
      </c>
      <c r="U1869">
        <f>IF(T1869&gt;=4.25,"Critical",IF(T1869&gt;=3.5,"High",IF(T1869&gt;=2,"Medium","Low")))</f>
        <v/>
      </c>
    </row>
    <row r="1870">
      <c r="R1870">
        <f>IFERROR(XLOOKUP(XLOOKUP(D1870,tblReleaseChanges[Change_ID],tblReleaseChanges[Oracle_Severity],""),tblSeverityMap[Severity_Text],tblSeverityMap[Score],0),0)</f>
        <v/>
      </c>
      <c r="T1870">
        <f>ROUND((M1870*0.25)+(N1870*0.20)+(O1870*0.15)+(P1870*0.15)+(Q1870*0.10)+(R1870*0.10)+(S1870*0.05),2)</f>
        <v/>
      </c>
      <c r="U1870">
        <f>IF(T1870&gt;=4.25,"Critical",IF(T1870&gt;=3.5,"High",IF(T1870&gt;=2,"Medium","Low")))</f>
        <v/>
      </c>
    </row>
    <row r="1871">
      <c r="R1871">
        <f>IFERROR(XLOOKUP(XLOOKUP(D1871,tblReleaseChanges[Change_ID],tblReleaseChanges[Oracle_Severity],""),tblSeverityMap[Severity_Text],tblSeverityMap[Score],0),0)</f>
        <v/>
      </c>
      <c r="T1871">
        <f>ROUND((M1871*0.25)+(N1871*0.20)+(O1871*0.15)+(P1871*0.15)+(Q1871*0.10)+(R1871*0.10)+(S1871*0.05),2)</f>
        <v/>
      </c>
      <c r="U1871">
        <f>IF(T1871&gt;=4.25,"Critical",IF(T1871&gt;=3.5,"High",IF(T1871&gt;=2,"Medium","Low")))</f>
        <v/>
      </c>
    </row>
    <row r="1872">
      <c r="R1872">
        <f>IFERROR(XLOOKUP(XLOOKUP(D1872,tblReleaseChanges[Change_ID],tblReleaseChanges[Oracle_Severity],""),tblSeverityMap[Severity_Text],tblSeverityMap[Score],0),0)</f>
        <v/>
      </c>
      <c r="T1872">
        <f>ROUND((M1872*0.25)+(N1872*0.20)+(O1872*0.15)+(P1872*0.15)+(Q1872*0.10)+(R1872*0.10)+(S1872*0.05),2)</f>
        <v/>
      </c>
      <c r="U1872">
        <f>IF(T1872&gt;=4.25,"Critical",IF(T1872&gt;=3.5,"High",IF(T1872&gt;=2,"Medium","Low")))</f>
        <v/>
      </c>
    </row>
    <row r="1873">
      <c r="R1873">
        <f>IFERROR(XLOOKUP(XLOOKUP(D1873,tblReleaseChanges[Change_ID],tblReleaseChanges[Oracle_Severity],""),tblSeverityMap[Severity_Text],tblSeverityMap[Score],0),0)</f>
        <v/>
      </c>
      <c r="T1873">
        <f>ROUND((M1873*0.25)+(N1873*0.20)+(O1873*0.15)+(P1873*0.15)+(Q1873*0.10)+(R1873*0.10)+(S1873*0.05),2)</f>
        <v/>
      </c>
      <c r="U1873">
        <f>IF(T1873&gt;=4.25,"Critical",IF(T1873&gt;=3.5,"High",IF(T1873&gt;=2,"Medium","Low")))</f>
        <v/>
      </c>
    </row>
    <row r="1874">
      <c r="R1874">
        <f>IFERROR(XLOOKUP(XLOOKUP(D1874,tblReleaseChanges[Change_ID],tblReleaseChanges[Oracle_Severity],""),tblSeverityMap[Severity_Text],tblSeverityMap[Score],0),0)</f>
        <v/>
      </c>
      <c r="T1874">
        <f>ROUND((M1874*0.25)+(N1874*0.20)+(O1874*0.15)+(P1874*0.15)+(Q1874*0.10)+(R1874*0.10)+(S1874*0.05),2)</f>
        <v/>
      </c>
      <c r="U1874">
        <f>IF(T1874&gt;=4.25,"Critical",IF(T1874&gt;=3.5,"High",IF(T1874&gt;=2,"Medium","Low")))</f>
        <v/>
      </c>
    </row>
    <row r="1875">
      <c r="R1875">
        <f>IFERROR(XLOOKUP(XLOOKUP(D1875,tblReleaseChanges[Change_ID],tblReleaseChanges[Oracle_Severity],""),tblSeverityMap[Severity_Text],tblSeverityMap[Score],0),0)</f>
        <v/>
      </c>
      <c r="T1875">
        <f>ROUND((M1875*0.25)+(N1875*0.20)+(O1875*0.15)+(P1875*0.15)+(Q1875*0.10)+(R1875*0.10)+(S1875*0.05),2)</f>
        <v/>
      </c>
      <c r="U1875">
        <f>IF(T1875&gt;=4.25,"Critical",IF(T1875&gt;=3.5,"High",IF(T1875&gt;=2,"Medium","Low")))</f>
        <v/>
      </c>
    </row>
    <row r="1876">
      <c r="R1876">
        <f>IFERROR(XLOOKUP(XLOOKUP(D1876,tblReleaseChanges[Change_ID],tblReleaseChanges[Oracle_Severity],""),tblSeverityMap[Severity_Text],tblSeverityMap[Score],0),0)</f>
        <v/>
      </c>
      <c r="T1876">
        <f>ROUND((M1876*0.25)+(N1876*0.20)+(O1876*0.15)+(P1876*0.15)+(Q1876*0.10)+(R1876*0.10)+(S1876*0.05),2)</f>
        <v/>
      </c>
      <c r="U1876">
        <f>IF(T1876&gt;=4.25,"Critical",IF(T1876&gt;=3.5,"High",IF(T1876&gt;=2,"Medium","Low")))</f>
        <v/>
      </c>
    </row>
    <row r="1877">
      <c r="R1877">
        <f>IFERROR(XLOOKUP(XLOOKUP(D1877,tblReleaseChanges[Change_ID],tblReleaseChanges[Oracle_Severity],""),tblSeverityMap[Severity_Text],tblSeverityMap[Score],0),0)</f>
        <v/>
      </c>
      <c r="T1877">
        <f>ROUND((M1877*0.25)+(N1877*0.20)+(O1877*0.15)+(P1877*0.15)+(Q1877*0.10)+(R1877*0.10)+(S1877*0.05),2)</f>
        <v/>
      </c>
      <c r="U1877">
        <f>IF(T1877&gt;=4.25,"Critical",IF(T1877&gt;=3.5,"High",IF(T1877&gt;=2,"Medium","Low")))</f>
        <v/>
      </c>
    </row>
    <row r="1878">
      <c r="R1878">
        <f>IFERROR(XLOOKUP(XLOOKUP(D1878,tblReleaseChanges[Change_ID],tblReleaseChanges[Oracle_Severity],""),tblSeverityMap[Severity_Text],tblSeverityMap[Score],0),0)</f>
        <v/>
      </c>
      <c r="T1878">
        <f>ROUND((M1878*0.25)+(N1878*0.20)+(O1878*0.15)+(P1878*0.15)+(Q1878*0.10)+(R1878*0.10)+(S1878*0.05),2)</f>
        <v/>
      </c>
      <c r="U1878">
        <f>IF(T1878&gt;=4.25,"Critical",IF(T1878&gt;=3.5,"High",IF(T1878&gt;=2,"Medium","Low")))</f>
        <v/>
      </c>
    </row>
    <row r="1879">
      <c r="R1879">
        <f>IFERROR(XLOOKUP(XLOOKUP(D1879,tblReleaseChanges[Change_ID],tblReleaseChanges[Oracle_Severity],""),tblSeverityMap[Severity_Text],tblSeverityMap[Score],0),0)</f>
        <v/>
      </c>
      <c r="T1879">
        <f>ROUND((M1879*0.25)+(N1879*0.20)+(O1879*0.15)+(P1879*0.15)+(Q1879*0.10)+(R1879*0.10)+(S1879*0.05),2)</f>
        <v/>
      </c>
      <c r="U1879">
        <f>IF(T1879&gt;=4.25,"Critical",IF(T1879&gt;=3.5,"High",IF(T1879&gt;=2,"Medium","Low")))</f>
        <v/>
      </c>
    </row>
    <row r="1880">
      <c r="R1880">
        <f>IFERROR(XLOOKUP(XLOOKUP(D1880,tblReleaseChanges[Change_ID],tblReleaseChanges[Oracle_Severity],""),tblSeverityMap[Severity_Text],tblSeverityMap[Score],0),0)</f>
        <v/>
      </c>
      <c r="T1880">
        <f>ROUND((M1880*0.25)+(N1880*0.20)+(O1880*0.15)+(P1880*0.15)+(Q1880*0.10)+(R1880*0.10)+(S1880*0.05),2)</f>
        <v/>
      </c>
      <c r="U1880">
        <f>IF(T1880&gt;=4.25,"Critical",IF(T1880&gt;=3.5,"High",IF(T1880&gt;=2,"Medium","Low")))</f>
        <v/>
      </c>
    </row>
    <row r="1881">
      <c r="R1881">
        <f>IFERROR(XLOOKUP(XLOOKUP(D1881,tblReleaseChanges[Change_ID],tblReleaseChanges[Oracle_Severity],""),tblSeverityMap[Severity_Text],tblSeverityMap[Score],0),0)</f>
        <v/>
      </c>
      <c r="T1881">
        <f>ROUND((M1881*0.25)+(N1881*0.20)+(O1881*0.15)+(P1881*0.15)+(Q1881*0.10)+(R1881*0.10)+(S1881*0.05),2)</f>
        <v/>
      </c>
      <c r="U1881">
        <f>IF(T1881&gt;=4.25,"Critical",IF(T1881&gt;=3.5,"High",IF(T1881&gt;=2,"Medium","Low")))</f>
        <v/>
      </c>
    </row>
    <row r="1882">
      <c r="R1882">
        <f>IFERROR(XLOOKUP(XLOOKUP(D1882,tblReleaseChanges[Change_ID],tblReleaseChanges[Oracle_Severity],""),tblSeverityMap[Severity_Text],tblSeverityMap[Score],0),0)</f>
        <v/>
      </c>
      <c r="T1882">
        <f>ROUND((M1882*0.25)+(N1882*0.20)+(O1882*0.15)+(P1882*0.15)+(Q1882*0.10)+(R1882*0.10)+(S1882*0.05),2)</f>
        <v/>
      </c>
      <c r="U1882">
        <f>IF(T1882&gt;=4.25,"Critical",IF(T1882&gt;=3.5,"High",IF(T1882&gt;=2,"Medium","Low")))</f>
        <v/>
      </c>
    </row>
    <row r="1883">
      <c r="R1883">
        <f>IFERROR(XLOOKUP(XLOOKUP(D1883,tblReleaseChanges[Change_ID],tblReleaseChanges[Oracle_Severity],""),tblSeverityMap[Severity_Text],tblSeverityMap[Score],0),0)</f>
        <v/>
      </c>
      <c r="T1883">
        <f>ROUND((M1883*0.25)+(N1883*0.20)+(O1883*0.15)+(P1883*0.15)+(Q1883*0.10)+(R1883*0.10)+(S1883*0.05),2)</f>
        <v/>
      </c>
      <c r="U1883">
        <f>IF(T1883&gt;=4.25,"Critical",IF(T1883&gt;=3.5,"High",IF(T1883&gt;=2,"Medium","Low")))</f>
        <v/>
      </c>
    </row>
    <row r="1884">
      <c r="R1884">
        <f>IFERROR(XLOOKUP(XLOOKUP(D1884,tblReleaseChanges[Change_ID],tblReleaseChanges[Oracle_Severity],""),tblSeverityMap[Severity_Text],tblSeverityMap[Score],0),0)</f>
        <v/>
      </c>
      <c r="T1884">
        <f>ROUND((M1884*0.25)+(N1884*0.20)+(O1884*0.15)+(P1884*0.15)+(Q1884*0.10)+(R1884*0.10)+(S1884*0.05),2)</f>
        <v/>
      </c>
      <c r="U1884">
        <f>IF(T1884&gt;=4.25,"Critical",IF(T1884&gt;=3.5,"High",IF(T1884&gt;=2,"Medium","Low")))</f>
        <v/>
      </c>
    </row>
    <row r="1885">
      <c r="R1885">
        <f>IFERROR(XLOOKUP(XLOOKUP(D1885,tblReleaseChanges[Change_ID],tblReleaseChanges[Oracle_Severity],""),tblSeverityMap[Severity_Text],tblSeverityMap[Score],0),0)</f>
        <v/>
      </c>
      <c r="T1885">
        <f>ROUND((M1885*0.25)+(N1885*0.20)+(O1885*0.15)+(P1885*0.15)+(Q1885*0.10)+(R1885*0.10)+(S1885*0.05),2)</f>
        <v/>
      </c>
      <c r="U1885">
        <f>IF(T1885&gt;=4.25,"Critical",IF(T1885&gt;=3.5,"High",IF(T1885&gt;=2,"Medium","Low")))</f>
        <v/>
      </c>
    </row>
    <row r="1886">
      <c r="R1886">
        <f>IFERROR(XLOOKUP(XLOOKUP(D1886,tblReleaseChanges[Change_ID],tblReleaseChanges[Oracle_Severity],""),tblSeverityMap[Severity_Text],tblSeverityMap[Score],0),0)</f>
        <v/>
      </c>
      <c r="T1886">
        <f>ROUND((M1886*0.25)+(N1886*0.20)+(O1886*0.15)+(P1886*0.15)+(Q1886*0.10)+(R1886*0.10)+(S1886*0.05),2)</f>
        <v/>
      </c>
      <c r="U1886">
        <f>IF(T1886&gt;=4.25,"Critical",IF(T1886&gt;=3.5,"High",IF(T1886&gt;=2,"Medium","Low")))</f>
        <v/>
      </c>
    </row>
    <row r="1887">
      <c r="R1887">
        <f>IFERROR(XLOOKUP(XLOOKUP(D1887,tblReleaseChanges[Change_ID],tblReleaseChanges[Oracle_Severity],""),tblSeverityMap[Severity_Text],tblSeverityMap[Score],0),0)</f>
        <v/>
      </c>
      <c r="T1887">
        <f>ROUND((M1887*0.25)+(N1887*0.20)+(O1887*0.15)+(P1887*0.15)+(Q1887*0.10)+(R1887*0.10)+(S1887*0.05),2)</f>
        <v/>
      </c>
      <c r="U1887">
        <f>IF(T1887&gt;=4.25,"Critical",IF(T1887&gt;=3.5,"High",IF(T1887&gt;=2,"Medium","Low")))</f>
        <v/>
      </c>
    </row>
    <row r="1888">
      <c r="R1888">
        <f>IFERROR(XLOOKUP(XLOOKUP(D1888,tblReleaseChanges[Change_ID],tblReleaseChanges[Oracle_Severity],""),tblSeverityMap[Severity_Text],tblSeverityMap[Score],0),0)</f>
        <v/>
      </c>
      <c r="T1888">
        <f>ROUND((M1888*0.25)+(N1888*0.20)+(O1888*0.15)+(P1888*0.15)+(Q1888*0.10)+(R1888*0.10)+(S1888*0.05),2)</f>
        <v/>
      </c>
      <c r="U1888">
        <f>IF(T1888&gt;=4.25,"Critical",IF(T1888&gt;=3.5,"High",IF(T1888&gt;=2,"Medium","Low")))</f>
        <v/>
      </c>
    </row>
    <row r="1889">
      <c r="R1889">
        <f>IFERROR(XLOOKUP(XLOOKUP(D1889,tblReleaseChanges[Change_ID],tblReleaseChanges[Oracle_Severity],""),tblSeverityMap[Severity_Text],tblSeverityMap[Score],0),0)</f>
        <v/>
      </c>
      <c r="T1889">
        <f>ROUND((M1889*0.25)+(N1889*0.20)+(O1889*0.15)+(P1889*0.15)+(Q1889*0.10)+(R1889*0.10)+(S1889*0.05),2)</f>
        <v/>
      </c>
      <c r="U1889">
        <f>IF(T1889&gt;=4.25,"Critical",IF(T1889&gt;=3.5,"High",IF(T1889&gt;=2,"Medium","Low")))</f>
        <v/>
      </c>
    </row>
    <row r="1890">
      <c r="R1890">
        <f>IFERROR(XLOOKUP(XLOOKUP(D1890,tblReleaseChanges[Change_ID],tblReleaseChanges[Oracle_Severity],""),tblSeverityMap[Severity_Text],tblSeverityMap[Score],0),0)</f>
        <v/>
      </c>
      <c r="T1890">
        <f>ROUND((M1890*0.25)+(N1890*0.20)+(O1890*0.15)+(P1890*0.15)+(Q1890*0.10)+(R1890*0.10)+(S1890*0.05),2)</f>
        <v/>
      </c>
      <c r="U1890">
        <f>IF(T1890&gt;=4.25,"Critical",IF(T1890&gt;=3.5,"High",IF(T1890&gt;=2,"Medium","Low")))</f>
        <v/>
      </c>
    </row>
    <row r="1891">
      <c r="R1891">
        <f>IFERROR(XLOOKUP(XLOOKUP(D1891,tblReleaseChanges[Change_ID],tblReleaseChanges[Oracle_Severity],""),tblSeverityMap[Severity_Text],tblSeverityMap[Score],0),0)</f>
        <v/>
      </c>
      <c r="T1891">
        <f>ROUND((M1891*0.25)+(N1891*0.20)+(O1891*0.15)+(P1891*0.15)+(Q1891*0.10)+(R1891*0.10)+(S1891*0.05),2)</f>
        <v/>
      </c>
      <c r="U1891">
        <f>IF(T1891&gt;=4.25,"Critical",IF(T1891&gt;=3.5,"High",IF(T1891&gt;=2,"Medium","Low")))</f>
        <v/>
      </c>
    </row>
    <row r="1892">
      <c r="R1892">
        <f>IFERROR(XLOOKUP(XLOOKUP(D1892,tblReleaseChanges[Change_ID],tblReleaseChanges[Oracle_Severity],""),tblSeverityMap[Severity_Text],tblSeverityMap[Score],0),0)</f>
        <v/>
      </c>
      <c r="T1892">
        <f>ROUND((M1892*0.25)+(N1892*0.20)+(O1892*0.15)+(P1892*0.15)+(Q1892*0.10)+(R1892*0.10)+(S1892*0.05),2)</f>
        <v/>
      </c>
      <c r="U1892">
        <f>IF(T1892&gt;=4.25,"Critical",IF(T1892&gt;=3.5,"High",IF(T1892&gt;=2,"Medium","Low")))</f>
        <v/>
      </c>
    </row>
    <row r="1893">
      <c r="R1893">
        <f>IFERROR(XLOOKUP(XLOOKUP(D1893,tblReleaseChanges[Change_ID],tblReleaseChanges[Oracle_Severity],""),tblSeverityMap[Severity_Text],tblSeverityMap[Score],0),0)</f>
        <v/>
      </c>
      <c r="T1893">
        <f>ROUND((M1893*0.25)+(N1893*0.20)+(O1893*0.15)+(P1893*0.15)+(Q1893*0.10)+(R1893*0.10)+(S1893*0.05),2)</f>
        <v/>
      </c>
      <c r="U1893">
        <f>IF(T1893&gt;=4.25,"Critical",IF(T1893&gt;=3.5,"High",IF(T1893&gt;=2,"Medium","Low")))</f>
        <v/>
      </c>
    </row>
    <row r="1894">
      <c r="R1894">
        <f>IFERROR(XLOOKUP(XLOOKUP(D1894,tblReleaseChanges[Change_ID],tblReleaseChanges[Oracle_Severity],""),tblSeverityMap[Severity_Text],tblSeverityMap[Score],0),0)</f>
        <v/>
      </c>
      <c r="T1894">
        <f>ROUND((M1894*0.25)+(N1894*0.20)+(O1894*0.15)+(P1894*0.15)+(Q1894*0.10)+(R1894*0.10)+(S1894*0.05),2)</f>
        <v/>
      </c>
      <c r="U1894">
        <f>IF(T1894&gt;=4.25,"Critical",IF(T1894&gt;=3.5,"High",IF(T1894&gt;=2,"Medium","Low")))</f>
        <v/>
      </c>
    </row>
    <row r="1895">
      <c r="R1895">
        <f>IFERROR(XLOOKUP(XLOOKUP(D1895,tblReleaseChanges[Change_ID],tblReleaseChanges[Oracle_Severity],""),tblSeverityMap[Severity_Text],tblSeverityMap[Score],0),0)</f>
        <v/>
      </c>
      <c r="T1895">
        <f>ROUND((M1895*0.25)+(N1895*0.20)+(O1895*0.15)+(P1895*0.15)+(Q1895*0.10)+(R1895*0.10)+(S1895*0.05),2)</f>
        <v/>
      </c>
      <c r="U1895">
        <f>IF(T1895&gt;=4.25,"Critical",IF(T1895&gt;=3.5,"High",IF(T1895&gt;=2,"Medium","Low")))</f>
        <v/>
      </c>
    </row>
    <row r="1896">
      <c r="R1896">
        <f>IFERROR(XLOOKUP(XLOOKUP(D1896,tblReleaseChanges[Change_ID],tblReleaseChanges[Oracle_Severity],""),tblSeverityMap[Severity_Text],tblSeverityMap[Score],0),0)</f>
        <v/>
      </c>
      <c r="T1896">
        <f>ROUND((M1896*0.25)+(N1896*0.20)+(O1896*0.15)+(P1896*0.15)+(Q1896*0.10)+(R1896*0.10)+(S1896*0.05),2)</f>
        <v/>
      </c>
      <c r="U1896">
        <f>IF(T1896&gt;=4.25,"Critical",IF(T1896&gt;=3.5,"High",IF(T1896&gt;=2,"Medium","Low")))</f>
        <v/>
      </c>
    </row>
    <row r="1897">
      <c r="R1897">
        <f>IFERROR(XLOOKUP(XLOOKUP(D1897,tblReleaseChanges[Change_ID],tblReleaseChanges[Oracle_Severity],""),tblSeverityMap[Severity_Text],tblSeverityMap[Score],0),0)</f>
        <v/>
      </c>
      <c r="T1897">
        <f>ROUND((M1897*0.25)+(N1897*0.20)+(O1897*0.15)+(P1897*0.15)+(Q1897*0.10)+(R1897*0.10)+(S1897*0.05),2)</f>
        <v/>
      </c>
      <c r="U1897">
        <f>IF(T1897&gt;=4.25,"Critical",IF(T1897&gt;=3.5,"High",IF(T1897&gt;=2,"Medium","Low")))</f>
        <v/>
      </c>
    </row>
    <row r="1898">
      <c r="R1898">
        <f>IFERROR(XLOOKUP(XLOOKUP(D1898,tblReleaseChanges[Change_ID],tblReleaseChanges[Oracle_Severity],""),tblSeverityMap[Severity_Text],tblSeverityMap[Score],0),0)</f>
        <v/>
      </c>
      <c r="T1898">
        <f>ROUND((M1898*0.25)+(N1898*0.20)+(O1898*0.15)+(P1898*0.15)+(Q1898*0.10)+(R1898*0.10)+(S1898*0.05),2)</f>
        <v/>
      </c>
      <c r="U1898">
        <f>IF(T1898&gt;=4.25,"Critical",IF(T1898&gt;=3.5,"High",IF(T1898&gt;=2,"Medium","Low")))</f>
        <v/>
      </c>
    </row>
    <row r="1899">
      <c r="R1899">
        <f>IFERROR(XLOOKUP(XLOOKUP(D1899,tblReleaseChanges[Change_ID],tblReleaseChanges[Oracle_Severity],""),tblSeverityMap[Severity_Text],tblSeverityMap[Score],0),0)</f>
        <v/>
      </c>
      <c r="T1899">
        <f>ROUND((M1899*0.25)+(N1899*0.20)+(O1899*0.15)+(P1899*0.15)+(Q1899*0.10)+(R1899*0.10)+(S1899*0.05),2)</f>
        <v/>
      </c>
      <c r="U1899">
        <f>IF(T1899&gt;=4.25,"Critical",IF(T1899&gt;=3.5,"High",IF(T1899&gt;=2,"Medium","Low")))</f>
        <v/>
      </c>
    </row>
    <row r="1900">
      <c r="R1900">
        <f>IFERROR(XLOOKUP(XLOOKUP(D1900,tblReleaseChanges[Change_ID],tblReleaseChanges[Oracle_Severity],""),tblSeverityMap[Severity_Text],tblSeverityMap[Score],0),0)</f>
        <v/>
      </c>
      <c r="T1900">
        <f>ROUND((M1900*0.25)+(N1900*0.20)+(O1900*0.15)+(P1900*0.15)+(Q1900*0.10)+(R1900*0.10)+(S1900*0.05),2)</f>
        <v/>
      </c>
      <c r="U1900">
        <f>IF(T1900&gt;=4.25,"Critical",IF(T1900&gt;=3.5,"High",IF(T1900&gt;=2,"Medium","Low")))</f>
        <v/>
      </c>
    </row>
    <row r="1901">
      <c r="R1901">
        <f>IFERROR(XLOOKUP(XLOOKUP(D1901,tblReleaseChanges[Change_ID],tblReleaseChanges[Oracle_Severity],""),tblSeverityMap[Severity_Text],tblSeverityMap[Score],0),0)</f>
        <v/>
      </c>
      <c r="T1901">
        <f>ROUND((M1901*0.25)+(N1901*0.20)+(O1901*0.15)+(P1901*0.15)+(Q1901*0.10)+(R1901*0.10)+(S1901*0.05),2)</f>
        <v/>
      </c>
      <c r="U1901">
        <f>IF(T1901&gt;=4.25,"Critical",IF(T1901&gt;=3.5,"High",IF(T1901&gt;=2,"Medium","Low")))</f>
        <v/>
      </c>
    </row>
    <row r="1902">
      <c r="R1902">
        <f>IFERROR(XLOOKUP(XLOOKUP(D1902,tblReleaseChanges[Change_ID],tblReleaseChanges[Oracle_Severity],""),tblSeverityMap[Severity_Text],tblSeverityMap[Score],0),0)</f>
        <v/>
      </c>
      <c r="T1902">
        <f>ROUND((M1902*0.25)+(N1902*0.20)+(O1902*0.15)+(P1902*0.15)+(Q1902*0.10)+(R1902*0.10)+(S1902*0.05),2)</f>
        <v/>
      </c>
      <c r="U1902">
        <f>IF(T1902&gt;=4.25,"Critical",IF(T1902&gt;=3.5,"High",IF(T1902&gt;=2,"Medium","Low")))</f>
        <v/>
      </c>
    </row>
    <row r="1903">
      <c r="R1903">
        <f>IFERROR(XLOOKUP(XLOOKUP(D1903,tblReleaseChanges[Change_ID],tblReleaseChanges[Oracle_Severity],""),tblSeverityMap[Severity_Text],tblSeverityMap[Score],0),0)</f>
        <v/>
      </c>
      <c r="T1903">
        <f>ROUND((M1903*0.25)+(N1903*0.20)+(O1903*0.15)+(P1903*0.15)+(Q1903*0.10)+(R1903*0.10)+(S1903*0.05),2)</f>
        <v/>
      </c>
      <c r="U1903">
        <f>IF(T1903&gt;=4.25,"Critical",IF(T1903&gt;=3.5,"High",IF(T1903&gt;=2,"Medium","Low")))</f>
        <v/>
      </c>
    </row>
    <row r="1904">
      <c r="R1904">
        <f>IFERROR(XLOOKUP(XLOOKUP(D1904,tblReleaseChanges[Change_ID],tblReleaseChanges[Oracle_Severity],""),tblSeverityMap[Severity_Text],tblSeverityMap[Score],0),0)</f>
        <v/>
      </c>
      <c r="T1904">
        <f>ROUND((M1904*0.25)+(N1904*0.20)+(O1904*0.15)+(P1904*0.15)+(Q1904*0.10)+(R1904*0.10)+(S1904*0.05),2)</f>
        <v/>
      </c>
      <c r="U1904">
        <f>IF(T1904&gt;=4.25,"Critical",IF(T1904&gt;=3.5,"High",IF(T1904&gt;=2,"Medium","Low")))</f>
        <v/>
      </c>
    </row>
    <row r="1905">
      <c r="R1905">
        <f>IFERROR(XLOOKUP(XLOOKUP(D1905,tblReleaseChanges[Change_ID],tblReleaseChanges[Oracle_Severity],""),tblSeverityMap[Severity_Text],tblSeverityMap[Score],0),0)</f>
        <v/>
      </c>
      <c r="T1905">
        <f>ROUND((M1905*0.25)+(N1905*0.20)+(O1905*0.15)+(P1905*0.15)+(Q1905*0.10)+(R1905*0.10)+(S1905*0.05),2)</f>
        <v/>
      </c>
      <c r="U1905">
        <f>IF(T1905&gt;=4.25,"Critical",IF(T1905&gt;=3.5,"High",IF(T1905&gt;=2,"Medium","Low")))</f>
        <v/>
      </c>
    </row>
    <row r="1906">
      <c r="R1906">
        <f>IFERROR(XLOOKUP(XLOOKUP(D1906,tblReleaseChanges[Change_ID],tblReleaseChanges[Oracle_Severity],""),tblSeverityMap[Severity_Text],tblSeverityMap[Score],0),0)</f>
        <v/>
      </c>
      <c r="T1906">
        <f>ROUND((M1906*0.25)+(N1906*0.20)+(O1906*0.15)+(P1906*0.15)+(Q1906*0.10)+(R1906*0.10)+(S1906*0.05),2)</f>
        <v/>
      </c>
      <c r="U1906">
        <f>IF(T1906&gt;=4.25,"Critical",IF(T1906&gt;=3.5,"High",IF(T1906&gt;=2,"Medium","Low")))</f>
        <v/>
      </c>
    </row>
    <row r="1907">
      <c r="R1907">
        <f>IFERROR(XLOOKUP(XLOOKUP(D1907,tblReleaseChanges[Change_ID],tblReleaseChanges[Oracle_Severity],""),tblSeverityMap[Severity_Text],tblSeverityMap[Score],0),0)</f>
        <v/>
      </c>
      <c r="T1907">
        <f>ROUND((M1907*0.25)+(N1907*0.20)+(O1907*0.15)+(P1907*0.15)+(Q1907*0.10)+(R1907*0.10)+(S1907*0.05),2)</f>
        <v/>
      </c>
      <c r="U1907">
        <f>IF(T1907&gt;=4.25,"Critical",IF(T1907&gt;=3.5,"High",IF(T1907&gt;=2,"Medium","Low")))</f>
        <v/>
      </c>
    </row>
    <row r="1908">
      <c r="R1908">
        <f>IFERROR(XLOOKUP(XLOOKUP(D1908,tblReleaseChanges[Change_ID],tblReleaseChanges[Oracle_Severity],""),tblSeverityMap[Severity_Text],tblSeverityMap[Score],0),0)</f>
        <v/>
      </c>
      <c r="T1908">
        <f>ROUND((M1908*0.25)+(N1908*0.20)+(O1908*0.15)+(P1908*0.15)+(Q1908*0.10)+(R1908*0.10)+(S1908*0.05),2)</f>
        <v/>
      </c>
      <c r="U1908">
        <f>IF(T1908&gt;=4.25,"Critical",IF(T1908&gt;=3.5,"High",IF(T1908&gt;=2,"Medium","Low")))</f>
        <v/>
      </c>
    </row>
    <row r="1909">
      <c r="R1909">
        <f>IFERROR(XLOOKUP(XLOOKUP(D1909,tblReleaseChanges[Change_ID],tblReleaseChanges[Oracle_Severity],""),tblSeverityMap[Severity_Text],tblSeverityMap[Score],0),0)</f>
        <v/>
      </c>
      <c r="T1909">
        <f>ROUND((M1909*0.25)+(N1909*0.20)+(O1909*0.15)+(P1909*0.15)+(Q1909*0.10)+(R1909*0.10)+(S1909*0.05),2)</f>
        <v/>
      </c>
      <c r="U1909">
        <f>IF(T1909&gt;=4.25,"Critical",IF(T1909&gt;=3.5,"High",IF(T1909&gt;=2,"Medium","Low")))</f>
        <v/>
      </c>
    </row>
    <row r="1910">
      <c r="R1910">
        <f>IFERROR(XLOOKUP(XLOOKUP(D1910,tblReleaseChanges[Change_ID],tblReleaseChanges[Oracle_Severity],""),tblSeverityMap[Severity_Text],tblSeverityMap[Score],0),0)</f>
        <v/>
      </c>
      <c r="T1910">
        <f>ROUND((M1910*0.25)+(N1910*0.20)+(O1910*0.15)+(P1910*0.15)+(Q1910*0.10)+(R1910*0.10)+(S1910*0.05),2)</f>
        <v/>
      </c>
      <c r="U1910">
        <f>IF(T1910&gt;=4.25,"Critical",IF(T1910&gt;=3.5,"High",IF(T1910&gt;=2,"Medium","Low")))</f>
        <v/>
      </c>
    </row>
    <row r="1911">
      <c r="R1911">
        <f>IFERROR(XLOOKUP(XLOOKUP(D1911,tblReleaseChanges[Change_ID],tblReleaseChanges[Oracle_Severity],""),tblSeverityMap[Severity_Text],tblSeverityMap[Score],0),0)</f>
        <v/>
      </c>
      <c r="T1911">
        <f>ROUND((M1911*0.25)+(N1911*0.20)+(O1911*0.15)+(P1911*0.15)+(Q1911*0.10)+(R1911*0.10)+(S1911*0.05),2)</f>
        <v/>
      </c>
      <c r="U1911">
        <f>IF(T1911&gt;=4.25,"Critical",IF(T1911&gt;=3.5,"High",IF(T1911&gt;=2,"Medium","Low")))</f>
        <v/>
      </c>
    </row>
    <row r="1912">
      <c r="R1912">
        <f>IFERROR(XLOOKUP(XLOOKUP(D1912,tblReleaseChanges[Change_ID],tblReleaseChanges[Oracle_Severity],""),tblSeverityMap[Severity_Text],tblSeverityMap[Score],0),0)</f>
        <v/>
      </c>
      <c r="T1912">
        <f>ROUND((M1912*0.25)+(N1912*0.20)+(O1912*0.15)+(P1912*0.15)+(Q1912*0.10)+(R1912*0.10)+(S1912*0.05),2)</f>
        <v/>
      </c>
      <c r="U1912">
        <f>IF(T1912&gt;=4.25,"Critical",IF(T1912&gt;=3.5,"High",IF(T1912&gt;=2,"Medium","Low")))</f>
        <v/>
      </c>
    </row>
    <row r="1913">
      <c r="R1913">
        <f>IFERROR(XLOOKUP(XLOOKUP(D1913,tblReleaseChanges[Change_ID],tblReleaseChanges[Oracle_Severity],""),tblSeverityMap[Severity_Text],tblSeverityMap[Score],0),0)</f>
        <v/>
      </c>
      <c r="T1913">
        <f>ROUND((M1913*0.25)+(N1913*0.20)+(O1913*0.15)+(P1913*0.15)+(Q1913*0.10)+(R1913*0.10)+(S1913*0.05),2)</f>
        <v/>
      </c>
      <c r="U1913">
        <f>IF(T1913&gt;=4.25,"Critical",IF(T1913&gt;=3.5,"High",IF(T1913&gt;=2,"Medium","Low")))</f>
        <v/>
      </c>
    </row>
    <row r="1914">
      <c r="R1914">
        <f>IFERROR(XLOOKUP(XLOOKUP(D1914,tblReleaseChanges[Change_ID],tblReleaseChanges[Oracle_Severity],""),tblSeverityMap[Severity_Text],tblSeverityMap[Score],0),0)</f>
        <v/>
      </c>
      <c r="T1914">
        <f>ROUND((M1914*0.25)+(N1914*0.20)+(O1914*0.15)+(P1914*0.15)+(Q1914*0.10)+(R1914*0.10)+(S1914*0.05),2)</f>
        <v/>
      </c>
      <c r="U1914">
        <f>IF(T1914&gt;=4.25,"Critical",IF(T1914&gt;=3.5,"High",IF(T1914&gt;=2,"Medium","Low")))</f>
        <v/>
      </c>
    </row>
    <row r="1915">
      <c r="R1915">
        <f>IFERROR(XLOOKUP(XLOOKUP(D1915,tblReleaseChanges[Change_ID],tblReleaseChanges[Oracle_Severity],""),tblSeverityMap[Severity_Text],tblSeverityMap[Score],0),0)</f>
        <v/>
      </c>
      <c r="T1915">
        <f>ROUND((M1915*0.25)+(N1915*0.20)+(O1915*0.15)+(P1915*0.15)+(Q1915*0.10)+(R1915*0.10)+(S1915*0.05),2)</f>
        <v/>
      </c>
      <c r="U1915">
        <f>IF(T1915&gt;=4.25,"Critical",IF(T1915&gt;=3.5,"High",IF(T1915&gt;=2,"Medium","Low")))</f>
        <v/>
      </c>
    </row>
    <row r="1916">
      <c r="R1916">
        <f>IFERROR(XLOOKUP(XLOOKUP(D1916,tblReleaseChanges[Change_ID],tblReleaseChanges[Oracle_Severity],""),tblSeverityMap[Severity_Text],tblSeverityMap[Score],0),0)</f>
        <v/>
      </c>
      <c r="T1916">
        <f>ROUND((M1916*0.25)+(N1916*0.20)+(O1916*0.15)+(P1916*0.15)+(Q1916*0.10)+(R1916*0.10)+(S1916*0.05),2)</f>
        <v/>
      </c>
      <c r="U1916">
        <f>IF(T1916&gt;=4.25,"Critical",IF(T1916&gt;=3.5,"High",IF(T1916&gt;=2,"Medium","Low")))</f>
        <v/>
      </c>
    </row>
    <row r="1917">
      <c r="R1917">
        <f>IFERROR(XLOOKUP(XLOOKUP(D1917,tblReleaseChanges[Change_ID],tblReleaseChanges[Oracle_Severity],""),tblSeverityMap[Severity_Text],tblSeverityMap[Score],0),0)</f>
        <v/>
      </c>
      <c r="T1917">
        <f>ROUND((M1917*0.25)+(N1917*0.20)+(O1917*0.15)+(P1917*0.15)+(Q1917*0.10)+(R1917*0.10)+(S1917*0.05),2)</f>
        <v/>
      </c>
      <c r="U1917">
        <f>IF(T1917&gt;=4.25,"Critical",IF(T1917&gt;=3.5,"High",IF(T1917&gt;=2,"Medium","Low")))</f>
        <v/>
      </c>
    </row>
    <row r="1918">
      <c r="R1918">
        <f>IFERROR(XLOOKUP(XLOOKUP(D1918,tblReleaseChanges[Change_ID],tblReleaseChanges[Oracle_Severity],""),tblSeverityMap[Severity_Text],tblSeverityMap[Score],0),0)</f>
        <v/>
      </c>
      <c r="T1918">
        <f>ROUND((M1918*0.25)+(N1918*0.20)+(O1918*0.15)+(P1918*0.15)+(Q1918*0.10)+(R1918*0.10)+(S1918*0.05),2)</f>
        <v/>
      </c>
      <c r="U1918">
        <f>IF(T1918&gt;=4.25,"Critical",IF(T1918&gt;=3.5,"High",IF(T1918&gt;=2,"Medium","Low")))</f>
        <v/>
      </c>
    </row>
    <row r="1919">
      <c r="R1919">
        <f>IFERROR(XLOOKUP(XLOOKUP(D1919,tblReleaseChanges[Change_ID],tblReleaseChanges[Oracle_Severity],""),tblSeverityMap[Severity_Text],tblSeverityMap[Score],0),0)</f>
        <v/>
      </c>
      <c r="T1919">
        <f>ROUND((M1919*0.25)+(N1919*0.20)+(O1919*0.15)+(P1919*0.15)+(Q1919*0.10)+(R1919*0.10)+(S1919*0.05),2)</f>
        <v/>
      </c>
      <c r="U1919">
        <f>IF(T1919&gt;=4.25,"Critical",IF(T1919&gt;=3.5,"High",IF(T1919&gt;=2,"Medium","Low")))</f>
        <v/>
      </c>
    </row>
    <row r="1920">
      <c r="R1920">
        <f>IFERROR(XLOOKUP(XLOOKUP(D1920,tblReleaseChanges[Change_ID],tblReleaseChanges[Oracle_Severity],""),tblSeverityMap[Severity_Text],tblSeverityMap[Score],0),0)</f>
        <v/>
      </c>
      <c r="T1920">
        <f>ROUND((M1920*0.25)+(N1920*0.20)+(O1920*0.15)+(P1920*0.15)+(Q1920*0.10)+(R1920*0.10)+(S1920*0.05),2)</f>
        <v/>
      </c>
      <c r="U1920">
        <f>IF(T1920&gt;=4.25,"Critical",IF(T1920&gt;=3.5,"High",IF(T1920&gt;=2,"Medium","Low")))</f>
        <v/>
      </c>
    </row>
    <row r="1921">
      <c r="R1921">
        <f>IFERROR(XLOOKUP(XLOOKUP(D1921,tblReleaseChanges[Change_ID],tblReleaseChanges[Oracle_Severity],""),tblSeverityMap[Severity_Text],tblSeverityMap[Score],0),0)</f>
        <v/>
      </c>
      <c r="T1921">
        <f>ROUND((M1921*0.25)+(N1921*0.20)+(O1921*0.15)+(P1921*0.15)+(Q1921*0.10)+(R1921*0.10)+(S1921*0.05),2)</f>
        <v/>
      </c>
      <c r="U1921">
        <f>IF(T1921&gt;=4.25,"Critical",IF(T1921&gt;=3.5,"High",IF(T1921&gt;=2,"Medium","Low")))</f>
        <v/>
      </c>
    </row>
    <row r="1922">
      <c r="R1922">
        <f>IFERROR(XLOOKUP(XLOOKUP(D1922,tblReleaseChanges[Change_ID],tblReleaseChanges[Oracle_Severity],""),tblSeverityMap[Severity_Text],tblSeverityMap[Score],0),0)</f>
        <v/>
      </c>
      <c r="T1922">
        <f>ROUND((M1922*0.25)+(N1922*0.20)+(O1922*0.15)+(P1922*0.15)+(Q1922*0.10)+(R1922*0.10)+(S1922*0.05),2)</f>
        <v/>
      </c>
      <c r="U1922">
        <f>IF(T1922&gt;=4.25,"Critical",IF(T1922&gt;=3.5,"High",IF(T1922&gt;=2,"Medium","Low")))</f>
        <v/>
      </c>
    </row>
    <row r="1923">
      <c r="R1923">
        <f>IFERROR(XLOOKUP(XLOOKUP(D1923,tblReleaseChanges[Change_ID],tblReleaseChanges[Oracle_Severity],""),tblSeverityMap[Severity_Text],tblSeverityMap[Score],0),0)</f>
        <v/>
      </c>
      <c r="T1923">
        <f>ROUND((M1923*0.25)+(N1923*0.20)+(O1923*0.15)+(P1923*0.15)+(Q1923*0.10)+(R1923*0.10)+(S1923*0.05),2)</f>
        <v/>
      </c>
      <c r="U1923">
        <f>IF(T1923&gt;=4.25,"Critical",IF(T1923&gt;=3.5,"High",IF(T1923&gt;=2,"Medium","Low")))</f>
        <v/>
      </c>
    </row>
    <row r="1924">
      <c r="R1924">
        <f>IFERROR(XLOOKUP(XLOOKUP(D1924,tblReleaseChanges[Change_ID],tblReleaseChanges[Oracle_Severity],""),tblSeverityMap[Severity_Text],tblSeverityMap[Score],0),0)</f>
        <v/>
      </c>
      <c r="T1924">
        <f>ROUND((M1924*0.25)+(N1924*0.20)+(O1924*0.15)+(P1924*0.15)+(Q1924*0.10)+(R1924*0.10)+(S1924*0.05),2)</f>
        <v/>
      </c>
      <c r="U1924">
        <f>IF(T1924&gt;=4.25,"Critical",IF(T1924&gt;=3.5,"High",IF(T1924&gt;=2,"Medium","Low")))</f>
        <v/>
      </c>
    </row>
    <row r="1925">
      <c r="R1925">
        <f>IFERROR(XLOOKUP(XLOOKUP(D1925,tblReleaseChanges[Change_ID],tblReleaseChanges[Oracle_Severity],""),tblSeverityMap[Severity_Text],tblSeverityMap[Score],0),0)</f>
        <v/>
      </c>
      <c r="T1925">
        <f>ROUND((M1925*0.25)+(N1925*0.20)+(O1925*0.15)+(P1925*0.15)+(Q1925*0.10)+(R1925*0.10)+(S1925*0.05),2)</f>
        <v/>
      </c>
      <c r="U1925">
        <f>IF(T1925&gt;=4.25,"Critical",IF(T1925&gt;=3.5,"High",IF(T1925&gt;=2,"Medium","Low")))</f>
        <v/>
      </c>
    </row>
    <row r="1926">
      <c r="R1926">
        <f>IFERROR(XLOOKUP(XLOOKUP(D1926,tblReleaseChanges[Change_ID],tblReleaseChanges[Oracle_Severity],""),tblSeverityMap[Severity_Text],tblSeverityMap[Score],0),0)</f>
        <v/>
      </c>
      <c r="T1926">
        <f>ROUND((M1926*0.25)+(N1926*0.20)+(O1926*0.15)+(P1926*0.15)+(Q1926*0.10)+(R1926*0.10)+(S1926*0.05),2)</f>
        <v/>
      </c>
      <c r="U1926">
        <f>IF(T1926&gt;=4.25,"Critical",IF(T1926&gt;=3.5,"High",IF(T1926&gt;=2,"Medium","Low")))</f>
        <v/>
      </c>
    </row>
    <row r="1927">
      <c r="R1927">
        <f>IFERROR(XLOOKUP(XLOOKUP(D1927,tblReleaseChanges[Change_ID],tblReleaseChanges[Oracle_Severity],""),tblSeverityMap[Severity_Text],tblSeverityMap[Score],0),0)</f>
        <v/>
      </c>
      <c r="T1927">
        <f>ROUND((M1927*0.25)+(N1927*0.20)+(O1927*0.15)+(P1927*0.15)+(Q1927*0.10)+(R1927*0.10)+(S1927*0.05),2)</f>
        <v/>
      </c>
      <c r="U1927">
        <f>IF(T1927&gt;=4.25,"Critical",IF(T1927&gt;=3.5,"High",IF(T1927&gt;=2,"Medium","Low")))</f>
        <v/>
      </c>
    </row>
    <row r="1928">
      <c r="R1928">
        <f>IFERROR(XLOOKUP(XLOOKUP(D1928,tblReleaseChanges[Change_ID],tblReleaseChanges[Oracle_Severity],""),tblSeverityMap[Severity_Text],tblSeverityMap[Score],0),0)</f>
        <v/>
      </c>
      <c r="T1928">
        <f>ROUND((M1928*0.25)+(N1928*0.20)+(O1928*0.15)+(P1928*0.15)+(Q1928*0.10)+(R1928*0.10)+(S1928*0.05),2)</f>
        <v/>
      </c>
      <c r="U1928">
        <f>IF(T1928&gt;=4.25,"Critical",IF(T1928&gt;=3.5,"High",IF(T1928&gt;=2,"Medium","Low")))</f>
        <v/>
      </c>
    </row>
    <row r="1929">
      <c r="R1929">
        <f>IFERROR(XLOOKUP(XLOOKUP(D1929,tblReleaseChanges[Change_ID],tblReleaseChanges[Oracle_Severity],""),tblSeverityMap[Severity_Text],tblSeverityMap[Score],0),0)</f>
        <v/>
      </c>
      <c r="T1929">
        <f>ROUND((M1929*0.25)+(N1929*0.20)+(O1929*0.15)+(P1929*0.15)+(Q1929*0.10)+(R1929*0.10)+(S1929*0.05),2)</f>
        <v/>
      </c>
      <c r="U1929">
        <f>IF(T1929&gt;=4.25,"Critical",IF(T1929&gt;=3.5,"High",IF(T1929&gt;=2,"Medium","Low")))</f>
        <v/>
      </c>
    </row>
    <row r="1930">
      <c r="R1930">
        <f>IFERROR(XLOOKUP(XLOOKUP(D1930,tblReleaseChanges[Change_ID],tblReleaseChanges[Oracle_Severity],""),tblSeverityMap[Severity_Text],tblSeverityMap[Score],0),0)</f>
        <v/>
      </c>
      <c r="T1930">
        <f>ROUND((M1930*0.25)+(N1930*0.20)+(O1930*0.15)+(P1930*0.15)+(Q1930*0.10)+(R1930*0.10)+(S1930*0.05),2)</f>
        <v/>
      </c>
      <c r="U1930">
        <f>IF(T1930&gt;=4.25,"Critical",IF(T1930&gt;=3.5,"High",IF(T1930&gt;=2,"Medium","Low")))</f>
        <v/>
      </c>
    </row>
    <row r="1931">
      <c r="R1931">
        <f>IFERROR(XLOOKUP(XLOOKUP(D1931,tblReleaseChanges[Change_ID],tblReleaseChanges[Oracle_Severity],""),tblSeverityMap[Severity_Text],tblSeverityMap[Score],0),0)</f>
        <v/>
      </c>
      <c r="T1931">
        <f>ROUND((M1931*0.25)+(N1931*0.20)+(O1931*0.15)+(P1931*0.15)+(Q1931*0.10)+(R1931*0.10)+(S1931*0.05),2)</f>
        <v/>
      </c>
      <c r="U1931">
        <f>IF(T1931&gt;=4.25,"Critical",IF(T1931&gt;=3.5,"High",IF(T1931&gt;=2,"Medium","Low")))</f>
        <v/>
      </c>
    </row>
    <row r="1932">
      <c r="R1932">
        <f>IFERROR(XLOOKUP(XLOOKUP(D1932,tblReleaseChanges[Change_ID],tblReleaseChanges[Oracle_Severity],""),tblSeverityMap[Severity_Text],tblSeverityMap[Score],0),0)</f>
        <v/>
      </c>
      <c r="T1932">
        <f>ROUND((M1932*0.25)+(N1932*0.20)+(O1932*0.15)+(P1932*0.15)+(Q1932*0.10)+(R1932*0.10)+(S1932*0.05),2)</f>
        <v/>
      </c>
      <c r="U1932">
        <f>IF(T1932&gt;=4.25,"Critical",IF(T1932&gt;=3.5,"High",IF(T1932&gt;=2,"Medium","Low")))</f>
        <v/>
      </c>
    </row>
    <row r="1933">
      <c r="R1933">
        <f>IFERROR(XLOOKUP(XLOOKUP(D1933,tblReleaseChanges[Change_ID],tblReleaseChanges[Oracle_Severity],""),tblSeverityMap[Severity_Text],tblSeverityMap[Score],0),0)</f>
        <v/>
      </c>
      <c r="T1933">
        <f>ROUND((M1933*0.25)+(N1933*0.20)+(O1933*0.15)+(P1933*0.15)+(Q1933*0.10)+(R1933*0.10)+(S1933*0.05),2)</f>
        <v/>
      </c>
      <c r="U1933">
        <f>IF(T1933&gt;=4.25,"Critical",IF(T1933&gt;=3.5,"High",IF(T1933&gt;=2,"Medium","Low")))</f>
        <v/>
      </c>
    </row>
    <row r="1934">
      <c r="R1934">
        <f>IFERROR(XLOOKUP(XLOOKUP(D1934,tblReleaseChanges[Change_ID],tblReleaseChanges[Oracle_Severity],""),tblSeverityMap[Severity_Text],tblSeverityMap[Score],0),0)</f>
        <v/>
      </c>
      <c r="T1934">
        <f>ROUND((M1934*0.25)+(N1934*0.20)+(O1934*0.15)+(P1934*0.15)+(Q1934*0.10)+(R1934*0.10)+(S1934*0.05),2)</f>
        <v/>
      </c>
      <c r="U1934">
        <f>IF(T1934&gt;=4.25,"Critical",IF(T1934&gt;=3.5,"High",IF(T1934&gt;=2,"Medium","Low")))</f>
        <v/>
      </c>
    </row>
    <row r="1935">
      <c r="R1935">
        <f>IFERROR(XLOOKUP(XLOOKUP(D1935,tblReleaseChanges[Change_ID],tblReleaseChanges[Oracle_Severity],""),tblSeverityMap[Severity_Text],tblSeverityMap[Score],0),0)</f>
        <v/>
      </c>
      <c r="T1935">
        <f>ROUND((M1935*0.25)+(N1935*0.20)+(O1935*0.15)+(P1935*0.15)+(Q1935*0.10)+(R1935*0.10)+(S1935*0.05),2)</f>
        <v/>
      </c>
      <c r="U1935">
        <f>IF(T1935&gt;=4.25,"Critical",IF(T1935&gt;=3.5,"High",IF(T1935&gt;=2,"Medium","Low")))</f>
        <v/>
      </c>
    </row>
    <row r="1936">
      <c r="R1936">
        <f>IFERROR(XLOOKUP(XLOOKUP(D1936,tblReleaseChanges[Change_ID],tblReleaseChanges[Oracle_Severity],""),tblSeverityMap[Severity_Text],tblSeverityMap[Score],0),0)</f>
        <v/>
      </c>
      <c r="T1936">
        <f>ROUND((M1936*0.25)+(N1936*0.20)+(O1936*0.15)+(P1936*0.15)+(Q1936*0.10)+(R1936*0.10)+(S1936*0.05),2)</f>
        <v/>
      </c>
      <c r="U1936">
        <f>IF(T1936&gt;=4.25,"Critical",IF(T1936&gt;=3.5,"High",IF(T1936&gt;=2,"Medium","Low")))</f>
        <v/>
      </c>
    </row>
    <row r="1937">
      <c r="R1937">
        <f>IFERROR(XLOOKUP(XLOOKUP(D1937,tblReleaseChanges[Change_ID],tblReleaseChanges[Oracle_Severity],""),tblSeverityMap[Severity_Text],tblSeverityMap[Score],0),0)</f>
        <v/>
      </c>
      <c r="T1937">
        <f>ROUND((M1937*0.25)+(N1937*0.20)+(O1937*0.15)+(P1937*0.15)+(Q1937*0.10)+(R1937*0.10)+(S1937*0.05),2)</f>
        <v/>
      </c>
      <c r="U1937">
        <f>IF(T1937&gt;=4.25,"Critical",IF(T1937&gt;=3.5,"High",IF(T1937&gt;=2,"Medium","Low")))</f>
        <v/>
      </c>
    </row>
    <row r="1938">
      <c r="R1938">
        <f>IFERROR(XLOOKUP(XLOOKUP(D1938,tblReleaseChanges[Change_ID],tblReleaseChanges[Oracle_Severity],""),tblSeverityMap[Severity_Text],tblSeverityMap[Score],0),0)</f>
        <v/>
      </c>
      <c r="T1938">
        <f>ROUND((M1938*0.25)+(N1938*0.20)+(O1938*0.15)+(P1938*0.15)+(Q1938*0.10)+(R1938*0.10)+(S1938*0.05),2)</f>
        <v/>
      </c>
      <c r="U1938">
        <f>IF(T1938&gt;=4.25,"Critical",IF(T1938&gt;=3.5,"High",IF(T1938&gt;=2,"Medium","Low")))</f>
        <v/>
      </c>
    </row>
    <row r="1939">
      <c r="R1939">
        <f>IFERROR(XLOOKUP(XLOOKUP(D1939,tblReleaseChanges[Change_ID],tblReleaseChanges[Oracle_Severity],""),tblSeverityMap[Severity_Text],tblSeverityMap[Score],0),0)</f>
        <v/>
      </c>
      <c r="T1939">
        <f>ROUND((M1939*0.25)+(N1939*0.20)+(O1939*0.15)+(P1939*0.15)+(Q1939*0.10)+(R1939*0.10)+(S1939*0.05),2)</f>
        <v/>
      </c>
      <c r="U1939">
        <f>IF(T1939&gt;=4.25,"Critical",IF(T1939&gt;=3.5,"High",IF(T1939&gt;=2,"Medium","Low")))</f>
        <v/>
      </c>
    </row>
    <row r="1940">
      <c r="R1940">
        <f>IFERROR(XLOOKUP(XLOOKUP(D1940,tblReleaseChanges[Change_ID],tblReleaseChanges[Oracle_Severity],""),tblSeverityMap[Severity_Text],tblSeverityMap[Score],0),0)</f>
        <v/>
      </c>
      <c r="T1940">
        <f>ROUND((M1940*0.25)+(N1940*0.20)+(O1940*0.15)+(P1940*0.15)+(Q1940*0.10)+(R1940*0.10)+(S1940*0.05),2)</f>
        <v/>
      </c>
      <c r="U1940">
        <f>IF(T1940&gt;=4.25,"Critical",IF(T1940&gt;=3.5,"High",IF(T1940&gt;=2,"Medium","Low")))</f>
        <v/>
      </c>
    </row>
    <row r="1941">
      <c r="R1941">
        <f>IFERROR(XLOOKUP(XLOOKUP(D1941,tblReleaseChanges[Change_ID],tblReleaseChanges[Oracle_Severity],""),tblSeverityMap[Severity_Text],tblSeverityMap[Score],0),0)</f>
        <v/>
      </c>
      <c r="T1941">
        <f>ROUND((M1941*0.25)+(N1941*0.20)+(O1941*0.15)+(P1941*0.15)+(Q1941*0.10)+(R1941*0.10)+(S1941*0.05),2)</f>
        <v/>
      </c>
      <c r="U1941">
        <f>IF(T1941&gt;=4.25,"Critical",IF(T1941&gt;=3.5,"High",IF(T1941&gt;=2,"Medium","Low")))</f>
        <v/>
      </c>
    </row>
    <row r="1942">
      <c r="R1942">
        <f>IFERROR(XLOOKUP(XLOOKUP(D1942,tblReleaseChanges[Change_ID],tblReleaseChanges[Oracle_Severity],""),tblSeverityMap[Severity_Text],tblSeverityMap[Score],0),0)</f>
        <v/>
      </c>
      <c r="T1942">
        <f>ROUND((M1942*0.25)+(N1942*0.20)+(O1942*0.15)+(P1942*0.15)+(Q1942*0.10)+(R1942*0.10)+(S1942*0.05),2)</f>
        <v/>
      </c>
      <c r="U1942">
        <f>IF(T1942&gt;=4.25,"Critical",IF(T1942&gt;=3.5,"High",IF(T1942&gt;=2,"Medium","Low")))</f>
        <v/>
      </c>
    </row>
    <row r="1943">
      <c r="R1943">
        <f>IFERROR(XLOOKUP(XLOOKUP(D1943,tblReleaseChanges[Change_ID],tblReleaseChanges[Oracle_Severity],""),tblSeverityMap[Severity_Text],tblSeverityMap[Score],0),0)</f>
        <v/>
      </c>
      <c r="T1943">
        <f>ROUND((M1943*0.25)+(N1943*0.20)+(O1943*0.15)+(P1943*0.15)+(Q1943*0.10)+(R1943*0.10)+(S1943*0.05),2)</f>
        <v/>
      </c>
      <c r="U1943">
        <f>IF(T1943&gt;=4.25,"Critical",IF(T1943&gt;=3.5,"High",IF(T1943&gt;=2,"Medium","Low")))</f>
        <v/>
      </c>
    </row>
    <row r="1944">
      <c r="R1944">
        <f>IFERROR(XLOOKUP(XLOOKUP(D1944,tblReleaseChanges[Change_ID],tblReleaseChanges[Oracle_Severity],""),tblSeverityMap[Severity_Text],tblSeverityMap[Score],0),0)</f>
        <v/>
      </c>
      <c r="T1944">
        <f>ROUND((M1944*0.25)+(N1944*0.20)+(O1944*0.15)+(P1944*0.15)+(Q1944*0.10)+(R1944*0.10)+(S1944*0.05),2)</f>
        <v/>
      </c>
      <c r="U1944">
        <f>IF(T1944&gt;=4.25,"Critical",IF(T1944&gt;=3.5,"High",IF(T1944&gt;=2,"Medium","Low")))</f>
        <v/>
      </c>
    </row>
    <row r="1945">
      <c r="R1945">
        <f>IFERROR(XLOOKUP(XLOOKUP(D1945,tblReleaseChanges[Change_ID],tblReleaseChanges[Oracle_Severity],""),tblSeverityMap[Severity_Text],tblSeverityMap[Score],0),0)</f>
        <v/>
      </c>
      <c r="T1945">
        <f>ROUND((M1945*0.25)+(N1945*0.20)+(O1945*0.15)+(P1945*0.15)+(Q1945*0.10)+(R1945*0.10)+(S1945*0.05),2)</f>
        <v/>
      </c>
      <c r="U1945">
        <f>IF(T1945&gt;=4.25,"Critical",IF(T1945&gt;=3.5,"High",IF(T1945&gt;=2,"Medium","Low")))</f>
        <v/>
      </c>
    </row>
    <row r="1946">
      <c r="R1946">
        <f>IFERROR(XLOOKUP(XLOOKUP(D1946,tblReleaseChanges[Change_ID],tblReleaseChanges[Oracle_Severity],""),tblSeverityMap[Severity_Text],tblSeverityMap[Score],0),0)</f>
        <v/>
      </c>
      <c r="T1946">
        <f>ROUND((M1946*0.25)+(N1946*0.20)+(O1946*0.15)+(P1946*0.15)+(Q1946*0.10)+(R1946*0.10)+(S1946*0.05),2)</f>
        <v/>
      </c>
      <c r="U1946">
        <f>IF(T1946&gt;=4.25,"Critical",IF(T1946&gt;=3.5,"High",IF(T1946&gt;=2,"Medium","Low")))</f>
        <v/>
      </c>
    </row>
    <row r="1947">
      <c r="R1947">
        <f>IFERROR(XLOOKUP(XLOOKUP(D1947,tblReleaseChanges[Change_ID],tblReleaseChanges[Oracle_Severity],""),tblSeverityMap[Severity_Text],tblSeverityMap[Score],0),0)</f>
        <v/>
      </c>
      <c r="T1947">
        <f>ROUND((M1947*0.25)+(N1947*0.20)+(O1947*0.15)+(P1947*0.15)+(Q1947*0.10)+(R1947*0.10)+(S1947*0.05),2)</f>
        <v/>
      </c>
      <c r="U1947">
        <f>IF(T1947&gt;=4.25,"Critical",IF(T1947&gt;=3.5,"High",IF(T1947&gt;=2,"Medium","Low")))</f>
        <v/>
      </c>
    </row>
    <row r="1948">
      <c r="R1948">
        <f>IFERROR(XLOOKUP(XLOOKUP(D1948,tblReleaseChanges[Change_ID],tblReleaseChanges[Oracle_Severity],""),tblSeverityMap[Severity_Text],tblSeverityMap[Score],0),0)</f>
        <v/>
      </c>
      <c r="T1948">
        <f>ROUND((M1948*0.25)+(N1948*0.20)+(O1948*0.15)+(P1948*0.15)+(Q1948*0.10)+(R1948*0.10)+(S1948*0.05),2)</f>
        <v/>
      </c>
      <c r="U1948">
        <f>IF(T1948&gt;=4.25,"Critical",IF(T1948&gt;=3.5,"High",IF(T1948&gt;=2,"Medium","Low")))</f>
        <v/>
      </c>
    </row>
    <row r="1949">
      <c r="R1949">
        <f>IFERROR(XLOOKUP(XLOOKUP(D1949,tblReleaseChanges[Change_ID],tblReleaseChanges[Oracle_Severity],""),tblSeverityMap[Severity_Text],tblSeverityMap[Score],0),0)</f>
        <v/>
      </c>
      <c r="T1949">
        <f>ROUND((M1949*0.25)+(N1949*0.20)+(O1949*0.15)+(P1949*0.15)+(Q1949*0.10)+(R1949*0.10)+(S1949*0.05),2)</f>
        <v/>
      </c>
      <c r="U1949">
        <f>IF(T1949&gt;=4.25,"Critical",IF(T1949&gt;=3.5,"High",IF(T1949&gt;=2,"Medium","Low")))</f>
        <v/>
      </c>
    </row>
    <row r="1950">
      <c r="R1950">
        <f>IFERROR(XLOOKUP(XLOOKUP(D1950,tblReleaseChanges[Change_ID],tblReleaseChanges[Oracle_Severity],""),tblSeverityMap[Severity_Text],tblSeverityMap[Score],0),0)</f>
        <v/>
      </c>
      <c r="T1950">
        <f>ROUND((M1950*0.25)+(N1950*0.20)+(O1950*0.15)+(P1950*0.15)+(Q1950*0.10)+(R1950*0.10)+(S1950*0.05),2)</f>
        <v/>
      </c>
      <c r="U1950">
        <f>IF(T1950&gt;=4.25,"Critical",IF(T1950&gt;=3.5,"High",IF(T1950&gt;=2,"Medium","Low")))</f>
        <v/>
      </c>
    </row>
    <row r="1951">
      <c r="R1951">
        <f>IFERROR(XLOOKUP(XLOOKUP(D1951,tblReleaseChanges[Change_ID],tblReleaseChanges[Oracle_Severity],""),tblSeverityMap[Severity_Text],tblSeverityMap[Score],0),0)</f>
        <v/>
      </c>
      <c r="T1951">
        <f>ROUND((M1951*0.25)+(N1951*0.20)+(O1951*0.15)+(P1951*0.15)+(Q1951*0.10)+(R1951*0.10)+(S1951*0.05),2)</f>
        <v/>
      </c>
      <c r="U1951">
        <f>IF(T1951&gt;=4.25,"Critical",IF(T1951&gt;=3.5,"High",IF(T1951&gt;=2,"Medium","Low")))</f>
        <v/>
      </c>
    </row>
    <row r="1952">
      <c r="R1952">
        <f>IFERROR(XLOOKUP(XLOOKUP(D1952,tblReleaseChanges[Change_ID],tblReleaseChanges[Oracle_Severity],""),tblSeverityMap[Severity_Text],tblSeverityMap[Score],0),0)</f>
        <v/>
      </c>
      <c r="T1952">
        <f>ROUND((M1952*0.25)+(N1952*0.20)+(O1952*0.15)+(P1952*0.15)+(Q1952*0.10)+(R1952*0.10)+(S1952*0.05),2)</f>
        <v/>
      </c>
      <c r="U1952">
        <f>IF(T1952&gt;=4.25,"Critical",IF(T1952&gt;=3.5,"High",IF(T1952&gt;=2,"Medium","Low")))</f>
        <v/>
      </c>
    </row>
    <row r="1953">
      <c r="R1953">
        <f>IFERROR(XLOOKUP(XLOOKUP(D1953,tblReleaseChanges[Change_ID],tblReleaseChanges[Oracle_Severity],""),tblSeverityMap[Severity_Text],tblSeverityMap[Score],0),0)</f>
        <v/>
      </c>
      <c r="T1953">
        <f>ROUND((M1953*0.25)+(N1953*0.20)+(O1953*0.15)+(P1953*0.15)+(Q1953*0.10)+(R1953*0.10)+(S1953*0.05),2)</f>
        <v/>
      </c>
      <c r="U1953">
        <f>IF(T1953&gt;=4.25,"Critical",IF(T1953&gt;=3.5,"High",IF(T1953&gt;=2,"Medium","Low")))</f>
        <v/>
      </c>
    </row>
    <row r="1954">
      <c r="R1954">
        <f>IFERROR(XLOOKUP(XLOOKUP(D1954,tblReleaseChanges[Change_ID],tblReleaseChanges[Oracle_Severity],""),tblSeverityMap[Severity_Text],tblSeverityMap[Score],0),0)</f>
        <v/>
      </c>
      <c r="T1954">
        <f>ROUND((M1954*0.25)+(N1954*0.20)+(O1954*0.15)+(P1954*0.15)+(Q1954*0.10)+(R1954*0.10)+(S1954*0.05),2)</f>
        <v/>
      </c>
      <c r="U1954">
        <f>IF(T1954&gt;=4.25,"Critical",IF(T1954&gt;=3.5,"High",IF(T1954&gt;=2,"Medium","Low")))</f>
        <v/>
      </c>
    </row>
    <row r="1955">
      <c r="R1955">
        <f>IFERROR(XLOOKUP(XLOOKUP(D1955,tblReleaseChanges[Change_ID],tblReleaseChanges[Oracle_Severity],""),tblSeverityMap[Severity_Text],tblSeverityMap[Score],0),0)</f>
        <v/>
      </c>
      <c r="T1955">
        <f>ROUND((M1955*0.25)+(N1955*0.20)+(O1955*0.15)+(P1955*0.15)+(Q1955*0.10)+(R1955*0.10)+(S1955*0.05),2)</f>
        <v/>
      </c>
      <c r="U1955">
        <f>IF(T1955&gt;=4.25,"Critical",IF(T1955&gt;=3.5,"High",IF(T1955&gt;=2,"Medium","Low")))</f>
        <v/>
      </c>
    </row>
    <row r="1956">
      <c r="R1956">
        <f>IFERROR(XLOOKUP(XLOOKUP(D1956,tblReleaseChanges[Change_ID],tblReleaseChanges[Oracle_Severity],""),tblSeverityMap[Severity_Text],tblSeverityMap[Score],0),0)</f>
        <v/>
      </c>
      <c r="T1956">
        <f>ROUND((M1956*0.25)+(N1956*0.20)+(O1956*0.15)+(P1956*0.15)+(Q1956*0.10)+(R1956*0.10)+(S1956*0.05),2)</f>
        <v/>
      </c>
      <c r="U1956">
        <f>IF(T1956&gt;=4.25,"Critical",IF(T1956&gt;=3.5,"High",IF(T1956&gt;=2,"Medium","Low")))</f>
        <v/>
      </c>
    </row>
    <row r="1957">
      <c r="R1957">
        <f>IFERROR(XLOOKUP(XLOOKUP(D1957,tblReleaseChanges[Change_ID],tblReleaseChanges[Oracle_Severity],""),tblSeverityMap[Severity_Text],tblSeverityMap[Score],0),0)</f>
        <v/>
      </c>
      <c r="T1957">
        <f>ROUND((M1957*0.25)+(N1957*0.20)+(O1957*0.15)+(P1957*0.15)+(Q1957*0.10)+(R1957*0.10)+(S1957*0.05),2)</f>
        <v/>
      </c>
      <c r="U1957">
        <f>IF(T1957&gt;=4.25,"Critical",IF(T1957&gt;=3.5,"High",IF(T1957&gt;=2,"Medium","Low")))</f>
        <v/>
      </c>
    </row>
    <row r="1958">
      <c r="R1958">
        <f>IFERROR(XLOOKUP(XLOOKUP(D1958,tblReleaseChanges[Change_ID],tblReleaseChanges[Oracle_Severity],""),tblSeverityMap[Severity_Text],tblSeverityMap[Score],0),0)</f>
        <v/>
      </c>
      <c r="T1958">
        <f>ROUND((M1958*0.25)+(N1958*0.20)+(O1958*0.15)+(P1958*0.15)+(Q1958*0.10)+(R1958*0.10)+(S1958*0.05),2)</f>
        <v/>
      </c>
      <c r="U1958">
        <f>IF(T1958&gt;=4.25,"Critical",IF(T1958&gt;=3.5,"High",IF(T1958&gt;=2,"Medium","Low")))</f>
        <v/>
      </c>
    </row>
    <row r="1959">
      <c r="R1959">
        <f>IFERROR(XLOOKUP(XLOOKUP(D1959,tblReleaseChanges[Change_ID],tblReleaseChanges[Oracle_Severity],""),tblSeverityMap[Severity_Text],tblSeverityMap[Score],0),0)</f>
        <v/>
      </c>
      <c r="T1959">
        <f>ROUND((M1959*0.25)+(N1959*0.20)+(O1959*0.15)+(P1959*0.15)+(Q1959*0.10)+(R1959*0.10)+(S1959*0.05),2)</f>
        <v/>
      </c>
      <c r="U1959">
        <f>IF(T1959&gt;=4.25,"Critical",IF(T1959&gt;=3.5,"High",IF(T1959&gt;=2,"Medium","Low")))</f>
        <v/>
      </c>
    </row>
    <row r="1960">
      <c r="R1960">
        <f>IFERROR(XLOOKUP(XLOOKUP(D1960,tblReleaseChanges[Change_ID],tblReleaseChanges[Oracle_Severity],""),tblSeverityMap[Severity_Text],tblSeverityMap[Score],0),0)</f>
        <v/>
      </c>
      <c r="T1960">
        <f>ROUND((M1960*0.25)+(N1960*0.20)+(O1960*0.15)+(P1960*0.15)+(Q1960*0.10)+(R1960*0.10)+(S1960*0.05),2)</f>
        <v/>
      </c>
      <c r="U1960">
        <f>IF(T1960&gt;=4.25,"Critical",IF(T1960&gt;=3.5,"High",IF(T1960&gt;=2,"Medium","Low")))</f>
        <v/>
      </c>
    </row>
    <row r="1961">
      <c r="R1961">
        <f>IFERROR(XLOOKUP(XLOOKUP(D1961,tblReleaseChanges[Change_ID],tblReleaseChanges[Oracle_Severity],""),tblSeverityMap[Severity_Text],tblSeverityMap[Score],0),0)</f>
        <v/>
      </c>
      <c r="T1961">
        <f>ROUND((M1961*0.25)+(N1961*0.20)+(O1961*0.15)+(P1961*0.15)+(Q1961*0.10)+(R1961*0.10)+(S1961*0.05),2)</f>
        <v/>
      </c>
      <c r="U1961">
        <f>IF(T1961&gt;=4.25,"Critical",IF(T1961&gt;=3.5,"High",IF(T1961&gt;=2,"Medium","Low")))</f>
        <v/>
      </c>
    </row>
    <row r="1962">
      <c r="R1962">
        <f>IFERROR(XLOOKUP(XLOOKUP(D1962,tblReleaseChanges[Change_ID],tblReleaseChanges[Oracle_Severity],""),tblSeverityMap[Severity_Text],tblSeverityMap[Score],0),0)</f>
        <v/>
      </c>
      <c r="T1962">
        <f>ROUND((M1962*0.25)+(N1962*0.20)+(O1962*0.15)+(P1962*0.15)+(Q1962*0.10)+(R1962*0.10)+(S1962*0.05),2)</f>
        <v/>
      </c>
      <c r="U1962">
        <f>IF(T1962&gt;=4.25,"Critical",IF(T1962&gt;=3.5,"High",IF(T1962&gt;=2,"Medium","Low")))</f>
        <v/>
      </c>
    </row>
    <row r="1963">
      <c r="R1963">
        <f>IFERROR(XLOOKUP(XLOOKUP(D1963,tblReleaseChanges[Change_ID],tblReleaseChanges[Oracle_Severity],""),tblSeverityMap[Severity_Text],tblSeverityMap[Score],0),0)</f>
        <v/>
      </c>
      <c r="T1963">
        <f>ROUND((M1963*0.25)+(N1963*0.20)+(O1963*0.15)+(P1963*0.15)+(Q1963*0.10)+(R1963*0.10)+(S1963*0.05),2)</f>
        <v/>
      </c>
      <c r="U1963">
        <f>IF(T1963&gt;=4.25,"Critical",IF(T1963&gt;=3.5,"High",IF(T1963&gt;=2,"Medium","Low")))</f>
        <v/>
      </c>
    </row>
    <row r="1964">
      <c r="R1964">
        <f>IFERROR(XLOOKUP(XLOOKUP(D1964,tblReleaseChanges[Change_ID],tblReleaseChanges[Oracle_Severity],""),tblSeverityMap[Severity_Text],tblSeverityMap[Score],0),0)</f>
        <v/>
      </c>
      <c r="T1964">
        <f>ROUND((M1964*0.25)+(N1964*0.20)+(O1964*0.15)+(P1964*0.15)+(Q1964*0.10)+(R1964*0.10)+(S1964*0.05),2)</f>
        <v/>
      </c>
      <c r="U1964">
        <f>IF(T1964&gt;=4.25,"Critical",IF(T1964&gt;=3.5,"High",IF(T1964&gt;=2,"Medium","Low")))</f>
        <v/>
      </c>
    </row>
    <row r="1965">
      <c r="R1965">
        <f>IFERROR(XLOOKUP(XLOOKUP(D1965,tblReleaseChanges[Change_ID],tblReleaseChanges[Oracle_Severity],""),tblSeverityMap[Severity_Text],tblSeverityMap[Score],0),0)</f>
        <v/>
      </c>
      <c r="T1965">
        <f>ROUND((M1965*0.25)+(N1965*0.20)+(O1965*0.15)+(P1965*0.15)+(Q1965*0.10)+(R1965*0.10)+(S1965*0.05),2)</f>
        <v/>
      </c>
      <c r="U1965">
        <f>IF(T1965&gt;=4.25,"Critical",IF(T1965&gt;=3.5,"High",IF(T1965&gt;=2,"Medium","Low")))</f>
        <v/>
      </c>
    </row>
    <row r="1966">
      <c r="R1966">
        <f>IFERROR(XLOOKUP(XLOOKUP(D1966,tblReleaseChanges[Change_ID],tblReleaseChanges[Oracle_Severity],""),tblSeverityMap[Severity_Text],tblSeverityMap[Score],0),0)</f>
        <v/>
      </c>
      <c r="T1966">
        <f>ROUND((M1966*0.25)+(N1966*0.20)+(O1966*0.15)+(P1966*0.15)+(Q1966*0.10)+(R1966*0.10)+(S1966*0.05),2)</f>
        <v/>
      </c>
      <c r="U1966">
        <f>IF(T1966&gt;=4.25,"Critical",IF(T1966&gt;=3.5,"High",IF(T1966&gt;=2,"Medium","Low")))</f>
        <v/>
      </c>
    </row>
    <row r="1967">
      <c r="R1967">
        <f>IFERROR(XLOOKUP(XLOOKUP(D1967,tblReleaseChanges[Change_ID],tblReleaseChanges[Oracle_Severity],""),tblSeverityMap[Severity_Text],tblSeverityMap[Score],0),0)</f>
        <v/>
      </c>
      <c r="T1967">
        <f>ROUND((M1967*0.25)+(N1967*0.20)+(O1967*0.15)+(P1967*0.15)+(Q1967*0.10)+(R1967*0.10)+(S1967*0.05),2)</f>
        <v/>
      </c>
      <c r="U1967">
        <f>IF(T1967&gt;=4.25,"Critical",IF(T1967&gt;=3.5,"High",IF(T1967&gt;=2,"Medium","Low")))</f>
        <v/>
      </c>
    </row>
    <row r="1968">
      <c r="R1968">
        <f>IFERROR(XLOOKUP(XLOOKUP(D1968,tblReleaseChanges[Change_ID],tblReleaseChanges[Oracle_Severity],""),tblSeverityMap[Severity_Text],tblSeverityMap[Score],0),0)</f>
        <v/>
      </c>
      <c r="T1968">
        <f>ROUND((M1968*0.25)+(N1968*0.20)+(O1968*0.15)+(P1968*0.15)+(Q1968*0.10)+(R1968*0.10)+(S1968*0.05),2)</f>
        <v/>
      </c>
      <c r="U1968">
        <f>IF(T1968&gt;=4.25,"Critical",IF(T1968&gt;=3.5,"High",IF(T1968&gt;=2,"Medium","Low")))</f>
        <v/>
      </c>
    </row>
    <row r="1969">
      <c r="R1969">
        <f>IFERROR(XLOOKUP(XLOOKUP(D1969,tblReleaseChanges[Change_ID],tblReleaseChanges[Oracle_Severity],""),tblSeverityMap[Severity_Text],tblSeverityMap[Score],0),0)</f>
        <v/>
      </c>
      <c r="T1969">
        <f>ROUND((M1969*0.25)+(N1969*0.20)+(O1969*0.15)+(P1969*0.15)+(Q1969*0.10)+(R1969*0.10)+(S1969*0.05),2)</f>
        <v/>
      </c>
      <c r="U1969">
        <f>IF(T1969&gt;=4.25,"Critical",IF(T1969&gt;=3.5,"High",IF(T1969&gt;=2,"Medium","Low")))</f>
        <v/>
      </c>
    </row>
    <row r="1970">
      <c r="R1970">
        <f>IFERROR(XLOOKUP(XLOOKUP(D1970,tblReleaseChanges[Change_ID],tblReleaseChanges[Oracle_Severity],""),tblSeverityMap[Severity_Text],tblSeverityMap[Score],0),0)</f>
        <v/>
      </c>
      <c r="T1970">
        <f>ROUND((M1970*0.25)+(N1970*0.20)+(O1970*0.15)+(P1970*0.15)+(Q1970*0.10)+(R1970*0.10)+(S1970*0.05),2)</f>
        <v/>
      </c>
      <c r="U1970">
        <f>IF(T1970&gt;=4.25,"Critical",IF(T1970&gt;=3.5,"High",IF(T1970&gt;=2,"Medium","Low")))</f>
        <v/>
      </c>
    </row>
    <row r="1971">
      <c r="R1971">
        <f>IFERROR(XLOOKUP(XLOOKUP(D1971,tblReleaseChanges[Change_ID],tblReleaseChanges[Oracle_Severity],""),tblSeverityMap[Severity_Text],tblSeverityMap[Score],0),0)</f>
        <v/>
      </c>
      <c r="T1971">
        <f>ROUND((M1971*0.25)+(N1971*0.20)+(O1971*0.15)+(P1971*0.15)+(Q1971*0.10)+(R1971*0.10)+(S1971*0.05),2)</f>
        <v/>
      </c>
      <c r="U1971">
        <f>IF(T1971&gt;=4.25,"Critical",IF(T1971&gt;=3.5,"High",IF(T1971&gt;=2,"Medium","Low")))</f>
        <v/>
      </c>
    </row>
    <row r="1972">
      <c r="R1972">
        <f>IFERROR(XLOOKUP(XLOOKUP(D1972,tblReleaseChanges[Change_ID],tblReleaseChanges[Oracle_Severity],""),tblSeverityMap[Severity_Text],tblSeverityMap[Score],0),0)</f>
        <v/>
      </c>
      <c r="T1972">
        <f>ROUND((M1972*0.25)+(N1972*0.20)+(O1972*0.15)+(P1972*0.15)+(Q1972*0.10)+(R1972*0.10)+(S1972*0.05),2)</f>
        <v/>
      </c>
      <c r="U1972">
        <f>IF(T1972&gt;=4.25,"Critical",IF(T1972&gt;=3.5,"High",IF(T1972&gt;=2,"Medium","Low")))</f>
        <v/>
      </c>
    </row>
    <row r="1973">
      <c r="R1973">
        <f>IFERROR(XLOOKUP(XLOOKUP(D1973,tblReleaseChanges[Change_ID],tblReleaseChanges[Oracle_Severity],""),tblSeverityMap[Severity_Text],tblSeverityMap[Score],0),0)</f>
        <v/>
      </c>
      <c r="T1973">
        <f>ROUND((M1973*0.25)+(N1973*0.20)+(O1973*0.15)+(P1973*0.15)+(Q1973*0.10)+(R1973*0.10)+(S1973*0.05),2)</f>
        <v/>
      </c>
      <c r="U1973">
        <f>IF(T1973&gt;=4.25,"Critical",IF(T1973&gt;=3.5,"High",IF(T1973&gt;=2,"Medium","Low")))</f>
        <v/>
      </c>
    </row>
    <row r="1974">
      <c r="R1974">
        <f>IFERROR(XLOOKUP(XLOOKUP(D1974,tblReleaseChanges[Change_ID],tblReleaseChanges[Oracle_Severity],""),tblSeverityMap[Severity_Text],tblSeverityMap[Score],0),0)</f>
        <v/>
      </c>
      <c r="T1974">
        <f>ROUND((M1974*0.25)+(N1974*0.20)+(O1974*0.15)+(P1974*0.15)+(Q1974*0.10)+(R1974*0.10)+(S1974*0.05),2)</f>
        <v/>
      </c>
      <c r="U1974">
        <f>IF(T1974&gt;=4.25,"Critical",IF(T1974&gt;=3.5,"High",IF(T1974&gt;=2,"Medium","Low")))</f>
        <v/>
      </c>
    </row>
    <row r="1975">
      <c r="R1975">
        <f>IFERROR(XLOOKUP(XLOOKUP(D1975,tblReleaseChanges[Change_ID],tblReleaseChanges[Oracle_Severity],""),tblSeverityMap[Severity_Text],tblSeverityMap[Score],0),0)</f>
        <v/>
      </c>
      <c r="T1975">
        <f>ROUND((M1975*0.25)+(N1975*0.20)+(O1975*0.15)+(P1975*0.15)+(Q1975*0.10)+(R1975*0.10)+(S1975*0.05),2)</f>
        <v/>
      </c>
      <c r="U1975">
        <f>IF(T1975&gt;=4.25,"Critical",IF(T1975&gt;=3.5,"High",IF(T1975&gt;=2,"Medium","Low")))</f>
        <v/>
      </c>
    </row>
    <row r="1976">
      <c r="R1976">
        <f>IFERROR(XLOOKUP(XLOOKUP(D1976,tblReleaseChanges[Change_ID],tblReleaseChanges[Oracle_Severity],""),tblSeverityMap[Severity_Text],tblSeverityMap[Score],0),0)</f>
        <v/>
      </c>
      <c r="T1976">
        <f>ROUND((M1976*0.25)+(N1976*0.20)+(O1976*0.15)+(P1976*0.15)+(Q1976*0.10)+(R1976*0.10)+(S1976*0.05),2)</f>
        <v/>
      </c>
      <c r="U1976">
        <f>IF(T1976&gt;=4.25,"Critical",IF(T1976&gt;=3.5,"High",IF(T1976&gt;=2,"Medium","Low")))</f>
        <v/>
      </c>
    </row>
    <row r="1977">
      <c r="R1977">
        <f>IFERROR(XLOOKUP(XLOOKUP(D1977,tblReleaseChanges[Change_ID],tblReleaseChanges[Oracle_Severity],""),tblSeverityMap[Severity_Text],tblSeverityMap[Score],0),0)</f>
        <v/>
      </c>
      <c r="T1977">
        <f>ROUND((M1977*0.25)+(N1977*0.20)+(O1977*0.15)+(P1977*0.15)+(Q1977*0.10)+(R1977*0.10)+(S1977*0.05),2)</f>
        <v/>
      </c>
      <c r="U1977">
        <f>IF(T1977&gt;=4.25,"Critical",IF(T1977&gt;=3.5,"High",IF(T1977&gt;=2,"Medium","Low")))</f>
        <v/>
      </c>
    </row>
    <row r="1978">
      <c r="R1978">
        <f>IFERROR(XLOOKUP(XLOOKUP(D1978,tblReleaseChanges[Change_ID],tblReleaseChanges[Oracle_Severity],""),tblSeverityMap[Severity_Text],tblSeverityMap[Score],0),0)</f>
        <v/>
      </c>
      <c r="T1978">
        <f>ROUND((M1978*0.25)+(N1978*0.20)+(O1978*0.15)+(P1978*0.15)+(Q1978*0.10)+(R1978*0.10)+(S1978*0.05),2)</f>
        <v/>
      </c>
      <c r="U1978">
        <f>IF(T1978&gt;=4.25,"Critical",IF(T1978&gt;=3.5,"High",IF(T1978&gt;=2,"Medium","Low")))</f>
        <v/>
      </c>
    </row>
    <row r="1979">
      <c r="R1979">
        <f>IFERROR(XLOOKUP(XLOOKUP(D1979,tblReleaseChanges[Change_ID],tblReleaseChanges[Oracle_Severity],""),tblSeverityMap[Severity_Text],tblSeverityMap[Score],0),0)</f>
        <v/>
      </c>
      <c r="T1979">
        <f>ROUND((M1979*0.25)+(N1979*0.20)+(O1979*0.15)+(P1979*0.15)+(Q1979*0.10)+(R1979*0.10)+(S1979*0.05),2)</f>
        <v/>
      </c>
      <c r="U1979">
        <f>IF(T1979&gt;=4.25,"Critical",IF(T1979&gt;=3.5,"High",IF(T1979&gt;=2,"Medium","Low")))</f>
        <v/>
      </c>
    </row>
    <row r="1980">
      <c r="R1980">
        <f>IFERROR(XLOOKUP(XLOOKUP(D1980,tblReleaseChanges[Change_ID],tblReleaseChanges[Oracle_Severity],""),tblSeverityMap[Severity_Text],tblSeverityMap[Score],0),0)</f>
        <v/>
      </c>
      <c r="T1980">
        <f>ROUND((M1980*0.25)+(N1980*0.20)+(O1980*0.15)+(P1980*0.15)+(Q1980*0.10)+(R1980*0.10)+(S1980*0.05),2)</f>
        <v/>
      </c>
      <c r="U1980">
        <f>IF(T1980&gt;=4.25,"Critical",IF(T1980&gt;=3.5,"High",IF(T1980&gt;=2,"Medium","Low")))</f>
        <v/>
      </c>
    </row>
    <row r="1981">
      <c r="R1981">
        <f>IFERROR(XLOOKUP(XLOOKUP(D1981,tblReleaseChanges[Change_ID],tblReleaseChanges[Oracle_Severity],""),tblSeverityMap[Severity_Text],tblSeverityMap[Score],0),0)</f>
        <v/>
      </c>
      <c r="T1981">
        <f>ROUND((M1981*0.25)+(N1981*0.20)+(O1981*0.15)+(P1981*0.15)+(Q1981*0.10)+(R1981*0.10)+(S1981*0.05),2)</f>
        <v/>
      </c>
      <c r="U1981">
        <f>IF(T1981&gt;=4.25,"Critical",IF(T1981&gt;=3.5,"High",IF(T1981&gt;=2,"Medium","Low")))</f>
        <v/>
      </c>
    </row>
    <row r="1982">
      <c r="R1982">
        <f>IFERROR(XLOOKUP(XLOOKUP(D1982,tblReleaseChanges[Change_ID],tblReleaseChanges[Oracle_Severity],""),tblSeverityMap[Severity_Text],tblSeverityMap[Score],0),0)</f>
        <v/>
      </c>
      <c r="T1982">
        <f>ROUND((M1982*0.25)+(N1982*0.20)+(O1982*0.15)+(P1982*0.15)+(Q1982*0.10)+(R1982*0.10)+(S1982*0.05),2)</f>
        <v/>
      </c>
      <c r="U1982">
        <f>IF(T1982&gt;=4.25,"Critical",IF(T1982&gt;=3.5,"High",IF(T1982&gt;=2,"Medium","Low")))</f>
        <v/>
      </c>
    </row>
    <row r="1983">
      <c r="R1983">
        <f>IFERROR(XLOOKUP(XLOOKUP(D1983,tblReleaseChanges[Change_ID],tblReleaseChanges[Oracle_Severity],""),tblSeverityMap[Severity_Text],tblSeverityMap[Score],0),0)</f>
        <v/>
      </c>
      <c r="T1983">
        <f>ROUND((M1983*0.25)+(N1983*0.20)+(O1983*0.15)+(P1983*0.15)+(Q1983*0.10)+(R1983*0.10)+(S1983*0.05),2)</f>
        <v/>
      </c>
      <c r="U1983">
        <f>IF(T1983&gt;=4.25,"Critical",IF(T1983&gt;=3.5,"High",IF(T1983&gt;=2,"Medium","Low")))</f>
        <v/>
      </c>
    </row>
    <row r="1984">
      <c r="R1984">
        <f>IFERROR(XLOOKUP(XLOOKUP(D1984,tblReleaseChanges[Change_ID],tblReleaseChanges[Oracle_Severity],""),tblSeverityMap[Severity_Text],tblSeverityMap[Score],0),0)</f>
        <v/>
      </c>
      <c r="T1984">
        <f>ROUND((M1984*0.25)+(N1984*0.20)+(O1984*0.15)+(P1984*0.15)+(Q1984*0.10)+(R1984*0.10)+(S1984*0.05),2)</f>
        <v/>
      </c>
      <c r="U1984">
        <f>IF(T1984&gt;=4.25,"Critical",IF(T1984&gt;=3.5,"High",IF(T1984&gt;=2,"Medium","Low")))</f>
        <v/>
      </c>
    </row>
    <row r="1985">
      <c r="R1985">
        <f>IFERROR(XLOOKUP(XLOOKUP(D1985,tblReleaseChanges[Change_ID],tblReleaseChanges[Oracle_Severity],""),tblSeverityMap[Severity_Text],tblSeverityMap[Score],0),0)</f>
        <v/>
      </c>
      <c r="T1985">
        <f>ROUND((M1985*0.25)+(N1985*0.20)+(O1985*0.15)+(P1985*0.15)+(Q1985*0.10)+(R1985*0.10)+(S1985*0.05),2)</f>
        <v/>
      </c>
      <c r="U1985">
        <f>IF(T1985&gt;=4.25,"Critical",IF(T1985&gt;=3.5,"High",IF(T1985&gt;=2,"Medium","Low")))</f>
        <v/>
      </c>
    </row>
    <row r="1986">
      <c r="R1986">
        <f>IFERROR(XLOOKUP(XLOOKUP(D1986,tblReleaseChanges[Change_ID],tblReleaseChanges[Oracle_Severity],""),tblSeverityMap[Severity_Text],tblSeverityMap[Score],0),0)</f>
        <v/>
      </c>
      <c r="T1986">
        <f>ROUND((M1986*0.25)+(N1986*0.20)+(O1986*0.15)+(P1986*0.15)+(Q1986*0.10)+(R1986*0.10)+(S1986*0.05),2)</f>
        <v/>
      </c>
      <c r="U1986">
        <f>IF(T1986&gt;=4.25,"Critical",IF(T1986&gt;=3.5,"High",IF(T1986&gt;=2,"Medium","Low")))</f>
        <v/>
      </c>
    </row>
    <row r="1987">
      <c r="R1987">
        <f>IFERROR(XLOOKUP(XLOOKUP(D1987,tblReleaseChanges[Change_ID],tblReleaseChanges[Oracle_Severity],""),tblSeverityMap[Severity_Text],tblSeverityMap[Score],0),0)</f>
        <v/>
      </c>
      <c r="T1987">
        <f>ROUND((M1987*0.25)+(N1987*0.20)+(O1987*0.15)+(P1987*0.15)+(Q1987*0.10)+(R1987*0.10)+(S1987*0.05),2)</f>
        <v/>
      </c>
      <c r="U1987">
        <f>IF(T1987&gt;=4.25,"Critical",IF(T1987&gt;=3.5,"High",IF(T1987&gt;=2,"Medium","Low")))</f>
        <v/>
      </c>
    </row>
    <row r="1988">
      <c r="R1988">
        <f>IFERROR(XLOOKUP(XLOOKUP(D1988,tblReleaseChanges[Change_ID],tblReleaseChanges[Oracle_Severity],""),tblSeverityMap[Severity_Text],tblSeverityMap[Score],0),0)</f>
        <v/>
      </c>
      <c r="T1988">
        <f>ROUND((M1988*0.25)+(N1988*0.20)+(O1988*0.15)+(P1988*0.15)+(Q1988*0.10)+(R1988*0.10)+(S1988*0.05),2)</f>
        <v/>
      </c>
      <c r="U1988">
        <f>IF(T1988&gt;=4.25,"Critical",IF(T1988&gt;=3.5,"High",IF(T1988&gt;=2,"Medium","Low")))</f>
        <v/>
      </c>
    </row>
    <row r="1989">
      <c r="R1989">
        <f>IFERROR(XLOOKUP(XLOOKUP(D1989,tblReleaseChanges[Change_ID],tblReleaseChanges[Oracle_Severity],""),tblSeverityMap[Severity_Text],tblSeverityMap[Score],0),0)</f>
        <v/>
      </c>
      <c r="T1989">
        <f>ROUND((M1989*0.25)+(N1989*0.20)+(O1989*0.15)+(P1989*0.15)+(Q1989*0.10)+(R1989*0.10)+(S1989*0.05),2)</f>
        <v/>
      </c>
      <c r="U1989">
        <f>IF(T1989&gt;=4.25,"Critical",IF(T1989&gt;=3.5,"High",IF(T1989&gt;=2,"Medium","Low")))</f>
        <v/>
      </c>
    </row>
    <row r="1990">
      <c r="R1990">
        <f>IFERROR(XLOOKUP(XLOOKUP(D1990,tblReleaseChanges[Change_ID],tblReleaseChanges[Oracle_Severity],""),tblSeverityMap[Severity_Text],tblSeverityMap[Score],0),0)</f>
        <v/>
      </c>
      <c r="T1990">
        <f>ROUND((M1990*0.25)+(N1990*0.20)+(O1990*0.15)+(P1990*0.15)+(Q1990*0.10)+(R1990*0.10)+(S1990*0.05),2)</f>
        <v/>
      </c>
      <c r="U1990">
        <f>IF(T1990&gt;=4.25,"Critical",IF(T1990&gt;=3.5,"High",IF(T1990&gt;=2,"Medium","Low")))</f>
        <v/>
      </c>
    </row>
    <row r="1991">
      <c r="R1991">
        <f>IFERROR(XLOOKUP(XLOOKUP(D1991,tblReleaseChanges[Change_ID],tblReleaseChanges[Oracle_Severity],""),tblSeverityMap[Severity_Text],tblSeverityMap[Score],0),0)</f>
        <v/>
      </c>
      <c r="T1991">
        <f>ROUND((M1991*0.25)+(N1991*0.20)+(O1991*0.15)+(P1991*0.15)+(Q1991*0.10)+(R1991*0.10)+(S1991*0.05),2)</f>
        <v/>
      </c>
      <c r="U1991">
        <f>IF(T1991&gt;=4.25,"Critical",IF(T1991&gt;=3.5,"High",IF(T1991&gt;=2,"Medium","Low")))</f>
        <v/>
      </c>
    </row>
    <row r="1992">
      <c r="R1992">
        <f>IFERROR(XLOOKUP(XLOOKUP(D1992,tblReleaseChanges[Change_ID],tblReleaseChanges[Oracle_Severity],""),tblSeverityMap[Severity_Text],tblSeverityMap[Score],0),0)</f>
        <v/>
      </c>
      <c r="T1992">
        <f>ROUND((M1992*0.25)+(N1992*0.20)+(O1992*0.15)+(P1992*0.15)+(Q1992*0.10)+(R1992*0.10)+(S1992*0.05),2)</f>
        <v/>
      </c>
      <c r="U1992">
        <f>IF(T1992&gt;=4.25,"Critical",IF(T1992&gt;=3.5,"High",IF(T1992&gt;=2,"Medium","Low")))</f>
        <v/>
      </c>
    </row>
    <row r="1993">
      <c r="R1993">
        <f>IFERROR(XLOOKUP(XLOOKUP(D1993,tblReleaseChanges[Change_ID],tblReleaseChanges[Oracle_Severity],""),tblSeverityMap[Severity_Text],tblSeverityMap[Score],0),0)</f>
        <v/>
      </c>
      <c r="T1993">
        <f>ROUND((M1993*0.25)+(N1993*0.20)+(O1993*0.15)+(P1993*0.15)+(Q1993*0.10)+(R1993*0.10)+(S1993*0.05),2)</f>
        <v/>
      </c>
      <c r="U1993">
        <f>IF(T1993&gt;=4.25,"Critical",IF(T1993&gt;=3.5,"High",IF(T1993&gt;=2,"Medium","Low")))</f>
        <v/>
      </c>
    </row>
    <row r="1994">
      <c r="R1994">
        <f>IFERROR(XLOOKUP(XLOOKUP(D1994,tblReleaseChanges[Change_ID],tblReleaseChanges[Oracle_Severity],""),tblSeverityMap[Severity_Text],tblSeverityMap[Score],0),0)</f>
        <v/>
      </c>
      <c r="T1994">
        <f>ROUND((M1994*0.25)+(N1994*0.20)+(O1994*0.15)+(P1994*0.15)+(Q1994*0.10)+(R1994*0.10)+(S1994*0.05),2)</f>
        <v/>
      </c>
      <c r="U1994">
        <f>IF(T1994&gt;=4.25,"Critical",IF(T1994&gt;=3.5,"High",IF(T1994&gt;=2,"Medium","Low")))</f>
        <v/>
      </c>
    </row>
    <row r="1995">
      <c r="R1995">
        <f>IFERROR(XLOOKUP(XLOOKUP(D1995,tblReleaseChanges[Change_ID],tblReleaseChanges[Oracle_Severity],""),tblSeverityMap[Severity_Text],tblSeverityMap[Score],0),0)</f>
        <v/>
      </c>
      <c r="T1995">
        <f>ROUND((M1995*0.25)+(N1995*0.20)+(O1995*0.15)+(P1995*0.15)+(Q1995*0.10)+(R1995*0.10)+(S1995*0.05),2)</f>
        <v/>
      </c>
      <c r="U1995">
        <f>IF(T1995&gt;=4.25,"Critical",IF(T1995&gt;=3.5,"High",IF(T1995&gt;=2,"Medium","Low")))</f>
        <v/>
      </c>
    </row>
    <row r="1996">
      <c r="R1996">
        <f>IFERROR(XLOOKUP(XLOOKUP(D1996,tblReleaseChanges[Change_ID],tblReleaseChanges[Oracle_Severity],""),tblSeverityMap[Severity_Text],tblSeverityMap[Score],0),0)</f>
        <v/>
      </c>
      <c r="T1996">
        <f>ROUND((M1996*0.25)+(N1996*0.20)+(O1996*0.15)+(P1996*0.15)+(Q1996*0.10)+(R1996*0.10)+(S1996*0.05),2)</f>
        <v/>
      </c>
      <c r="U1996">
        <f>IF(T1996&gt;=4.25,"Critical",IF(T1996&gt;=3.5,"High",IF(T1996&gt;=2,"Medium","Low")))</f>
        <v/>
      </c>
    </row>
    <row r="1997">
      <c r="R1997">
        <f>IFERROR(XLOOKUP(XLOOKUP(D1997,tblReleaseChanges[Change_ID],tblReleaseChanges[Oracle_Severity],""),tblSeverityMap[Severity_Text],tblSeverityMap[Score],0),0)</f>
        <v/>
      </c>
      <c r="T1997">
        <f>ROUND((M1997*0.25)+(N1997*0.20)+(O1997*0.15)+(P1997*0.15)+(Q1997*0.10)+(R1997*0.10)+(S1997*0.05),2)</f>
        <v/>
      </c>
      <c r="U1997">
        <f>IF(T1997&gt;=4.25,"Critical",IF(T1997&gt;=3.5,"High",IF(T1997&gt;=2,"Medium","Low")))</f>
        <v/>
      </c>
    </row>
    <row r="1998">
      <c r="R1998">
        <f>IFERROR(XLOOKUP(XLOOKUP(D1998,tblReleaseChanges[Change_ID],tblReleaseChanges[Oracle_Severity],""),tblSeverityMap[Severity_Text],tblSeverityMap[Score],0),0)</f>
        <v/>
      </c>
      <c r="T1998">
        <f>ROUND((M1998*0.25)+(N1998*0.20)+(O1998*0.15)+(P1998*0.15)+(Q1998*0.10)+(R1998*0.10)+(S1998*0.05),2)</f>
        <v/>
      </c>
      <c r="U1998">
        <f>IF(T1998&gt;=4.25,"Critical",IF(T1998&gt;=3.5,"High",IF(T1998&gt;=2,"Medium","Low")))</f>
        <v/>
      </c>
    </row>
    <row r="1999">
      <c r="R1999">
        <f>IFERROR(XLOOKUP(XLOOKUP(D1999,tblReleaseChanges[Change_ID],tblReleaseChanges[Oracle_Severity],""),tblSeverityMap[Severity_Text],tblSeverityMap[Score],0),0)</f>
        <v/>
      </c>
      <c r="T1999">
        <f>ROUND((M1999*0.25)+(N1999*0.20)+(O1999*0.15)+(P1999*0.15)+(Q1999*0.10)+(R1999*0.10)+(S1999*0.05),2)</f>
        <v/>
      </c>
      <c r="U1999">
        <f>IF(T1999&gt;=4.25,"Critical",IF(T1999&gt;=3.5,"High",IF(T1999&gt;=2,"Medium","Low")))</f>
        <v/>
      </c>
    </row>
    <row r="2000">
      <c r="R2000">
        <f>IFERROR(XLOOKUP(XLOOKUP(D2000,tblReleaseChanges[Change_ID],tblReleaseChanges[Oracle_Severity],""),tblSeverityMap[Severity_Text],tblSeverityMap[Score],0),0)</f>
        <v/>
      </c>
      <c r="T2000">
        <f>ROUND((M2000*0.25)+(N2000*0.20)+(O2000*0.15)+(P2000*0.15)+(Q2000*0.10)+(R2000*0.10)+(S2000*0.05),2)</f>
        <v/>
      </c>
      <c r="U2000">
        <f>IF(T2000&gt;=4.25,"Critical",IF(T2000&gt;=3.5,"High",IF(T2000&gt;=2,"Medium","Low")))</f>
        <v/>
      </c>
    </row>
    <row r="2001">
      <c r="R2001">
        <f>IFERROR(XLOOKUP(XLOOKUP(D2001,tblReleaseChanges[Change_ID],tblReleaseChanges[Oracle_Severity],""),tblSeverityMap[Severity_Text],tblSeverityMap[Score],0),0)</f>
        <v/>
      </c>
      <c r="T2001">
        <f>ROUND((M2001*0.25)+(N2001*0.20)+(O2001*0.15)+(P2001*0.15)+(Q2001*0.10)+(R2001*0.10)+(S2001*0.05),2)</f>
        <v/>
      </c>
      <c r="U2001">
        <f>IF(T2001&gt;=4.25,"Critical",IF(T2001&gt;=3.5,"High",IF(T2001&gt;=2,"Medium","Low")))</f>
        <v/>
      </c>
    </row>
    <row r="2002">
      <c r="R2002">
        <f>IFERROR(XLOOKUP(XLOOKUP(D2002,tblReleaseChanges[Change_ID],tblReleaseChanges[Oracle_Severity],""),tblSeverityMap[Severity_Text],tblSeverityMap[Score],0),0)</f>
        <v/>
      </c>
      <c r="T2002">
        <f>ROUND((M2002*0.25)+(N2002*0.20)+(O2002*0.15)+(P2002*0.15)+(Q2002*0.10)+(R2002*0.10)+(S2002*0.05),2)</f>
        <v/>
      </c>
      <c r="U2002">
        <f>IF(T2002&gt;=4.25,"Critical",IF(T2002&gt;=3.5,"High",IF(T2002&gt;=2,"Medium","Low")))</f>
        <v/>
      </c>
    </row>
    <row r="2003">
      <c r="R2003">
        <f>IFERROR(XLOOKUP(XLOOKUP(D2003,tblReleaseChanges[Change_ID],tblReleaseChanges[Oracle_Severity],""),tblSeverityMap[Severity_Text],tblSeverityMap[Score],0),0)</f>
        <v/>
      </c>
      <c r="T2003">
        <f>ROUND((M2003*0.25)+(N2003*0.20)+(O2003*0.15)+(P2003*0.15)+(Q2003*0.10)+(R2003*0.10)+(S2003*0.05),2)</f>
        <v/>
      </c>
      <c r="U2003">
        <f>IF(T2003&gt;=4.25,"Critical",IF(T2003&gt;=3.5,"High",IF(T2003&gt;=2,"Medium","Low")))</f>
        <v/>
      </c>
    </row>
    <row r="2004">
      <c r="R2004">
        <f>IFERROR(XLOOKUP(XLOOKUP(D2004,tblReleaseChanges[Change_ID],tblReleaseChanges[Oracle_Severity],""),tblSeverityMap[Severity_Text],tblSeverityMap[Score],0),0)</f>
        <v/>
      </c>
      <c r="T2004">
        <f>ROUND((M2004*0.25)+(N2004*0.20)+(O2004*0.15)+(P2004*0.15)+(Q2004*0.10)+(R2004*0.10)+(S2004*0.05),2)</f>
        <v/>
      </c>
      <c r="U2004">
        <f>IF(T2004&gt;=4.25,"Critical",IF(T2004&gt;=3.5,"High",IF(T2004&gt;=2,"Medium","Low")))</f>
        <v/>
      </c>
    </row>
    <row r="2005">
      <c r="R2005">
        <f>IFERROR(XLOOKUP(XLOOKUP(D2005,tblReleaseChanges[Change_ID],tblReleaseChanges[Oracle_Severity],""),tblSeverityMap[Severity_Text],tblSeverityMap[Score],0),0)</f>
        <v/>
      </c>
      <c r="T2005">
        <f>ROUND((M2005*0.25)+(N2005*0.20)+(O2005*0.15)+(P2005*0.15)+(Q2005*0.10)+(R2005*0.10)+(S2005*0.05),2)</f>
        <v/>
      </c>
      <c r="U2005">
        <f>IF(T2005&gt;=4.25,"Critical",IF(T2005&gt;=3.5,"High",IF(T2005&gt;=2,"Medium","Low")))</f>
        <v/>
      </c>
    </row>
    <row r="2006">
      <c r="R2006">
        <f>IFERROR(XLOOKUP(XLOOKUP(D2006,tblReleaseChanges[Change_ID],tblReleaseChanges[Oracle_Severity],""),tblSeverityMap[Severity_Text],tblSeverityMap[Score],0),0)</f>
        <v/>
      </c>
      <c r="T2006">
        <f>ROUND((M2006*0.25)+(N2006*0.20)+(O2006*0.15)+(P2006*0.15)+(Q2006*0.10)+(R2006*0.10)+(S2006*0.05),2)</f>
        <v/>
      </c>
      <c r="U2006">
        <f>IF(T2006&gt;=4.25,"Critical",IF(T2006&gt;=3.5,"High",IF(T2006&gt;=2,"Medium","Low")))</f>
        <v/>
      </c>
    </row>
    <row r="2007">
      <c r="R2007">
        <f>IFERROR(XLOOKUP(XLOOKUP(D2007,tblReleaseChanges[Change_ID],tblReleaseChanges[Oracle_Severity],""),tblSeverityMap[Severity_Text],tblSeverityMap[Score],0),0)</f>
        <v/>
      </c>
      <c r="T2007">
        <f>ROUND((M2007*0.25)+(N2007*0.20)+(O2007*0.15)+(P2007*0.15)+(Q2007*0.10)+(R2007*0.10)+(S2007*0.05),2)</f>
        <v/>
      </c>
      <c r="U2007">
        <f>IF(T2007&gt;=4.25,"Critical",IF(T2007&gt;=3.5,"High",IF(T2007&gt;=2,"Medium","Low")))</f>
        <v/>
      </c>
    </row>
    <row r="2008">
      <c r="R2008">
        <f>IFERROR(XLOOKUP(XLOOKUP(D2008,tblReleaseChanges[Change_ID],tblReleaseChanges[Oracle_Severity],""),tblSeverityMap[Severity_Text],tblSeverityMap[Score],0),0)</f>
        <v/>
      </c>
      <c r="T2008">
        <f>ROUND((M2008*0.25)+(N2008*0.20)+(O2008*0.15)+(P2008*0.15)+(Q2008*0.10)+(R2008*0.10)+(S2008*0.05),2)</f>
        <v/>
      </c>
      <c r="U2008">
        <f>IF(T2008&gt;=4.25,"Critical",IF(T2008&gt;=3.5,"High",IF(T2008&gt;=2,"Medium","Low")))</f>
        <v/>
      </c>
    </row>
    <row r="2009">
      <c r="R2009">
        <f>IFERROR(XLOOKUP(XLOOKUP(D2009,tblReleaseChanges[Change_ID],tblReleaseChanges[Oracle_Severity],""),tblSeverityMap[Severity_Text],tblSeverityMap[Score],0),0)</f>
        <v/>
      </c>
      <c r="T2009">
        <f>ROUND((M2009*0.25)+(N2009*0.20)+(O2009*0.15)+(P2009*0.15)+(Q2009*0.10)+(R2009*0.10)+(S2009*0.05),2)</f>
        <v/>
      </c>
      <c r="U2009">
        <f>IF(T2009&gt;=4.25,"Critical",IF(T2009&gt;=3.5,"High",IF(T2009&gt;=2,"Medium","Low")))</f>
        <v/>
      </c>
    </row>
    <row r="2010">
      <c r="R2010">
        <f>IFERROR(XLOOKUP(XLOOKUP(D2010,tblReleaseChanges[Change_ID],tblReleaseChanges[Oracle_Severity],""),tblSeverityMap[Severity_Text],tblSeverityMap[Score],0),0)</f>
        <v/>
      </c>
      <c r="T2010">
        <f>ROUND((M2010*0.25)+(N2010*0.20)+(O2010*0.15)+(P2010*0.15)+(Q2010*0.10)+(R2010*0.10)+(S2010*0.05),2)</f>
        <v/>
      </c>
      <c r="U2010">
        <f>IF(T2010&gt;=4.25,"Critical",IF(T2010&gt;=3.5,"High",IF(T2010&gt;=2,"Medium","Low")))</f>
        <v/>
      </c>
    </row>
    <row r="2011">
      <c r="R2011">
        <f>IFERROR(XLOOKUP(XLOOKUP(D2011,tblReleaseChanges[Change_ID],tblReleaseChanges[Oracle_Severity],""),tblSeverityMap[Severity_Text],tblSeverityMap[Score],0),0)</f>
        <v/>
      </c>
      <c r="T2011">
        <f>ROUND((M2011*0.25)+(N2011*0.20)+(O2011*0.15)+(P2011*0.15)+(Q2011*0.10)+(R2011*0.10)+(S2011*0.05),2)</f>
        <v/>
      </c>
      <c r="U2011">
        <f>IF(T2011&gt;=4.25,"Critical",IF(T2011&gt;=3.5,"High",IF(T2011&gt;=2,"Medium","Low")))</f>
        <v/>
      </c>
    </row>
    <row r="2012">
      <c r="R2012">
        <f>IFERROR(XLOOKUP(XLOOKUP(D2012,tblReleaseChanges[Change_ID],tblReleaseChanges[Oracle_Severity],""),tblSeverityMap[Severity_Text],tblSeverityMap[Score],0),0)</f>
        <v/>
      </c>
      <c r="T2012">
        <f>ROUND((M2012*0.25)+(N2012*0.20)+(O2012*0.15)+(P2012*0.15)+(Q2012*0.10)+(R2012*0.10)+(S2012*0.05),2)</f>
        <v/>
      </c>
      <c r="U2012">
        <f>IF(T2012&gt;=4.25,"Critical",IF(T2012&gt;=3.5,"High",IF(T2012&gt;=2,"Medium","Low")))</f>
        <v/>
      </c>
    </row>
    <row r="2013">
      <c r="R2013">
        <f>IFERROR(XLOOKUP(XLOOKUP(D2013,tblReleaseChanges[Change_ID],tblReleaseChanges[Oracle_Severity],""),tblSeverityMap[Severity_Text],tblSeverityMap[Score],0),0)</f>
        <v/>
      </c>
      <c r="T2013">
        <f>ROUND((M2013*0.25)+(N2013*0.20)+(O2013*0.15)+(P2013*0.15)+(Q2013*0.10)+(R2013*0.10)+(S2013*0.05),2)</f>
        <v/>
      </c>
      <c r="U2013">
        <f>IF(T2013&gt;=4.25,"Critical",IF(T2013&gt;=3.5,"High",IF(T2013&gt;=2,"Medium","Low")))</f>
        <v/>
      </c>
    </row>
    <row r="2014">
      <c r="R2014">
        <f>IFERROR(XLOOKUP(XLOOKUP(D2014,tblReleaseChanges[Change_ID],tblReleaseChanges[Oracle_Severity],""),tblSeverityMap[Severity_Text],tblSeverityMap[Score],0),0)</f>
        <v/>
      </c>
      <c r="T2014">
        <f>ROUND((M2014*0.25)+(N2014*0.20)+(O2014*0.15)+(P2014*0.15)+(Q2014*0.10)+(R2014*0.10)+(S2014*0.05),2)</f>
        <v/>
      </c>
      <c r="U2014">
        <f>IF(T2014&gt;=4.25,"Critical",IF(T2014&gt;=3.5,"High",IF(T2014&gt;=2,"Medium","Low")))</f>
        <v/>
      </c>
    </row>
    <row r="2015">
      <c r="R2015">
        <f>IFERROR(XLOOKUP(XLOOKUP(D2015,tblReleaseChanges[Change_ID],tblReleaseChanges[Oracle_Severity],""),tblSeverityMap[Severity_Text],tblSeverityMap[Score],0),0)</f>
        <v/>
      </c>
      <c r="T2015">
        <f>ROUND((M2015*0.25)+(N2015*0.20)+(O2015*0.15)+(P2015*0.15)+(Q2015*0.10)+(R2015*0.10)+(S2015*0.05),2)</f>
        <v/>
      </c>
      <c r="U2015">
        <f>IF(T2015&gt;=4.25,"Critical",IF(T2015&gt;=3.5,"High",IF(T2015&gt;=2,"Medium","Low")))</f>
        <v/>
      </c>
    </row>
    <row r="2016">
      <c r="R2016">
        <f>IFERROR(XLOOKUP(XLOOKUP(D2016,tblReleaseChanges[Change_ID],tblReleaseChanges[Oracle_Severity],""),tblSeverityMap[Severity_Text],tblSeverityMap[Score],0),0)</f>
        <v/>
      </c>
      <c r="T2016">
        <f>ROUND((M2016*0.25)+(N2016*0.20)+(O2016*0.15)+(P2016*0.15)+(Q2016*0.10)+(R2016*0.10)+(S2016*0.05),2)</f>
        <v/>
      </c>
      <c r="U2016">
        <f>IF(T2016&gt;=4.25,"Critical",IF(T2016&gt;=3.5,"High",IF(T2016&gt;=2,"Medium","Low")))</f>
        <v/>
      </c>
    </row>
    <row r="2017">
      <c r="R2017">
        <f>IFERROR(XLOOKUP(XLOOKUP(D2017,tblReleaseChanges[Change_ID],tblReleaseChanges[Oracle_Severity],""),tblSeverityMap[Severity_Text],tblSeverityMap[Score],0),0)</f>
        <v/>
      </c>
      <c r="T2017">
        <f>ROUND((M2017*0.25)+(N2017*0.20)+(O2017*0.15)+(P2017*0.15)+(Q2017*0.10)+(R2017*0.10)+(S2017*0.05),2)</f>
        <v/>
      </c>
      <c r="U2017">
        <f>IF(T2017&gt;=4.25,"Critical",IF(T2017&gt;=3.5,"High",IF(T2017&gt;=2,"Medium","Low")))</f>
        <v/>
      </c>
    </row>
    <row r="2018">
      <c r="R2018">
        <f>IFERROR(XLOOKUP(XLOOKUP(D2018,tblReleaseChanges[Change_ID],tblReleaseChanges[Oracle_Severity],""),tblSeverityMap[Severity_Text],tblSeverityMap[Score],0),0)</f>
        <v/>
      </c>
      <c r="T2018">
        <f>ROUND((M2018*0.25)+(N2018*0.20)+(O2018*0.15)+(P2018*0.15)+(Q2018*0.10)+(R2018*0.10)+(S2018*0.05),2)</f>
        <v/>
      </c>
      <c r="U2018">
        <f>IF(T2018&gt;=4.25,"Critical",IF(T2018&gt;=3.5,"High",IF(T2018&gt;=2,"Medium","Low")))</f>
        <v/>
      </c>
    </row>
    <row r="2019">
      <c r="R2019">
        <f>IFERROR(XLOOKUP(XLOOKUP(D2019,tblReleaseChanges[Change_ID],tblReleaseChanges[Oracle_Severity],""),tblSeverityMap[Severity_Text],tblSeverityMap[Score],0),0)</f>
        <v/>
      </c>
      <c r="T2019">
        <f>ROUND((M2019*0.25)+(N2019*0.20)+(O2019*0.15)+(P2019*0.15)+(Q2019*0.10)+(R2019*0.10)+(S2019*0.05),2)</f>
        <v/>
      </c>
      <c r="U2019">
        <f>IF(T2019&gt;=4.25,"Critical",IF(T2019&gt;=3.5,"High",IF(T2019&gt;=2,"Medium","Low")))</f>
        <v/>
      </c>
    </row>
    <row r="2020">
      <c r="R2020">
        <f>IFERROR(XLOOKUP(XLOOKUP(D2020,tblReleaseChanges[Change_ID],tblReleaseChanges[Oracle_Severity],""),tblSeverityMap[Severity_Text],tblSeverityMap[Score],0),0)</f>
        <v/>
      </c>
      <c r="T2020">
        <f>ROUND((M2020*0.25)+(N2020*0.20)+(O2020*0.15)+(P2020*0.15)+(Q2020*0.10)+(R2020*0.10)+(S2020*0.05),2)</f>
        <v/>
      </c>
      <c r="U2020">
        <f>IF(T2020&gt;=4.25,"Critical",IF(T2020&gt;=3.5,"High",IF(T2020&gt;=2,"Medium","Low")))</f>
        <v/>
      </c>
    </row>
    <row r="2021">
      <c r="R2021">
        <f>IFERROR(XLOOKUP(XLOOKUP(D2021,tblReleaseChanges[Change_ID],tblReleaseChanges[Oracle_Severity],""),tblSeverityMap[Severity_Text],tblSeverityMap[Score],0),0)</f>
        <v/>
      </c>
      <c r="T2021">
        <f>ROUND((M2021*0.25)+(N2021*0.20)+(O2021*0.15)+(P2021*0.15)+(Q2021*0.10)+(R2021*0.10)+(S2021*0.05),2)</f>
        <v/>
      </c>
      <c r="U2021">
        <f>IF(T2021&gt;=4.25,"Critical",IF(T2021&gt;=3.5,"High",IF(T2021&gt;=2,"Medium","Low")))</f>
        <v/>
      </c>
    </row>
    <row r="2022">
      <c r="R2022">
        <f>IFERROR(XLOOKUP(XLOOKUP(D2022,tblReleaseChanges[Change_ID],tblReleaseChanges[Oracle_Severity],""),tblSeverityMap[Severity_Text],tblSeverityMap[Score],0),0)</f>
        <v/>
      </c>
      <c r="T2022">
        <f>ROUND((M2022*0.25)+(N2022*0.20)+(O2022*0.15)+(P2022*0.15)+(Q2022*0.10)+(R2022*0.10)+(S2022*0.05),2)</f>
        <v/>
      </c>
      <c r="U2022">
        <f>IF(T2022&gt;=4.25,"Critical",IF(T2022&gt;=3.5,"High",IF(T2022&gt;=2,"Medium","Low")))</f>
        <v/>
      </c>
    </row>
    <row r="2023">
      <c r="R2023">
        <f>IFERROR(XLOOKUP(XLOOKUP(D2023,tblReleaseChanges[Change_ID],tblReleaseChanges[Oracle_Severity],""),tblSeverityMap[Severity_Text],tblSeverityMap[Score],0),0)</f>
        <v/>
      </c>
      <c r="T2023">
        <f>ROUND((M2023*0.25)+(N2023*0.20)+(O2023*0.15)+(P2023*0.15)+(Q2023*0.10)+(R2023*0.10)+(S2023*0.05),2)</f>
        <v/>
      </c>
      <c r="U2023">
        <f>IF(T2023&gt;=4.25,"Critical",IF(T2023&gt;=3.5,"High",IF(T2023&gt;=2,"Medium","Low")))</f>
        <v/>
      </c>
    </row>
    <row r="2024">
      <c r="R2024">
        <f>IFERROR(XLOOKUP(XLOOKUP(D2024,tblReleaseChanges[Change_ID],tblReleaseChanges[Oracle_Severity],""),tblSeverityMap[Severity_Text],tblSeverityMap[Score],0),0)</f>
        <v/>
      </c>
      <c r="T2024">
        <f>ROUND((M2024*0.25)+(N2024*0.20)+(O2024*0.15)+(P2024*0.15)+(Q2024*0.10)+(R2024*0.10)+(S2024*0.05),2)</f>
        <v/>
      </c>
      <c r="U2024">
        <f>IF(T2024&gt;=4.25,"Critical",IF(T2024&gt;=3.5,"High",IF(T2024&gt;=2,"Medium","Low")))</f>
        <v/>
      </c>
    </row>
    <row r="2025">
      <c r="R2025">
        <f>IFERROR(XLOOKUP(XLOOKUP(D2025,tblReleaseChanges[Change_ID],tblReleaseChanges[Oracle_Severity],""),tblSeverityMap[Severity_Text],tblSeverityMap[Score],0),0)</f>
        <v/>
      </c>
      <c r="T2025">
        <f>ROUND((M2025*0.25)+(N2025*0.20)+(O2025*0.15)+(P2025*0.15)+(Q2025*0.10)+(R2025*0.10)+(S2025*0.05),2)</f>
        <v/>
      </c>
      <c r="U2025">
        <f>IF(T2025&gt;=4.25,"Critical",IF(T2025&gt;=3.5,"High",IF(T2025&gt;=2,"Medium","Low")))</f>
        <v/>
      </c>
    </row>
    <row r="2026">
      <c r="R2026">
        <f>IFERROR(XLOOKUP(XLOOKUP(D2026,tblReleaseChanges[Change_ID],tblReleaseChanges[Oracle_Severity],""),tblSeverityMap[Severity_Text],tblSeverityMap[Score],0),0)</f>
        <v/>
      </c>
      <c r="T2026">
        <f>ROUND((M2026*0.25)+(N2026*0.20)+(O2026*0.15)+(P2026*0.15)+(Q2026*0.10)+(R2026*0.10)+(S2026*0.05),2)</f>
        <v/>
      </c>
      <c r="U2026">
        <f>IF(T2026&gt;=4.25,"Critical",IF(T2026&gt;=3.5,"High",IF(T2026&gt;=2,"Medium","Low")))</f>
        <v/>
      </c>
    </row>
    <row r="2027">
      <c r="R2027">
        <f>IFERROR(XLOOKUP(XLOOKUP(D2027,tblReleaseChanges[Change_ID],tblReleaseChanges[Oracle_Severity],""),tblSeverityMap[Severity_Text],tblSeverityMap[Score],0),0)</f>
        <v/>
      </c>
      <c r="T2027">
        <f>ROUND((M2027*0.25)+(N2027*0.20)+(O2027*0.15)+(P2027*0.15)+(Q2027*0.10)+(R2027*0.10)+(S2027*0.05),2)</f>
        <v/>
      </c>
      <c r="U2027">
        <f>IF(T2027&gt;=4.25,"Critical",IF(T2027&gt;=3.5,"High",IF(T2027&gt;=2,"Medium","Low")))</f>
        <v/>
      </c>
    </row>
    <row r="2028">
      <c r="R2028">
        <f>IFERROR(XLOOKUP(XLOOKUP(D2028,tblReleaseChanges[Change_ID],tblReleaseChanges[Oracle_Severity],""),tblSeverityMap[Severity_Text],tblSeverityMap[Score],0),0)</f>
        <v/>
      </c>
      <c r="T2028">
        <f>ROUND((M2028*0.25)+(N2028*0.20)+(O2028*0.15)+(P2028*0.15)+(Q2028*0.10)+(R2028*0.10)+(S2028*0.05),2)</f>
        <v/>
      </c>
      <c r="U2028">
        <f>IF(T2028&gt;=4.25,"Critical",IF(T2028&gt;=3.5,"High",IF(T2028&gt;=2,"Medium","Low")))</f>
        <v/>
      </c>
    </row>
    <row r="2029">
      <c r="R2029">
        <f>IFERROR(XLOOKUP(XLOOKUP(D2029,tblReleaseChanges[Change_ID],tblReleaseChanges[Oracle_Severity],""),tblSeverityMap[Severity_Text],tblSeverityMap[Score],0),0)</f>
        <v/>
      </c>
      <c r="T2029">
        <f>ROUND((M2029*0.25)+(N2029*0.20)+(O2029*0.15)+(P2029*0.15)+(Q2029*0.10)+(R2029*0.10)+(S2029*0.05),2)</f>
        <v/>
      </c>
      <c r="U2029">
        <f>IF(T2029&gt;=4.25,"Critical",IF(T2029&gt;=3.5,"High",IF(T2029&gt;=2,"Medium","Low")))</f>
        <v/>
      </c>
    </row>
    <row r="2030">
      <c r="R2030">
        <f>IFERROR(XLOOKUP(XLOOKUP(D2030,tblReleaseChanges[Change_ID],tblReleaseChanges[Oracle_Severity],""),tblSeverityMap[Severity_Text],tblSeverityMap[Score],0),0)</f>
        <v/>
      </c>
      <c r="T2030">
        <f>ROUND((M2030*0.25)+(N2030*0.20)+(O2030*0.15)+(P2030*0.15)+(Q2030*0.10)+(R2030*0.10)+(S2030*0.05),2)</f>
        <v/>
      </c>
      <c r="U2030">
        <f>IF(T2030&gt;=4.25,"Critical",IF(T2030&gt;=3.5,"High",IF(T2030&gt;=2,"Medium","Low")))</f>
        <v/>
      </c>
    </row>
    <row r="2031">
      <c r="R2031">
        <f>IFERROR(XLOOKUP(XLOOKUP(D2031,tblReleaseChanges[Change_ID],tblReleaseChanges[Oracle_Severity],""),tblSeverityMap[Severity_Text],tblSeverityMap[Score],0),0)</f>
        <v/>
      </c>
      <c r="T2031">
        <f>ROUND((M2031*0.25)+(N2031*0.20)+(O2031*0.15)+(P2031*0.15)+(Q2031*0.10)+(R2031*0.10)+(S2031*0.05),2)</f>
        <v/>
      </c>
      <c r="U2031">
        <f>IF(T2031&gt;=4.25,"Critical",IF(T2031&gt;=3.5,"High",IF(T2031&gt;=2,"Medium","Low")))</f>
        <v/>
      </c>
    </row>
    <row r="2032">
      <c r="R2032">
        <f>IFERROR(XLOOKUP(XLOOKUP(D2032,tblReleaseChanges[Change_ID],tblReleaseChanges[Oracle_Severity],""),tblSeverityMap[Severity_Text],tblSeverityMap[Score],0),0)</f>
        <v/>
      </c>
      <c r="T2032">
        <f>ROUND((M2032*0.25)+(N2032*0.20)+(O2032*0.15)+(P2032*0.15)+(Q2032*0.10)+(R2032*0.10)+(S2032*0.05),2)</f>
        <v/>
      </c>
      <c r="U2032">
        <f>IF(T2032&gt;=4.25,"Critical",IF(T2032&gt;=3.5,"High",IF(T2032&gt;=2,"Medium","Low")))</f>
        <v/>
      </c>
    </row>
    <row r="2033">
      <c r="R2033">
        <f>IFERROR(XLOOKUP(XLOOKUP(D2033,tblReleaseChanges[Change_ID],tblReleaseChanges[Oracle_Severity],""),tblSeverityMap[Severity_Text],tblSeverityMap[Score],0),0)</f>
        <v/>
      </c>
      <c r="T2033">
        <f>ROUND((M2033*0.25)+(N2033*0.20)+(O2033*0.15)+(P2033*0.15)+(Q2033*0.10)+(R2033*0.10)+(S2033*0.05),2)</f>
        <v/>
      </c>
      <c r="U2033">
        <f>IF(T2033&gt;=4.25,"Critical",IF(T2033&gt;=3.5,"High",IF(T2033&gt;=2,"Medium","Low")))</f>
        <v/>
      </c>
    </row>
    <row r="2034">
      <c r="R2034">
        <f>IFERROR(XLOOKUP(XLOOKUP(D2034,tblReleaseChanges[Change_ID],tblReleaseChanges[Oracle_Severity],""),tblSeverityMap[Severity_Text],tblSeverityMap[Score],0),0)</f>
        <v/>
      </c>
      <c r="T2034">
        <f>ROUND((M2034*0.25)+(N2034*0.20)+(O2034*0.15)+(P2034*0.15)+(Q2034*0.10)+(R2034*0.10)+(S2034*0.05),2)</f>
        <v/>
      </c>
      <c r="U2034">
        <f>IF(T2034&gt;=4.25,"Critical",IF(T2034&gt;=3.5,"High",IF(T2034&gt;=2,"Medium","Low")))</f>
        <v/>
      </c>
    </row>
    <row r="2035">
      <c r="R2035">
        <f>IFERROR(XLOOKUP(XLOOKUP(D2035,tblReleaseChanges[Change_ID],tblReleaseChanges[Oracle_Severity],""),tblSeverityMap[Severity_Text],tblSeverityMap[Score],0),0)</f>
        <v/>
      </c>
      <c r="T2035">
        <f>ROUND((M2035*0.25)+(N2035*0.20)+(O2035*0.15)+(P2035*0.15)+(Q2035*0.10)+(R2035*0.10)+(S2035*0.05),2)</f>
        <v/>
      </c>
      <c r="U2035">
        <f>IF(T2035&gt;=4.25,"Critical",IF(T2035&gt;=3.5,"High",IF(T2035&gt;=2,"Medium","Low")))</f>
        <v/>
      </c>
    </row>
    <row r="2036">
      <c r="R2036">
        <f>IFERROR(XLOOKUP(XLOOKUP(D2036,tblReleaseChanges[Change_ID],tblReleaseChanges[Oracle_Severity],""),tblSeverityMap[Severity_Text],tblSeverityMap[Score],0),0)</f>
        <v/>
      </c>
      <c r="T2036">
        <f>ROUND((M2036*0.25)+(N2036*0.20)+(O2036*0.15)+(P2036*0.15)+(Q2036*0.10)+(R2036*0.10)+(S2036*0.05),2)</f>
        <v/>
      </c>
      <c r="U2036">
        <f>IF(T2036&gt;=4.25,"Critical",IF(T2036&gt;=3.5,"High",IF(T2036&gt;=2,"Medium","Low")))</f>
        <v/>
      </c>
    </row>
    <row r="2037">
      <c r="R2037">
        <f>IFERROR(XLOOKUP(XLOOKUP(D2037,tblReleaseChanges[Change_ID],tblReleaseChanges[Oracle_Severity],""),tblSeverityMap[Severity_Text],tblSeverityMap[Score],0),0)</f>
        <v/>
      </c>
      <c r="T2037">
        <f>ROUND((M2037*0.25)+(N2037*0.20)+(O2037*0.15)+(P2037*0.15)+(Q2037*0.10)+(R2037*0.10)+(S2037*0.05),2)</f>
        <v/>
      </c>
      <c r="U2037">
        <f>IF(T2037&gt;=4.25,"Critical",IF(T2037&gt;=3.5,"High",IF(T2037&gt;=2,"Medium","Low")))</f>
        <v/>
      </c>
    </row>
    <row r="2038">
      <c r="R2038">
        <f>IFERROR(XLOOKUP(XLOOKUP(D2038,tblReleaseChanges[Change_ID],tblReleaseChanges[Oracle_Severity],""),tblSeverityMap[Severity_Text],tblSeverityMap[Score],0),0)</f>
        <v/>
      </c>
      <c r="T2038">
        <f>ROUND((M2038*0.25)+(N2038*0.20)+(O2038*0.15)+(P2038*0.15)+(Q2038*0.10)+(R2038*0.10)+(S2038*0.05),2)</f>
        <v/>
      </c>
      <c r="U2038">
        <f>IF(T2038&gt;=4.25,"Critical",IF(T2038&gt;=3.5,"High",IF(T2038&gt;=2,"Medium","Low")))</f>
        <v/>
      </c>
    </row>
    <row r="2039">
      <c r="R2039">
        <f>IFERROR(XLOOKUP(XLOOKUP(D2039,tblReleaseChanges[Change_ID],tblReleaseChanges[Oracle_Severity],""),tblSeverityMap[Severity_Text],tblSeverityMap[Score],0),0)</f>
        <v/>
      </c>
      <c r="T2039">
        <f>ROUND((M2039*0.25)+(N2039*0.20)+(O2039*0.15)+(P2039*0.15)+(Q2039*0.10)+(R2039*0.10)+(S2039*0.05),2)</f>
        <v/>
      </c>
      <c r="U2039">
        <f>IF(T2039&gt;=4.25,"Critical",IF(T2039&gt;=3.5,"High",IF(T2039&gt;=2,"Medium","Low")))</f>
        <v/>
      </c>
    </row>
    <row r="2040">
      <c r="R2040">
        <f>IFERROR(XLOOKUP(XLOOKUP(D2040,tblReleaseChanges[Change_ID],tblReleaseChanges[Oracle_Severity],""),tblSeverityMap[Severity_Text],tblSeverityMap[Score],0),0)</f>
        <v/>
      </c>
      <c r="T2040">
        <f>ROUND((M2040*0.25)+(N2040*0.20)+(O2040*0.15)+(P2040*0.15)+(Q2040*0.10)+(R2040*0.10)+(S2040*0.05),2)</f>
        <v/>
      </c>
      <c r="U2040">
        <f>IF(T2040&gt;=4.25,"Critical",IF(T2040&gt;=3.5,"High",IF(T2040&gt;=2,"Medium","Low")))</f>
        <v/>
      </c>
    </row>
    <row r="2041">
      <c r="R2041">
        <f>IFERROR(XLOOKUP(XLOOKUP(D2041,tblReleaseChanges[Change_ID],tblReleaseChanges[Oracle_Severity],""),tblSeverityMap[Severity_Text],tblSeverityMap[Score],0),0)</f>
        <v/>
      </c>
      <c r="T2041">
        <f>ROUND((M2041*0.25)+(N2041*0.20)+(O2041*0.15)+(P2041*0.15)+(Q2041*0.10)+(R2041*0.10)+(S2041*0.05),2)</f>
        <v/>
      </c>
      <c r="U2041">
        <f>IF(T2041&gt;=4.25,"Critical",IF(T2041&gt;=3.5,"High",IF(T2041&gt;=2,"Medium","Low")))</f>
        <v/>
      </c>
    </row>
    <row r="2042">
      <c r="R2042">
        <f>IFERROR(XLOOKUP(XLOOKUP(D2042,tblReleaseChanges[Change_ID],tblReleaseChanges[Oracle_Severity],""),tblSeverityMap[Severity_Text],tblSeverityMap[Score],0),0)</f>
        <v/>
      </c>
      <c r="T2042">
        <f>ROUND((M2042*0.25)+(N2042*0.20)+(O2042*0.15)+(P2042*0.15)+(Q2042*0.10)+(R2042*0.10)+(S2042*0.05),2)</f>
        <v/>
      </c>
      <c r="U2042">
        <f>IF(T2042&gt;=4.25,"Critical",IF(T2042&gt;=3.5,"High",IF(T2042&gt;=2,"Medium","Low")))</f>
        <v/>
      </c>
    </row>
    <row r="2043">
      <c r="R2043">
        <f>IFERROR(XLOOKUP(XLOOKUP(D2043,tblReleaseChanges[Change_ID],tblReleaseChanges[Oracle_Severity],""),tblSeverityMap[Severity_Text],tblSeverityMap[Score],0),0)</f>
        <v/>
      </c>
      <c r="T2043">
        <f>ROUND((M2043*0.25)+(N2043*0.20)+(O2043*0.15)+(P2043*0.15)+(Q2043*0.10)+(R2043*0.10)+(S2043*0.05),2)</f>
        <v/>
      </c>
      <c r="U2043">
        <f>IF(T2043&gt;=4.25,"Critical",IF(T2043&gt;=3.5,"High",IF(T2043&gt;=2,"Medium","Low")))</f>
        <v/>
      </c>
    </row>
    <row r="2044">
      <c r="R2044">
        <f>IFERROR(XLOOKUP(XLOOKUP(D2044,tblReleaseChanges[Change_ID],tblReleaseChanges[Oracle_Severity],""),tblSeverityMap[Severity_Text],tblSeverityMap[Score],0),0)</f>
        <v/>
      </c>
      <c r="T2044">
        <f>ROUND((M2044*0.25)+(N2044*0.20)+(O2044*0.15)+(P2044*0.15)+(Q2044*0.10)+(R2044*0.10)+(S2044*0.05),2)</f>
        <v/>
      </c>
      <c r="U2044">
        <f>IF(T2044&gt;=4.25,"Critical",IF(T2044&gt;=3.5,"High",IF(T2044&gt;=2,"Medium","Low")))</f>
        <v/>
      </c>
    </row>
    <row r="2045">
      <c r="R2045">
        <f>IFERROR(XLOOKUP(XLOOKUP(D2045,tblReleaseChanges[Change_ID],tblReleaseChanges[Oracle_Severity],""),tblSeverityMap[Severity_Text],tblSeverityMap[Score],0),0)</f>
        <v/>
      </c>
      <c r="T2045">
        <f>ROUND((M2045*0.25)+(N2045*0.20)+(O2045*0.15)+(P2045*0.15)+(Q2045*0.10)+(R2045*0.10)+(S2045*0.05),2)</f>
        <v/>
      </c>
      <c r="U2045">
        <f>IF(T2045&gt;=4.25,"Critical",IF(T2045&gt;=3.5,"High",IF(T2045&gt;=2,"Medium","Low")))</f>
        <v/>
      </c>
    </row>
    <row r="2046">
      <c r="R2046">
        <f>IFERROR(XLOOKUP(XLOOKUP(D2046,tblReleaseChanges[Change_ID],tblReleaseChanges[Oracle_Severity],""),tblSeverityMap[Severity_Text],tblSeverityMap[Score],0),0)</f>
        <v/>
      </c>
      <c r="T2046">
        <f>ROUND((M2046*0.25)+(N2046*0.20)+(O2046*0.15)+(P2046*0.15)+(Q2046*0.10)+(R2046*0.10)+(S2046*0.05),2)</f>
        <v/>
      </c>
      <c r="U2046">
        <f>IF(T2046&gt;=4.25,"Critical",IF(T2046&gt;=3.5,"High",IF(T2046&gt;=2,"Medium","Low")))</f>
        <v/>
      </c>
    </row>
    <row r="2047">
      <c r="R2047">
        <f>IFERROR(XLOOKUP(XLOOKUP(D2047,tblReleaseChanges[Change_ID],tblReleaseChanges[Oracle_Severity],""),tblSeverityMap[Severity_Text],tblSeverityMap[Score],0),0)</f>
        <v/>
      </c>
      <c r="T2047">
        <f>ROUND((M2047*0.25)+(N2047*0.20)+(O2047*0.15)+(P2047*0.15)+(Q2047*0.10)+(R2047*0.10)+(S2047*0.05),2)</f>
        <v/>
      </c>
      <c r="U2047">
        <f>IF(T2047&gt;=4.25,"Critical",IF(T2047&gt;=3.5,"High",IF(T2047&gt;=2,"Medium","Low")))</f>
        <v/>
      </c>
    </row>
    <row r="2048">
      <c r="R2048">
        <f>IFERROR(XLOOKUP(XLOOKUP(D2048,tblReleaseChanges[Change_ID],tblReleaseChanges[Oracle_Severity],""),tblSeverityMap[Severity_Text],tblSeverityMap[Score],0),0)</f>
        <v/>
      </c>
      <c r="T2048">
        <f>ROUND((M2048*0.25)+(N2048*0.20)+(O2048*0.15)+(P2048*0.15)+(Q2048*0.10)+(R2048*0.10)+(S2048*0.05),2)</f>
        <v/>
      </c>
      <c r="U2048">
        <f>IF(T2048&gt;=4.25,"Critical",IF(T2048&gt;=3.5,"High",IF(T2048&gt;=2,"Medium","Low")))</f>
        <v/>
      </c>
    </row>
    <row r="2049">
      <c r="R2049">
        <f>IFERROR(XLOOKUP(XLOOKUP(D2049,tblReleaseChanges[Change_ID],tblReleaseChanges[Oracle_Severity],""),tblSeverityMap[Severity_Text],tblSeverityMap[Score],0),0)</f>
        <v/>
      </c>
      <c r="T2049">
        <f>ROUND((M2049*0.25)+(N2049*0.20)+(O2049*0.15)+(P2049*0.15)+(Q2049*0.10)+(R2049*0.10)+(S2049*0.05),2)</f>
        <v/>
      </c>
      <c r="U2049">
        <f>IF(T2049&gt;=4.25,"Critical",IF(T2049&gt;=3.5,"High",IF(T2049&gt;=2,"Medium","Low")))</f>
        <v/>
      </c>
    </row>
    <row r="2050">
      <c r="R2050">
        <f>IFERROR(XLOOKUP(XLOOKUP(D2050,tblReleaseChanges[Change_ID],tblReleaseChanges[Oracle_Severity],""),tblSeverityMap[Severity_Text],tblSeverityMap[Score],0),0)</f>
        <v/>
      </c>
      <c r="T2050">
        <f>ROUND((M2050*0.25)+(N2050*0.20)+(O2050*0.15)+(P2050*0.15)+(Q2050*0.10)+(R2050*0.10)+(S2050*0.05),2)</f>
        <v/>
      </c>
      <c r="U2050">
        <f>IF(T2050&gt;=4.25,"Critical",IF(T2050&gt;=3.5,"High",IF(T2050&gt;=2,"Medium","Low")))</f>
        <v/>
      </c>
    </row>
    <row r="2051">
      <c r="R2051">
        <f>IFERROR(XLOOKUP(XLOOKUP(D2051,tblReleaseChanges[Change_ID],tblReleaseChanges[Oracle_Severity],""),tblSeverityMap[Severity_Text],tblSeverityMap[Score],0),0)</f>
        <v/>
      </c>
      <c r="T2051">
        <f>ROUND((M2051*0.25)+(N2051*0.20)+(O2051*0.15)+(P2051*0.15)+(Q2051*0.10)+(R2051*0.10)+(S2051*0.05),2)</f>
        <v/>
      </c>
      <c r="U2051">
        <f>IF(T2051&gt;=4.25,"Critical",IF(T2051&gt;=3.5,"High",IF(T2051&gt;=2,"Medium","Low")))</f>
        <v/>
      </c>
    </row>
    <row r="2052">
      <c r="R2052">
        <f>IFERROR(XLOOKUP(XLOOKUP(D2052,tblReleaseChanges[Change_ID],tblReleaseChanges[Oracle_Severity],""),tblSeverityMap[Severity_Text],tblSeverityMap[Score],0),0)</f>
        <v/>
      </c>
      <c r="T2052">
        <f>ROUND((M2052*0.25)+(N2052*0.20)+(O2052*0.15)+(P2052*0.15)+(Q2052*0.10)+(R2052*0.10)+(S2052*0.05),2)</f>
        <v/>
      </c>
      <c r="U2052">
        <f>IF(T2052&gt;=4.25,"Critical",IF(T2052&gt;=3.5,"High",IF(T2052&gt;=2,"Medium","Low")))</f>
        <v/>
      </c>
    </row>
    <row r="2053">
      <c r="R2053">
        <f>IFERROR(XLOOKUP(XLOOKUP(D2053,tblReleaseChanges[Change_ID],tblReleaseChanges[Oracle_Severity],""),tblSeverityMap[Severity_Text],tblSeverityMap[Score],0),0)</f>
        <v/>
      </c>
      <c r="T2053">
        <f>ROUND((M2053*0.25)+(N2053*0.20)+(O2053*0.15)+(P2053*0.15)+(Q2053*0.10)+(R2053*0.10)+(S2053*0.05),2)</f>
        <v/>
      </c>
      <c r="U2053">
        <f>IF(T2053&gt;=4.25,"Critical",IF(T2053&gt;=3.5,"High",IF(T2053&gt;=2,"Medium","Low")))</f>
        <v/>
      </c>
    </row>
    <row r="2054">
      <c r="R2054">
        <f>IFERROR(XLOOKUP(XLOOKUP(D2054,tblReleaseChanges[Change_ID],tblReleaseChanges[Oracle_Severity],""),tblSeverityMap[Severity_Text],tblSeverityMap[Score],0),0)</f>
        <v/>
      </c>
      <c r="T2054">
        <f>ROUND((M2054*0.25)+(N2054*0.20)+(O2054*0.15)+(P2054*0.15)+(Q2054*0.10)+(R2054*0.10)+(S2054*0.05),2)</f>
        <v/>
      </c>
      <c r="U2054">
        <f>IF(T2054&gt;=4.25,"Critical",IF(T2054&gt;=3.5,"High",IF(T2054&gt;=2,"Medium","Low")))</f>
        <v/>
      </c>
    </row>
    <row r="2055">
      <c r="R2055">
        <f>IFERROR(XLOOKUP(XLOOKUP(D2055,tblReleaseChanges[Change_ID],tblReleaseChanges[Oracle_Severity],""),tblSeverityMap[Severity_Text],tblSeverityMap[Score],0),0)</f>
        <v/>
      </c>
      <c r="T2055">
        <f>ROUND((M2055*0.25)+(N2055*0.20)+(O2055*0.15)+(P2055*0.15)+(Q2055*0.10)+(R2055*0.10)+(S2055*0.05),2)</f>
        <v/>
      </c>
      <c r="U2055">
        <f>IF(T2055&gt;=4.25,"Critical",IF(T2055&gt;=3.5,"High",IF(T2055&gt;=2,"Medium","Low")))</f>
        <v/>
      </c>
    </row>
    <row r="2056">
      <c r="R2056">
        <f>IFERROR(XLOOKUP(XLOOKUP(D2056,tblReleaseChanges[Change_ID],tblReleaseChanges[Oracle_Severity],""),tblSeverityMap[Severity_Text],tblSeverityMap[Score],0),0)</f>
        <v/>
      </c>
      <c r="T2056">
        <f>ROUND((M2056*0.25)+(N2056*0.20)+(O2056*0.15)+(P2056*0.15)+(Q2056*0.10)+(R2056*0.10)+(S2056*0.05),2)</f>
        <v/>
      </c>
      <c r="U2056">
        <f>IF(T2056&gt;=4.25,"Critical",IF(T2056&gt;=3.5,"High",IF(T2056&gt;=2,"Medium","Low")))</f>
        <v/>
      </c>
    </row>
    <row r="2057">
      <c r="R2057">
        <f>IFERROR(XLOOKUP(XLOOKUP(D2057,tblReleaseChanges[Change_ID],tblReleaseChanges[Oracle_Severity],""),tblSeverityMap[Severity_Text],tblSeverityMap[Score],0),0)</f>
        <v/>
      </c>
      <c r="T2057">
        <f>ROUND((M2057*0.25)+(N2057*0.20)+(O2057*0.15)+(P2057*0.15)+(Q2057*0.10)+(R2057*0.10)+(S2057*0.05),2)</f>
        <v/>
      </c>
      <c r="U2057">
        <f>IF(T2057&gt;=4.25,"Critical",IF(T2057&gt;=3.5,"High",IF(T2057&gt;=2,"Medium","Low")))</f>
        <v/>
      </c>
    </row>
    <row r="2058">
      <c r="R2058">
        <f>IFERROR(XLOOKUP(XLOOKUP(D2058,tblReleaseChanges[Change_ID],tblReleaseChanges[Oracle_Severity],""),tblSeverityMap[Severity_Text],tblSeverityMap[Score],0),0)</f>
        <v/>
      </c>
      <c r="T2058">
        <f>ROUND((M2058*0.25)+(N2058*0.20)+(O2058*0.15)+(P2058*0.15)+(Q2058*0.10)+(R2058*0.10)+(S2058*0.05),2)</f>
        <v/>
      </c>
      <c r="U2058">
        <f>IF(T2058&gt;=4.25,"Critical",IF(T2058&gt;=3.5,"High",IF(T2058&gt;=2,"Medium","Low")))</f>
        <v/>
      </c>
    </row>
    <row r="2059">
      <c r="R2059">
        <f>IFERROR(XLOOKUP(XLOOKUP(D2059,tblReleaseChanges[Change_ID],tblReleaseChanges[Oracle_Severity],""),tblSeverityMap[Severity_Text],tblSeverityMap[Score],0),0)</f>
        <v/>
      </c>
      <c r="T2059">
        <f>ROUND((M2059*0.25)+(N2059*0.20)+(O2059*0.15)+(P2059*0.15)+(Q2059*0.10)+(R2059*0.10)+(S2059*0.05),2)</f>
        <v/>
      </c>
      <c r="U2059">
        <f>IF(T2059&gt;=4.25,"Critical",IF(T2059&gt;=3.5,"High",IF(T2059&gt;=2,"Medium","Low")))</f>
        <v/>
      </c>
    </row>
    <row r="2060">
      <c r="R2060">
        <f>IFERROR(XLOOKUP(XLOOKUP(D2060,tblReleaseChanges[Change_ID],tblReleaseChanges[Oracle_Severity],""),tblSeverityMap[Severity_Text],tblSeverityMap[Score],0),0)</f>
        <v/>
      </c>
      <c r="T2060">
        <f>ROUND((M2060*0.25)+(N2060*0.20)+(O2060*0.15)+(P2060*0.15)+(Q2060*0.10)+(R2060*0.10)+(S2060*0.05),2)</f>
        <v/>
      </c>
      <c r="U2060">
        <f>IF(T2060&gt;=4.25,"Critical",IF(T2060&gt;=3.5,"High",IF(T2060&gt;=2,"Medium","Low")))</f>
        <v/>
      </c>
    </row>
    <row r="2061">
      <c r="R2061">
        <f>IFERROR(XLOOKUP(XLOOKUP(D2061,tblReleaseChanges[Change_ID],tblReleaseChanges[Oracle_Severity],""),tblSeverityMap[Severity_Text],tblSeverityMap[Score],0),0)</f>
        <v/>
      </c>
      <c r="T2061">
        <f>ROUND((M2061*0.25)+(N2061*0.20)+(O2061*0.15)+(P2061*0.15)+(Q2061*0.10)+(R2061*0.10)+(S2061*0.05),2)</f>
        <v/>
      </c>
      <c r="U2061">
        <f>IF(T2061&gt;=4.25,"Critical",IF(T2061&gt;=3.5,"High",IF(T2061&gt;=2,"Medium","Low")))</f>
        <v/>
      </c>
    </row>
    <row r="2062">
      <c r="R2062">
        <f>IFERROR(XLOOKUP(XLOOKUP(D2062,tblReleaseChanges[Change_ID],tblReleaseChanges[Oracle_Severity],""),tblSeverityMap[Severity_Text],tblSeverityMap[Score],0),0)</f>
        <v/>
      </c>
      <c r="T2062">
        <f>ROUND((M2062*0.25)+(N2062*0.20)+(O2062*0.15)+(P2062*0.15)+(Q2062*0.10)+(R2062*0.10)+(S2062*0.05),2)</f>
        <v/>
      </c>
      <c r="U2062">
        <f>IF(T2062&gt;=4.25,"Critical",IF(T2062&gt;=3.5,"High",IF(T2062&gt;=2,"Medium","Low")))</f>
        <v/>
      </c>
    </row>
    <row r="2063">
      <c r="R2063">
        <f>IFERROR(XLOOKUP(XLOOKUP(D2063,tblReleaseChanges[Change_ID],tblReleaseChanges[Oracle_Severity],""),tblSeverityMap[Severity_Text],tblSeverityMap[Score],0),0)</f>
        <v/>
      </c>
      <c r="T2063">
        <f>ROUND((M2063*0.25)+(N2063*0.20)+(O2063*0.15)+(P2063*0.15)+(Q2063*0.10)+(R2063*0.10)+(S2063*0.05),2)</f>
        <v/>
      </c>
      <c r="U2063">
        <f>IF(T2063&gt;=4.25,"Critical",IF(T2063&gt;=3.5,"High",IF(T2063&gt;=2,"Medium","Low")))</f>
        <v/>
      </c>
    </row>
    <row r="2064">
      <c r="R2064">
        <f>IFERROR(XLOOKUP(XLOOKUP(D2064,tblReleaseChanges[Change_ID],tblReleaseChanges[Oracle_Severity],""),tblSeverityMap[Severity_Text],tblSeverityMap[Score],0),0)</f>
        <v/>
      </c>
      <c r="T2064">
        <f>ROUND((M2064*0.25)+(N2064*0.20)+(O2064*0.15)+(P2064*0.15)+(Q2064*0.10)+(R2064*0.10)+(S2064*0.05),2)</f>
        <v/>
      </c>
      <c r="U2064">
        <f>IF(T2064&gt;=4.25,"Critical",IF(T2064&gt;=3.5,"High",IF(T2064&gt;=2,"Medium","Low")))</f>
        <v/>
      </c>
    </row>
    <row r="2065">
      <c r="R2065">
        <f>IFERROR(XLOOKUP(XLOOKUP(D2065,tblReleaseChanges[Change_ID],tblReleaseChanges[Oracle_Severity],""),tblSeverityMap[Severity_Text],tblSeverityMap[Score],0),0)</f>
        <v/>
      </c>
      <c r="T2065">
        <f>ROUND((M2065*0.25)+(N2065*0.20)+(O2065*0.15)+(P2065*0.15)+(Q2065*0.10)+(R2065*0.10)+(S2065*0.05),2)</f>
        <v/>
      </c>
      <c r="U2065">
        <f>IF(T2065&gt;=4.25,"Critical",IF(T2065&gt;=3.5,"High",IF(T2065&gt;=2,"Medium","Low")))</f>
        <v/>
      </c>
    </row>
    <row r="2066">
      <c r="R2066">
        <f>IFERROR(XLOOKUP(XLOOKUP(D2066,tblReleaseChanges[Change_ID],tblReleaseChanges[Oracle_Severity],""),tblSeverityMap[Severity_Text],tblSeverityMap[Score],0),0)</f>
        <v/>
      </c>
      <c r="T2066">
        <f>ROUND((M2066*0.25)+(N2066*0.20)+(O2066*0.15)+(P2066*0.15)+(Q2066*0.10)+(R2066*0.10)+(S2066*0.05),2)</f>
        <v/>
      </c>
      <c r="U2066">
        <f>IF(T2066&gt;=4.25,"Critical",IF(T2066&gt;=3.5,"High",IF(T2066&gt;=2,"Medium","Low")))</f>
        <v/>
      </c>
    </row>
    <row r="2067">
      <c r="R2067">
        <f>IFERROR(XLOOKUP(XLOOKUP(D2067,tblReleaseChanges[Change_ID],tblReleaseChanges[Oracle_Severity],""),tblSeverityMap[Severity_Text],tblSeverityMap[Score],0),0)</f>
        <v/>
      </c>
      <c r="T2067">
        <f>ROUND((M2067*0.25)+(N2067*0.20)+(O2067*0.15)+(P2067*0.15)+(Q2067*0.10)+(R2067*0.10)+(S2067*0.05),2)</f>
        <v/>
      </c>
      <c r="U2067">
        <f>IF(T2067&gt;=4.25,"Critical",IF(T2067&gt;=3.5,"High",IF(T2067&gt;=2,"Medium","Low")))</f>
        <v/>
      </c>
    </row>
    <row r="2068">
      <c r="R2068">
        <f>IFERROR(XLOOKUP(XLOOKUP(D2068,tblReleaseChanges[Change_ID],tblReleaseChanges[Oracle_Severity],""),tblSeverityMap[Severity_Text],tblSeverityMap[Score],0),0)</f>
        <v/>
      </c>
      <c r="T2068">
        <f>ROUND((M2068*0.25)+(N2068*0.20)+(O2068*0.15)+(P2068*0.15)+(Q2068*0.10)+(R2068*0.10)+(S2068*0.05),2)</f>
        <v/>
      </c>
      <c r="U2068">
        <f>IF(T2068&gt;=4.25,"Critical",IF(T2068&gt;=3.5,"High",IF(T2068&gt;=2,"Medium","Low")))</f>
        <v/>
      </c>
    </row>
    <row r="2069">
      <c r="R2069">
        <f>IFERROR(XLOOKUP(XLOOKUP(D2069,tblReleaseChanges[Change_ID],tblReleaseChanges[Oracle_Severity],""),tblSeverityMap[Severity_Text],tblSeverityMap[Score],0),0)</f>
        <v/>
      </c>
      <c r="T2069">
        <f>ROUND((M2069*0.25)+(N2069*0.20)+(O2069*0.15)+(P2069*0.15)+(Q2069*0.10)+(R2069*0.10)+(S2069*0.05),2)</f>
        <v/>
      </c>
      <c r="U2069">
        <f>IF(T2069&gt;=4.25,"Critical",IF(T2069&gt;=3.5,"High",IF(T2069&gt;=2,"Medium","Low")))</f>
        <v/>
      </c>
    </row>
    <row r="2070">
      <c r="R2070">
        <f>IFERROR(XLOOKUP(XLOOKUP(D2070,tblReleaseChanges[Change_ID],tblReleaseChanges[Oracle_Severity],""),tblSeverityMap[Severity_Text],tblSeverityMap[Score],0),0)</f>
        <v/>
      </c>
      <c r="T2070">
        <f>ROUND((M2070*0.25)+(N2070*0.20)+(O2070*0.15)+(P2070*0.15)+(Q2070*0.10)+(R2070*0.10)+(S2070*0.05),2)</f>
        <v/>
      </c>
      <c r="U2070">
        <f>IF(T2070&gt;=4.25,"Critical",IF(T2070&gt;=3.5,"High",IF(T2070&gt;=2,"Medium","Low")))</f>
        <v/>
      </c>
    </row>
    <row r="2071">
      <c r="R2071">
        <f>IFERROR(XLOOKUP(XLOOKUP(D2071,tblReleaseChanges[Change_ID],tblReleaseChanges[Oracle_Severity],""),tblSeverityMap[Severity_Text],tblSeverityMap[Score],0),0)</f>
        <v/>
      </c>
      <c r="T2071">
        <f>ROUND((M2071*0.25)+(N2071*0.20)+(O2071*0.15)+(P2071*0.15)+(Q2071*0.10)+(R2071*0.10)+(S2071*0.05),2)</f>
        <v/>
      </c>
      <c r="U2071">
        <f>IF(T2071&gt;=4.25,"Critical",IF(T2071&gt;=3.5,"High",IF(T2071&gt;=2,"Medium","Low")))</f>
        <v/>
      </c>
    </row>
    <row r="2072">
      <c r="R2072">
        <f>IFERROR(XLOOKUP(XLOOKUP(D2072,tblReleaseChanges[Change_ID],tblReleaseChanges[Oracle_Severity],""),tblSeverityMap[Severity_Text],tblSeverityMap[Score],0),0)</f>
        <v/>
      </c>
      <c r="T2072">
        <f>ROUND((M2072*0.25)+(N2072*0.20)+(O2072*0.15)+(P2072*0.15)+(Q2072*0.10)+(R2072*0.10)+(S2072*0.05),2)</f>
        <v/>
      </c>
      <c r="U2072">
        <f>IF(T2072&gt;=4.25,"Critical",IF(T2072&gt;=3.5,"High",IF(T2072&gt;=2,"Medium","Low")))</f>
        <v/>
      </c>
    </row>
    <row r="2073">
      <c r="R2073">
        <f>IFERROR(XLOOKUP(XLOOKUP(D2073,tblReleaseChanges[Change_ID],tblReleaseChanges[Oracle_Severity],""),tblSeverityMap[Severity_Text],tblSeverityMap[Score],0),0)</f>
        <v/>
      </c>
      <c r="T2073">
        <f>ROUND((M2073*0.25)+(N2073*0.20)+(O2073*0.15)+(P2073*0.15)+(Q2073*0.10)+(R2073*0.10)+(S2073*0.05),2)</f>
        <v/>
      </c>
      <c r="U2073">
        <f>IF(T2073&gt;=4.25,"Critical",IF(T2073&gt;=3.5,"High",IF(T2073&gt;=2,"Medium","Low")))</f>
        <v/>
      </c>
    </row>
    <row r="2074">
      <c r="R2074">
        <f>IFERROR(XLOOKUP(XLOOKUP(D2074,tblReleaseChanges[Change_ID],tblReleaseChanges[Oracle_Severity],""),tblSeverityMap[Severity_Text],tblSeverityMap[Score],0),0)</f>
        <v/>
      </c>
      <c r="T2074">
        <f>ROUND((M2074*0.25)+(N2074*0.20)+(O2074*0.15)+(P2074*0.15)+(Q2074*0.10)+(R2074*0.10)+(S2074*0.05),2)</f>
        <v/>
      </c>
      <c r="U2074">
        <f>IF(T2074&gt;=4.25,"Critical",IF(T2074&gt;=3.5,"High",IF(T2074&gt;=2,"Medium","Low")))</f>
        <v/>
      </c>
    </row>
    <row r="2075">
      <c r="R2075">
        <f>IFERROR(XLOOKUP(XLOOKUP(D2075,tblReleaseChanges[Change_ID],tblReleaseChanges[Oracle_Severity],""),tblSeverityMap[Severity_Text],tblSeverityMap[Score],0),0)</f>
        <v/>
      </c>
      <c r="T2075">
        <f>ROUND((M2075*0.25)+(N2075*0.20)+(O2075*0.15)+(P2075*0.15)+(Q2075*0.10)+(R2075*0.10)+(S2075*0.05),2)</f>
        <v/>
      </c>
      <c r="U2075">
        <f>IF(T2075&gt;=4.25,"Critical",IF(T2075&gt;=3.5,"High",IF(T2075&gt;=2,"Medium","Low")))</f>
        <v/>
      </c>
    </row>
    <row r="2076">
      <c r="R2076">
        <f>IFERROR(XLOOKUP(XLOOKUP(D2076,tblReleaseChanges[Change_ID],tblReleaseChanges[Oracle_Severity],""),tblSeverityMap[Severity_Text],tblSeverityMap[Score],0),0)</f>
        <v/>
      </c>
      <c r="T2076">
        <f>ROUND((M2076*0.25)+(N2076*0.20)+(O2076*0.15)+(P2076*0.15)+(Q2076*0.10)+(R2076*0.10)+(S2076*0.05),2)</f>
        <v/>
      </c>
      <c r="U2076">
        <f>IF(T2076&gt;=4.25,"Critical",IF(T2076&gt;=3.5,"High",IF(T2076&gt;=2,"Medium","Low")))</f>
        <v/>
      </c>
    </row>
    <row r="2077">
      <c r="R2077">
        <f>IFERROR(XLOOKUP(XLOOKUP(D2077,tblReleaseChanges[Change_ID],tblReleaseChanges[Oracle_Severity],""),tblSeverityMap[Severity_Text],tblSeverityMap[Score],0),0)</f>
        <v/>
      </c>
      <c r="T2077">
        <f>ROUND((M2077*0.25)+(N2077*0.20)+(O2077*0.15)+(P2077*0.15)+(Q2077*0.10)+(R2077*0.10)+(S2077*0.05),2)</f>
        <v/>
      </c>
      <c r="U2077">
        <f>IF(T2077&gt;=4.25,"Critical",IF(T2077&gt;=3.5,"High",IF(T2077&gt;=2,"Medium","Low")))</f>
        <v/>
      </c>
    </row>
    <row r="2078">
      <c r="R2078">
        <f>IFERROR(XLOOKUP(XLOOKUP(D2078,tblReleaseChanges[Change_ID],tblReleaseChanges[Oracle_Severity],""),tblSeverityMap[Severity_Text],tblSeverityMap[Score],0),0)</f>
        <v/>
      </c>
      <c r="T2078">
        <f>ROUND((M2078*0.25)+(N2078*0.20)+(O2078*0.15)+(P2078*0.15)+(Q2078*0.10)+(R2078*0.10)+(S2078*0.05),2)</f>
        <v/>
      </c>
      <c r="U2078">
        <f>IF(T2078&gt;=4.25,"Critical",IF(T2078&gt;=3.5,"High",IF(T2078&gt;=2,"Medium","Low")))</f>
        <v/>
      </c>
    </row>
    <row r="2079">
      <c r="R2079">
        <f>IFERROR(XLOOKUP(XLOOKUP(D2079,tblReleaseChanges[Change_ID],tblReleaseChanges[Oracle_Severity],""),tblSeverityMap[Severity_Text],tblSeverityMap[Score],0),0)</f>
        <v/>
      </c>
      <c r="T2079">
        <f>ROUND((M2079*0.25)+(N2079*0.20)+(O2079*0.15)+(P2079*0.15)+(Q2079*0.10)+(R2079*0.10)+(S2079*0.05),2)</f>
        <v/>
      </c>
      <c r="U2079">
        <f>IF(T2079&gt;=4.25,"Critical",IF(T2079&gt;=3.5,"High",IF(T2079&gt;=2,"Medium","Low")))</f>
        <v/>
      </c>
    </row>
    <row r="2080">
      <c r="R2080">
        <f>IFERROR(XLOOKUP(XLOOKUP(D2080,tblReleaseChanges[Change_ID],tblReleaseChanges[Oracle_Severity],""),tblSeverityMap[Severity_Text],tblSeverityMap[Score],0),0)</f>
        <v/>
      </c>
      <c r="T2080">
        <f>ROUND((M2080*0.25)+(N2080*0.20)+(O2080*0.15)+(P2080*0.15)+(Q2080*0.10)+(R2080*0.10)+(S2080*0.05),2)</f>
        <v/>
      </c>
      <c r="U2080">
        <f>IF(T2080&gt;=4.25,"Critical",IF(T2080&gt;=3.5,"High",IF(T2080&gt;=2,"Medium","Low")))</f>
        <v/>
      </c>
    </row>
    <row r="2081">
      <c r="R2081">
        <f>IFERROR(XLOOKUP(XLOOKUP(D2081,tblReleaseChanges[Change_ID],tblReleaseChanges[Oracle_Severity],""),tblSeverityMap[Severity_Text],tblSeverityMap[Score],0),0)</f>
        <v/>
      </c>
      <c r="T2081">
        <f>ROUND((M2081*0.25)+(N2081*0.20)+(O2081*0.15)+(P2081*0.15)+(Q2081*0.10)+(R2081*0.10)+(S2081*0.05),2)</f>
        <v/>
      </c>
      <c r="U2081">
        <f>IF(T2081&gt;=4.25,"Critical",IF(T2081&gt;=3.5,"High",IF(T2081&gt;=2,"Medium","Low")))</f>
        <v/>
      </c>
    </row>
    <row r="2082">
      <c r="R2082">
        <f>IFERROR(XLOOKUP(XLOOKUP(D2082,tblReleaseChanges[Change_ID],tblReleaseChanges[Oracle_Severity],""),tblSeverityMap[Severity_Text],tblSeverityMap[Score],0),0)</f>
        <v/>
      </c>
      <c r="T2082">
        <f>ROUND((M2082*0.25)+(N2082*0.20)+(O2082*0.15)+(P2082*0.15)+(Q2082*0.10)+(R2082*0.10)+(S2082*0.05),2)</f>
        <v/>
      </c>
      <c r="U2082">
        <f>IF(T2082&gt;=4.25,"Critical",IF(T2082&gt;=3.5,"High",IF(T2082&gt;=2,"Medium","Low")))</f>
        <v/>
      </c>
    </row>
    <row r="2083">
      <c r="R2083">
        <f>IFERROR(XLOOKUP(XLOOKUP(D2083,tblReleaseChanges[Change_ID],tblReleaseChanges[Oracle_Severity],""),tblSeverityMap[Severity_Text],tblSeverityMap[Score],0),0)</f>
        <v/>
      </c>
      <c r="T2083">
        <f>ROUND((M2083*0.25)+(N2083*0.20)+(O2083*0.15)+(P2083*0.15)+(Q2083*0.10)+(R2083*0.10)+(S2083*0.05),2)</f>
        <v/>
      </c>
      <c r="U2083">
        <f>IF(T2083&gt;=4.25,"Critical",IF(T2083&gt;=3.5,"High",IF(T2083&gt;=2,"Medium","Low")))</f>
        <v/>
      </c>
    </row>
    <row r="2084">
      <c r="R2084">
        <f>IFERROR(XLOOKUP(XLOOKUP(D2084,tblReleaseChanges[Change_ID],tblReleaseChanges[Oracle_Severity],""),tblSeverityMap[Severity_Text],tblSeverityMap[Score],0),0)</f>
        <v/>
      </c>
      <c r="T2084">
        <f>ROUND((M2084*0.25)+(N2084*0.20)+(O2084*0.15)+(P2084*0.15)+(Q2084*0.10)+(R2084*0.10)+(S2084*0.05),2)</f>
        <v/>
      </c>
      <c r="U2084">
        <f>IF(T2084&gt;=4.25,"Critical",IF(T2084&gt;=3.5,"High",IF(T2084&gt;=2,"Medium","Low")))</f>
        <v/>
      </c>
    </row>
    <row r="2085">
      <c r="R2085">
        <f>IFERROR(XLOOKUP(XLOOKUP(D2085,tblReleaseChanges[Change_ID],tblReleaseChanges[Oracle_Severity],""),tblSeverityMap[Severity_Text],tblSeverityMap[Score],0),0)</f>
        <v/>
      </c>
      <c r="T2085">
        <f>ROUND((M2085*0.25)+(N2085*0.20)+(O2085*0.15)+(P2085*0.15)+(Q2085*0.10)+(R2085*0.10)+(S2085*0.05),2)</f>
        <v/>
      </c>
      <c r="U2085">
        <f>IF(T2085&gt;=4.25,"Critical",IF(T2085&gt;=3.5,"High",IF(T2085&gt;=2,"Medium","Low")))</f>
        <v/>
      </c>
    </row>
    <row r="2086">
      <c r="R2086">
        <f>IFERROR(XLOOKUP(XLOOKUP(D2086,tblReleaseChanges[Change_ID],tblReleaseChanges[Oracle_Severity],""),tblSeverityMap[Severity_Text],tblSeverityMap[Score],0),0)</f>
        <v/>
      </c>
      <c r="T2086">
        <f>ROUND((M2086*0.25)+(N2086*0.20)+(O2086*0.15)+(P2086*0.15)+(Q2086*0.10)+(R2086*0.10)+(S2086*0.05),2)</f>
        <v/>
      </c>
      <c r="U2086">
        <f>IF(T2086&gt;=4.25,"Critical",IF(T2086&gt;=3.5,"High",IF(T2086&gt;=2,"Medium","Low")))</f>
        <v/>
      </c>
    </row>
    <row r="2087">
      <c r="R2087">
        <f>IFERROR(XLOOKUP(XLOOKUP(D2087,tblReleaseChanges[Change_ID],tblReleaseChanges[Oracle_Severity],""),tblSeverityMap[Severity_Text],tblSeverityMap[Score],0),0)</f>
        <v/>
      </c>
      <c r="T2087">
        <f>ROUND((M2087*0.25)+(N2087*0.20)+(O2087*0.15)+(P2087*0.15)+(Q2087*0.10)+(R2087*0.10)+(S2087*0.05),2)</f>
        <v/>
      </c>
      <c r="U2087">
        <f>IF(T2087&gt;=4.25,"Critical",IF(T2087&gt;=3.5,"High",IF(T2087&gt;=2,"Medium","Low")))</f>
        <v/>
      </c>
    </row>
    <row r="2088">
      <c r="R2088">
        <f>IFERROR(XLOOKUP(XLOOKUP(D2088,tblReleaseChanges[Change_ID],tblReleaseChanges[Oracle_Severity],""),tblSeverityMap[Severity_Text],tblSeverityMap[Score],0),0)</f>
        <v/>
      </c>
      <c r="T2088">
        <f>ROUND((M2088*0.25)+(N2088*0.20)+(O2088*0.15)+(P2088*0.15)+(Q2088*0.10)+(R2088*0.10)+(S2088*0.05),2)</f>
        <v/>
      </c>
      <c r="U2088">
        <f>IF(T2088&gt;=4.25,"Critical",IF(T2088&gt;=3.5,"High",IF(T2088&gt;=2,"Medium","Low")))</f>
        <v/>
      </c>
    </row>
    <row r="2089">
      <c r="R2089">
        <f>IFERROR(XLOOKUP(XLOOKUP(D2089,tblReleaseChanges[Change_ID],tblReleaseChanges[Oracle_Severity],""),tblSeverityMap[Severity_Text],tblSeverityMap[Score],0),0)</f>
        <v/>
      </c>
      <c r="T2089">
        <f>ROUND((M2089*0.25)+(N2089*0.20)+(O2089*0.15)+(P2089*0.15)+(Q2089*0.10)+(R2089*0.10)+(S2089*0.05),2)</f>
        <v/>
      </c>
      <c r="U2089">
        <f>IF(T2089&gt;=4.25,"Critical",IF(T2089&gt;=3.5,"High",IF(T2089&gt;=2,"Medium","Low")))</f>
        <v/>
      </c>
    </row>
    <row r="2090">
      <c r="R2090">
        <f>IFERROR(XLOOKUP(XLOOKUP(D2090,tblReleaseChanges[Change_ID],tblReleaseChanges[Oracle_Severity],""),tblSeverityMap[Severity_Text],tblSeverityMap[Score],0),0)</f>
        <v/>
      </c>
      <c r="T2090">
        <f>ROUND((M2090*0.25)+(N2090*0.20)+(O2090*0.15)+(P2090*0.15)+(Q2090*0.10)+(R2090*0.10)+(S2090*0.05),2)</f>
        <v/>
      </c>
      <c r="U2090">
        <f>IF(T2090&gt;=4.25,"Critical",IF(T2090&gt;=3.5,"High",IF(T2090&gt;=2,"Medium","Low")))</f>
        <v/>
      </c>
    </row>
    <row r="2091">
      <c r="R2091">
        <f>IFERROR(XLOOKUP(XLOOKUP(D2091,tblReleaseChanges[Change_ID],tblReleaseChanges[Oracle_Severity],""),tblSeverityMap[Severity_Text],tblSeverityMap[Score],0),0)</f>
        <v/>
      </c>
      <c r="T2091">
        <f>ROUND((M2091*0.25)+(N2091*0.20)+(O2091*0.15)+(P2091*0.15)+(Q2091*0.10)+(R2091*0.10)+(S2091*0.05),2)</f>
        <v/>
      </c>
      <c r="U2091">
        <f>IF(T2091&gt;=4.25,"Critical",IF(T2091&gt;=3.5,"High",IF(T2091&gt;=2,"Medium","Low")))</f>
        <v/>
      </c>
    </row>
    <row r="2092">
      <c r="R2092">
        <f>IFERROR(XLOOKUP(XLOOKUP(D2092,tblReleaseChanges[Change_ID],tblReleaseChanges[Oracle_Severity],""),tblSeverityMap[Severity_Text],tblSeverityMap[Score],0),0)</f>
        <v/>
      </c>
      <c r="T2092">
        <f>ROUND((M2092*0.25)+(N2092*0.20)+(O2092*0.15)+(P2092*0.15)+(Q2092*0.10)+(R2092*0.10)+(S2092*0.05),2)</f>
        <v/>
      </c>
      <c r="U2092">
        <f>IF(T2092&gt;=4.25,"Critical",IF(T2092&gt;=3.5,"High",IF(T2092&gt;=2,"Medium","Low")))</f>
        <v/>
      </c>
    </row>
    <row r="2093">
      <c r="R2093">
        <f>IFERROR(XLOOKUP(XLOOKUP(D2093,tblReleaseChanges[Change_ID],tblReleaseChanges[Oracle_Severity],""),tblSeverityMap[Severity_Text],tblSeverityMap[Score],0),0)</f>
        <v/>
      </c>
      <c r="T2093">
        <f>ROUND((M2093*0.25)+(N2093*0.20)+(O2093*0.15)+(P2093*0.15)+(Q2093*0.10)+(R2093*0.10)+(S2093*0.05),2)</f>
        <v/>
      </c>
      <c r="U2093">
        <f>IF(T2093&gt;=4.25,"Critical",IF(T2093&gt;=3.5,"High",IF(T2093&gt;=2,"Medium","Low")))</f>
        <v/>
      </c>
    </row>
    <row r="2094">
      <c r="R2094">
        <f>IFERROR(XLOOKUP(XLOOKUP(D2094,tblReleaseChanges[Change_ID],tblReleaseChanges[Oracle_Severity],""),tblSeverityMap[Severity_Text],tblSeverityMap[Score],0),0)</f>
        <v/>
      </c>
      <c r="T2094">
        <f>ROUND((M2094*0.25)+(N2094*0.20)+(O2094*0.15)+(P2094*0.15)+(Q2094*0.10)+(R2094*0.10)+(S2094*0.05),2)</f>
        <v/>
      </c>
      <c r="U2094">
        <f>IF(T2094&gt;=4.25,"Critical",IF(T2094&gt;=3.5,"High",IF(T2094&gt;=2,"Medium","Low")))</f>
        <v/>
      </c>
    </row>
    <row r="2095">
      <c r="R2095">
        <f>IFERROR(XLOOKUP(XLOOKUP(D2095,tblReleaseChanges[Change_ID],tblReleaseChanges[Oracle_Severity],""),tblSeverityMap[Severity_Text],tblSeverityMap[Score],0),0)</f>
        <v/>
      </c>
      <c r="T2095">
        <f>ROUND((M2095*0.25)+(N2095*0.20)+(O2095*0.15)+(P2095*0.15)+(Q2095*0.10)+(R2095*0.10)+(S2095*0.05),2)</f>
        <v/>
      </c>
      <c r="U2095">
        <f>IF(T2095&gt;=4.25,"Critical",IF(T2095&gt;=3.5,"High",IF(T2095&gt;=2,"Medium","Low")))</f>
        <v/>
      </c>
    </row>
    <row r="2096">
      <c r="R2096">
        <f>IFERROR(XLOOKUP(XLOOKUP(D2096,tblReleaseChanges[Change_ID],tblReleaseChanges[Oracle_Severity],""),tblSeverityMap[Severity_Text],tblSeverityMap[Score],0),0)</f>
        <v/>
      </c>
      <c r="T2096">
        <f>ROUND((M2096*0.25)+(N2096*0.20)+(O2096*0.15)+(P2096*0.15)+(Q2096*0.10)+(R2096*0.10)+(S2096*0.05),2)</f>
        <v/>
      </c>
      <c r="U2096">
        <f>IF(T2096&gt;=4.25,"Critical",IF(T2096&gt;=3.5,"High",IF(T2096&gt;=2,"Medium","Low")))</f>
        <v/>
      </c>
    </row>
    <row r="2097">
      <c r="R2097">
        <f>IFERROR(XLOOKUP(XLOOKUP(D2097,tblReleaseChanges[Change_ID],tblReleaseChanges[Oracle_Severity],""),tblSeverityMap[Severity_Text],tblSeverityMap[Score],0),0)</f>
        <v/>
      </c>
      <c r="T2097">
        <f>ROUND((M2097*0.25)+(N2097*0.20)+(O2097*0.15)+(P2097*0.15)+(Q2097*0.10)+(R2097*0.10)+(S2097*0.05),2)</f>
        <v/>
      </c>
      <c r="U2097">
        <f>IF(T2097&gt;=4.25,"Critical",IF(T2097&gt;=3.5,"High",IF(T2097&gt;=2,"Medium","Low")))</f>
        <v/>
      </c>
    </row>
    <row r="2098">
      <c r="R2098">
        <f>IFERROR(XLOOKUP(XLOOKUP(D2098,tblReleaseChanges[Change_ID],tblReleaseChanges[Oracle_Severity],""),tblSeverityMap[Severity_Text],tblSeverityMap[Score],0),0)</f>
        <v/>
      </c>
      <c r="T2098">
        <f>ROUND((M2098*0.25)+(N2098*0.20)+(O2098*0.15)+(P2098*0.15)+(Q2098*0.10)+(R2098*0.10)+(S2098*0.05),2)</f>
        <v/>
      </c>
      <c r="U2098">
        <f>IF(T2098&gt;=4.25,"Critical",IF(T2098&gt;=3.5,"High",IF(T2098&gt;=2,"Medium","Low")))</f>
        <v/>
      </c>
    </row>
    <row r="2099">
      <c r="R2099">
        <f>IFERROR(XLOOKUP(XLOOKUP(D2099,tblReleaseChanges[Change_ID],tblReleaseChanges[Oracle_Severity],""),tblSeverityMap[Severity_Text],tblSeverityMap[Score],0),0)</f>
        <v/>
      </c>
      <c r="T2099">
        <f>ROUND((M2099*0.25)+(N2099*0.20)+(O2099*0.15)+(P2099*0.15)+(Q2099*0.10)+(R2099*0.10)+(S2099*0.05),2)</f>
        <v/>
      </c>
      <c r="U2099">
        <f>IF(T2099&gt;=4.25,"Critical",IF(T2099&gt;=3.5,"High",IF(T2099&gt;=2,"Medium","Low")))</f>
        <v/>
      </c>
    </row>
    <row r="2100">
      <c r="R2100">
        <f>IFERROR(XLOOKUP(XLOOKUP(D2100,tblReleaseChanges[Change_ID],tblReleaseChanges[Oracle_Severity],""),tblSeverityMap[Severity_Text],tblSeverityMap[Score],0),0)</f>
        <v/>
      </c>
      <c r="T2100">
        <f>ROUND((M2100*0.25)+(N2100*0.20)+(O2100*0.15)+(P2100*0.15)+(Q2100*0.10)+(R2100*0.10)+(S2100*0.05),2)</f>
        <v/>
      </c>
      <c r="U2100">
        <f>IF(T2100&gt;=4.25,"Critical",IF(T2100&gt;=3.5,"High",IF(T2100&gt;=2,"Medium","Low")))</f>
        <v/>
      </c>
    </row>
    <row r="2101">
      <c r="R2101">
        <f>IFERROR(XLOOKUP(XLOOKUP(D2101,tblReleaseChanges[Change_ID],tblReleaseChanges[Oracle_Severity],""),tblSeverityMap[Severity_Text],tblSeverityMap[Score],0),0)</f>
        <v/>
      </c>
      <c r="T2101">
        <f>ROUND((M2101*0.25)+(N2101*0.20)+(O2101*0.15)+(P2101*0.15)+(Q2101*0.10)+(R2101*0.10)+(S2101*0.05),2)</f>
        <v/>
      </c>
      <c r="U2101">
        <f>IF(T2101&gt;=4.25,"Critical",IF(T2101&gt;=3.5,"High",IF(T2101&gt;=2,"Medium","Low")))</f>
        <v/>
      </c>
    </row>
    <row r="2102">
      <c r="R2102">
        <f>IFERROR(XLOOKUP(XLOOKUP(D2102,tblReleaseChanges[Change_ID],tblReleaseChanges[Oracle_Severity],""),tblSeverityMap[Severity_Text],tblSeverityMap[Score],0),0)</f>
        <v/>
      </c>
      <c r="T2102">
        <f>ROUND((M2102*0.25)+(N2102*0.20)+(O2102*0.15)+(P2102*0.15)+(Q2102*0.10)+(R2102*0.10)+(S2102*0.05),2)</f>
        <v/>
      </c>
      <c r="U2102">
        <f>IF(T2102&gt;=4.25,"Critical",IF(T2102&gt;=3.5,"High",IF(T2102&gt;=2,"Medium","Low")))</f>
        <v/>
      </c>
    </row>
    <row r="2103">
      <c r="R2103">
        <f>IFERROR(XLOOKUP(XLOOKUP(D2103,tblReleaseChanges[Change_ID],tblReleaseChanges[Oracle_Severity],""),tblSeverityMap[Severity_Text],tblSeverityMap[Score],0),0)</f>
        <v/>
      </c>
      <c r="T2103">
        <f>ROUND((M2103*0.25)+(N2103*0.20)+(O2103*0.15)+(P2103*0.15)+(Q2103*0.10)+(R2103*0.10)+(S2103*0.05),2)</f>
        <v/>
      </c>
      <c r="U2103">
        <f>IF(T2103&gt;=4.25,"Critical",IF(T2103&gt;=3.5,"High",IF(T2103&gt;=2,"Medium","Low")))</f>
        <v/>
      </c>
    </row>
    <row r="2104">
      <c r="R2104">
        <f>IFERROR(XLOOKUP(XLOOKUP(D2104,tblReleaseChanges[Change_ID],tblReleaseChanges[Oracle_Severity],""),tblSeverityMap[Severity_Text],tblSeverityMap[Score],0),0)</f>
        <v/>
      </c>
      <c r="T2104">
        <f>ROUND((M2104*0.25)+(N2104*0.20)+(O2104*0.15)+(P2104*0.15)+(Q2104*0.10)+(R2104*0.10)+(S2104*0.05),2)</f>
        <v/>
      </c>
      <c r="U2104">
        <f>IF(T2104&gt;=4.25,"Critical",IF(T2104&gt;=3.5,"High",IF(T2104&gt;=2,"Medium","Low")))</f>
        <v/>
      </c>
    </row>
    <row r="2105">
      <c r="R2105">
        <f>IFERROR(XLOOKUP(XLOOKUP(D2105,tblReleaseChanges[Change_ID],tblReleaseChanges[Oracle_Severity],""),tblSeverityMap[Severity_Text],tblSeverityMap[Score],0),0)</f>
        <v/>
      </c>
      <c r="T2105">
        <f>ROUND((M2105*0.25)+(N2105*0.20)+(O2105*0.15)+(P2105*0.15)+(Q2105*0.10)+(R2105*0.10)+(S2105*0.05),2)</f>
        <v/>
      </c>
      <c r="U2105">
        <f>IF(T2105&gt;=4.25,"Critical",IF(T2105&gt;=3.5,"High",IF(T2105&gt;=2,"Medium","Low")))</f>
        <v/>
      </c>
    </row>
    <row r="2106">
      <c r="R2106">
        <f>IFERROR(XLOOKUP(XLOOKUP(D2106,tblReleaseChanges[Change_ID],tblReleaseChanges[Oracle_Severity],""),tblSeverityMap[Severity_Text],tblSeverityMap[Score],0),0)</f>
        <v/>
      </c>
      <c r="T2106">
        <f>ROUND((M2106*0.25)+(N2106*0.20)+(O2106*0.15)+(P2106*0.15)+(Q2106*0.10)+(R2106*0.10)+(S2106*0.05),2)</f>
        <v/>
      </c>
      <c r="U2106">
        <f>IF(T2106&gt;=4.25,"Critical",IF(T2106&gt;=3.5,"High",IF(T2106&gt;=2,"Medium","Low")))</f>
        <v/>
      </c>
    </row>
    <row r="2107">
      <c r="R2107">
        <f>IFERROR(XLOOKUP(XLOOKUP(D2107,tblReleaseChanges[Change_ID],tblReleaseChanges[Oracle_Severity],""),tblSeverityMap[Severity_Text],tblSeverityMap[Score],0),0)</f>
        <v/>
      </c>
      <c r="T2107">
        <f>ROUND((M2107*0.25)+(N2107*0.20)+(O2107*0.15)+(P2107*0.15)+(Q2107*0.10)+(R2107*0.10)+(S2107*0.05),2)</f>
        <v/>
      </c>
      <c r="U2107">
        <f>IF(T2107&gt;=4.25,"Critical",IF(T2107&gt;=3.5,"High",IF(T2107&gt;=2,"Medium","Low")))</f>
        <v/>
      </c>
    </row>
    <row r="2108">
      <c r="R2108">
        <f>IFERROR(XLOOKUP(XLOOKUP(D2108,tblReleaseChanges[Change_ID],tblReleaseChanges[Oracle_Severity],""),tblSeverityMap[Severity_Text],tblSeverityMap[Score],0),0)</f>
        <v/>
      </c>
      <c r="T2108">
        <f>ROUND((M2108*0.25)+(N2108*0.20)+(O2108*0.15)+(P2108*0.15)+(Q2108*0.10)+(R2108*0.10)+(S2108*0.05),2)</f>
        <v/>
      </c>
      <c r="U2108">
        <f>IF(T2108&gt;=4.25,"Critical",IF(T2108&gt;=3.5,"High",IF(T2108&gt;=2,"Medium","Low")))</f>
        <v/>
      </c>
    </row>
    <row r="2109">
      <c r="R2109">
        <f>IFERROR(XLOOKUP(XLOOKUP(D2109,tblReleaseChanges[Change_ID],tblReleaseChanges[Oracle_Severity],""),tblSeverityMap[Severity_Text],tblSeverityMap[Score],0),0)</f>
        <v/>
      </c>
      <c r="T2109">
        <f>ROUND((M2109*0.25)+(N2109*0.20)+(O2109*0.15)+(P2109*0.15)+(Q2109*0.10)+(R2109*0.10)+(S2109*0.05),2)</f>
        <v/>
      </c>
      <c r="U2109">
        <f>IF(T2109&gt;=4.25,"Critical",IF(T2109&gt;=3.5,"High",IF(T2109&gt;=2,"Medium","Low")))</f>
        <v/>
      </c>
    </row>
    <row r="2110">
      <c r="R2110">
        <f>IFERROR(XLOOKUP(XLOOKUP(D2110,tblReleaseChanges[Change_ID],tblReleaseChanges[Oracle_Severity],""),tblSeverityMap[Severity_Text],tblSeverityMap[Score],0),0)</f>
        <v/>
      </c>
      <c r="T2110">
        <f>ROUND((M2110*0.25)+(N2110*0.20)+(O2110*0.15)+(P2110*0.15)+(Q2110*0.10)+(R2110*0.10)+(S2110*0.05),2)</f>
        <v/>
      </c>
      <c r="U2110">
        <f>IF(T2110&gt;=4.25,"Critical",IF(T2110&gt;=3.5,"High",IF(T2110&gt;=2,"Medium","Low")))</f>
        <v/>
      </c>
    </row>
    <row r="2111">
      <c r="R2111">
        <f>IFERROR(XLOOKUP(XLOOKUP(D2111,tblReleaseChanges[Change_ID],tblReleaseChanges[Oracle_Severity],""),tblSeverityMap[Severity_Text],tblSeverityMap[Score],0),0)</f>
        <v/>
      </c>
      <c r="T2111">
        <f>ROUND((M2111*0.25)+(N2111*0.20)+(O2111*0.15)+(P2111*0.15)+(Q2111*0.10)+(R2111*0.10)+(S2111*0.05),2)</f>
        <v/>
      </c>
      <c r="U2111">
        <f>IF(T2111&gt;=4.25,"Critical",IF(T2111&gt;=3.5,"High",IF(T2111&gt;=2,"Medium","Low")))</f>
        <v/>
      </c>
    </row>
    <row r="2112">
      <c r="R2112">
        <f>IFERROR(XLOOKUP(XLOOKUP(D2112,tblReleaseChanges[Change_ID],tblReleaseChanges[Oracle_Severity],""),tblSeverityMap[Severity_Text],tblSeverityMap[Score],0),0)</f>
        <v/>
      </c>
      <c r="T2112">
        <f>ROUND((M2112*0.25)+(N2112*0.20)+(O2112*0.15)+(P2112*0.15)+(Q2112*0.10)+(R2112*0.10)+(S2112*0.05),2)</f>
        <v/>
      </c>
      <c r="U2112">
        <f>IF(T2112&gt;=4.25,"Critical",IF(T2112&gt;=3.5,"High",IF(T2112&gt;=2,"Medium","Low")))</f>
        <v/>
      </c>
    </row>
    <row r="2113">
      <c r="R2113">
        <f>IFERROR(XLOOKUP(XLOOKUP(D2113,tblReleaseChanges[Change_ID],tblReleaseChanges[Oracle_Severity],""),tblSeverityMap[Severity_Text],tblSeverityMap[Score],0),0)</f>
        <v/>
      </c>
      <c r="T2113">
        <f>ROUND((M2113*0.25)+(N2113*0.20)+(O2113*0.15)+(P2113*0.15)+(Q2113*0.10)+(R2113*0.10)+(S2113*0.05),2)</f>
        <v/>
      </c>
      <c r="U2113">
        <f>IF(T2113&gt;=4.25,"Critical",IF(T2113&gt;=3.5,"High",IF(T2113&gt;=2,"Medium","Low")))</f>
        <v/>
      </c>
    </row>
    <row r="2114">
      <c r="R2114">
        <f>IFERROR(XLOOKUP(XLOOKUP(D2114,tblReleaseChanges[Change_ID],tblReleaseChanges[Oracle_Severity],""),tblSeverityMap[Severity_Text],tblSeverityMap[Score],0),0)</f>
        <v/>
      </c>
      <c r="T2114">
        <f>ROUND((M2114*0.25)+(N2114*0.20)+(O2114*0.15)+(P2114*0.15)+(Q2114*0.10)+(R2114*0.10)+(S2114*0.05),2)</f>
        <v/>
      </c>
      <c r="U2114">
        <f>IF(T2114&gt;=4.25,"Critical",IF(T2114&gt;=3.5,"High",IF(T2114&gt;=2,"Medium","Low")))</f>
        <v/>
      </c>
    </row>
    <row r="2115">
      <c r="R2115">
        <f>IFERROR(XLOOKUP(XLOOKUP(D2115,tblReleaseChanges[Change_ID],tblReleaseChanges[Oracle_Severity],""),tblSeverityMap[Severity_Text],tblSeverityMap[Score],0),0)</f>
        <v/>
      </c>
      <c r="T2115">
        <f>ROUND((M2115*0.25)+(N2115*0.20)+(O2115*0.15)+(P2115*0.15)+(Q2115*0.10)+(R2115*0.10)+(S2115*0.05),2)</f>
        <v/>
      </c>
      <c r="U2115">
        <f>IF(T2115&gt;=4.25,"Critical",IF(T2115&gt;=3.5,"High",IF(T2115&gt;=2,"Medium","Low")))</f>
        <v/>
      </c>
    </row>
    <row r="2116">
      <c r="R2116">
        <f>IFERROR(XLOOKUP(XLOOKUP(D2116,tblReleaseChanges[Change_ID],tblReleaseChanges[Oracle_Severity],""),tblSeverityMap[Severity_Text],tblSeverityMap[Score],0),0)</f>
        <v/>
      </c>
      <c r="T2116">
        <f>ROUND((M2116*0.25)+(N2116*0.20)+(O2116*0.15)+(P2116*0.15)+(Q2116*0.10)+(R2116*0.10)+(S2116*0.05),2)</f>
        <v/>
      </c>
      <c r="U2116">
        <f>IF(T2116&gt;=4.25,"Critical",IF(T2116&gt;=3.5,"High",IF(T2116&gt;=2,"Medium","Low")))</f>
        <v/>
      </c>
    </row>
    <row r="2117">
      <c r="R2117">
        <f>IFERROR(XLOOKUP(XLOOKUP(D2117,tblReleaseChanges[Change_ID],tblReleaseChanges[Oracle_Severity],""),tblSeverityMap[Severity_Text],tblSeverityMap[Score],0),0)</f>
        <v/>
      </c>
      <c r="T2117">
        <f>ROUND((M2117*0.25)+(N2117*0.20)+(O2117*0.15)+(P2117*0.15)+(Q2117*0.10)+(R2117*0.10)+(S2117*0.05),2)</f>
        <v/>
      </c>
      <c r="U2117">
        <f>IF(T2117&gt;=4.25,"Critical",IF(T2117&gt;=3.5,"High",IF(T2117&gt;=2,"Medium","Low")))</f>
        <v/>
      </c>
    </row>
    <row r="2118">
      <c r="R2118">
        <f>IFERROR(XLOOKUP(XLOOKUP(D2118,tblReleaseChanges[Change_ID],tblReleaseChanges[Oracle_Severity],""),tblSeverityMap[Severity_Text],tblSeverityMap[Score],0),0)</f>
        <v/>
      </c>
      <c r="T2118">
        <f>ROUND((M2118*0.25)+(N2118*0.20)+(O2118*0.15)+(P2118*0.15)+(Q2118*0.10)+(R2118*0.10)+(S2118*0.05),2)</f>
        <v/>
      </c>
      <c r="U2118">
        <f>IF(T2118&gt;=4.25,"Critical",IF(T2118&gt;=3.5,"High",IF(T2118&gt;=2,"Medium","Low")))</f>
        <v/>
      </c>
    </row>
    <row r="2119">
      <c r="R2119">
        <f>IFERROR(XLOOKUP(XLOOKUP(D2119,tblReleaseChanges[Change_ID],tblReleaseChanges[Oracle_Severity],""),tblSeverityMap[Severity_Text],tblSeverityMap[Score],0),0)</f>
        <v/>
      </c>
      <c r="T2119">
        <f>ROUND((M2119*0.25)+(N2119*0.20)+(O2119*0.15)+(P2119*0.15)+(Q2119*0.10)+(R2119*0.10)+(S2119*0.05),2)</f>
        <v/>
      </c>
      <c r="U2119">
        <f>IF(T2119&gt;=4.25,"Critical",IF(T2119&gt;=3.5,"High",IF(T2119&gt;=2,"Medium","Low")))</f>
        <v/>
      </c>
    </row>
    <row r="2120">
      <c r="R2120">
        <f>IFERROR(XLOOKUP(XLOOKUP(D2120,tblReleaseChanges[Change_ID],tblReleaseChanges[Oracle_Severity],""),tblSeverityMap[Severity_Text],tblSeverityMap[Score],0),0)</f>
        <v/>
      </c>
      <c r="T2120">
        <f>ROUND((M2120*0.25)+(N2120*0.20)+(O2120*0.15)+(P2120*0.15)+(Q2120*0.10)+(R2120*0.10)+(S2120*0.05),2)</f>
        <v/>
      </c>
      <c r="U2120">
        <f>IF(T2120&gt;=4.25,"Critical",IF(T2120&gt;=3.5,"High",IF(T2120&gt;=2,"Medium","Low")))</f>
        <v/>
      </c>
    </row>
    <row r="2121">
      <c r="R2121">
        <f>IFERROR(XLOOKUP(XLOOKUP(D2121,tblReleaseChanges[Change_ID],tblReleaseChanges[Oracle_Severity],""),tblSeverityMap[Severity_Text],tblSeverityMap[Score],0),0)</f>
        <v/>
      </c>
      <c r="T2121">
        <f>ROUND((M2121*0.25)+(N2121*0.20)+(O2121*0.15)+(P2121*0.15)+(Q2121*0.10)+(R2121*0.10)+(S2121*0.05),2)</f>
        <v/>
      </c>
      <c r="U2121">
        <f>IF(T2121&gt;=4.25,"Critical",IF(T2121&gt;=3.5,"High",IF(T2121&gt;=2,"Medium","Low")))</f>
        <v/>
      </c>
    </row>
    <row r="2122">
      <c r="R2122">
        <f>IFERROR(XLOOKUP(XLOOKUP(D2122,tblReleaseChanges[Change_ID],tblReleaseChanges[Oracle_Severity],""),tblSeverityMap[Severity_Text],tblSeverityMap[Score],0),0)</f>
        <v/>
      </c>
      <c r="T2122">
        <f>ROUND((M2122*0.25)+(N2122*0.20)+(O2122*0.15)+(P2122*0.15)+(Q2122*0.10)+(R2122*0.10)+(S2122*0.05),2)</f>
        <v/>
      </c>
      <c r="U2122">
        <f>IF(T2122&gt;=4.25,"Critical",IF(T2122&gt;=3.5,"High",IF(T2122&gt;=2,"Medium","Low")))</f>
        <v/>
      </c>
    </row>
    <row r="2123">
      <c r="R2123">
        <f>IFERROR(XLOOKUP(XLOOKUP(D2123,tblReleaseChanges[Change_ID],tblReleaseChanges[Oracle_Severity],""),tblSeverityMap[Severity_Text],tblSeverityMap[Score],0),0)</f>
        <v/>
      </c>
      <c r="T2123">
        <f>ROUND((M2123*0.25)+(N2123*0.20)+(O2123*0.15)+(P2123*0.15)+(Q2123*0.10)+(R2123*0.10)+(S2123*0.05),2)</f>
        <v/>
      </c>
      <c r="U2123">
        <f>IF(T2123&gt;=4.25,"Critical",IF(T2123&gt;=3.5,"High",IF(T2123&gt;=2,"Medium","Low")))</f>
        <v/>
      </c>
    </row>
    <row r="2124">
      <c r="R2124">
        <f>IFERROR(XLOOKUP(XLOOKUP(D2124,tblReleaseChanges[Change_ID],tblReleaseChanges[Oracle_Severity],""),tblSeverityMap[Severity_Text],tblSeverityMap[Score],0),0)</f>
        <v/>
      </c>
      <c r="T2124">
        <f>ROUND((M2124*0.25)+(N2124*0.20)+(O2124*0.15)+(P2124*0.15)+(Q2124*0.10)+(R2124*0.10)+(S2124*0.05),2)</f>
        <v/>
      </c>
      <c r="U2124">
        <f>IF(T2124&gt;=4.25,"Critical",IF(T2124&gt;=3.5,"High",IF(T2124&gt;=2,"Medium","Low")))</f>
        <v/>
      </c>
    </row>
    <row r="2125">
      <c r="R2125">
        <f>IFERROR(XLOOKUP(XLOOKUP(D2125,tblReleaseChanges[Change_ID],tblReleaseChanges[Oracle_Severity],""),tblSeverityMap[Severity_Text],tblSeverityMap[Score],0),0)</f>
        <v/>
      </c>
      <c r="T2125">
        <f>ROUND((M2125*0.25)+(N2125*0.20)+(O2125*0.15)+(P2125*0.15)+(Q2125*0.10)+(R2125*0.10)+(S2125*0.05),2)</f>
        <v/>
      </c>
      <c r="U2125">
        <f>IF(T2125&gt;=4.25,"Critical",IF(T2125&gt;=3.5,"High",IF(T2125&gt;=2,"Medium","Low")))</f>
        <v/>
      </c>
    </row>
    <row r="2126">
      <c r="R2126">
        <f>IFERROR(XLOOKUP(XLOOKUP(D2126,tblReleaseChanges[Change_ID],tblReleaseChanges[Oracle_Severity],""),tblSeverityMap[Severity_Text],tblSeverityMap[Score],0),0)</f>
        <v/>
      </c>
      <c r="T2126">
        <f>ROUND((M2126*0.25)+(N2126*0.20)+(O2126*0.15)+(P2126*0.15)+(Q2126*0.10)+(R2126*0.10)+(S2126*0.05),2)</f>
        <v/>
      </c>
      <c r="U2126">
        <f>IF(T2126&gt;=4.25,"Critical",IF(T2126&gt;=3.5,"High",IF(T2126&gt;=2,"Medium","Low")))</f>
        <v/>
      </c>
    </row>
    <row r="2127">
      <c r="R2127">
        <f>IFERROR(XLOOKUP(XLOOKUP(D2127,tblReleaseChanges[Change_ID],tblReleaseChanges[Oracle_Severity],""),tblSeverityMap[Severity_Text],tblSeverityMap[Score],0),0)</f>
        <v/>
      </c>
      <c r="T2127">
        <f>ROUND((M2127*0.25)+(N2127*0.20)+(O2127*0.15)+(P2127*0.15)+(Q2127*0.10)+(R2127*0.10)+(S2127*0.05),2)</f>
        <v/>
      </c>
      <c r="U2127">
        <f>IF(T2127&gt;=4.25,"Critical",IF(T2127&gt;=3.5,"High",IF(T2127&gt;=2,"Medium","Low")))</f>
        <v/>
      </c>
    </row>
    <row r="2128">
      <c r="R2128">
        <f>IFERROR(XLOOKUP(XLOOKUP(D2128,tblReleaseChanges[Change_ID],tblReleaseChanges[Oracle_Severity],""),tblSeverityMap[Severity_Text],tblSeverityMap[Score],0),0)</f>
        <v/>
      </c>
      <c r="T2128">
        <f>ROUND((M2128*0.25)+(N2128*0.20)+(O2128*0.15)+(P2128*0.15)+(Q2128*0.10)+(R2128*0.10)+(S2128*0.05),2)</f>
        <v/>
      </c>
      <c r="U2128">
        <f>IF(T2128&gt;=4.25,"Critical",IF(T2128&gt;=3.5,"High",IF(T2128&gt;=2,"Medium","Low")))</f>
        <v/>
      </c>
    </row>
    <row r="2129">
      <c r="R2129">
        <f>IFERROR(XLOOKUP(XLOOKUP(D2129,tblReleaseChanges[Change_ID],tblReleaseChanges[Oracle_Severity],""),tblSeverityMap[Severity_Text],tblSeverityMap[Score],0),0)</f>
        <v/>
      </c>
      <c r="T2129">
        <f>ROUND((M2129*0.25)+(N2129*0.20)+(O2129*0.15)+(P2129*0.15)+(Q2129*0.10)+(R2129*0.10)+(S2129*0.05),2)</f>
        <v/>
      </c>
      <c r="U2129">
        <f>IF(T2129&gt;=4.25,"Critical",IF(T2129&gt;=3.5,"High",IF(T2129&gt;=2,"Medium","Low")))</f>
        <v/>
      </c>
    </row>
    <row r="2130">
      <c r="R2130">
        <f>IFERROR(XLOOKUP(XLOOKUP(D2130,tblReleaseChanges[Change_ID],tblReleaseChanges[Oracle_Severity],""),tblSeverityMap[Severity_Text],tblSeverityMap[Score],0),0)</f>
        <v/>
      </c>
      <c r="T2130">
        <f>ROUND((M2130*0.25)+(N2130*0.20)+(O2130*0.15)+(P2130*0.15)+(Q2130*0.10)+(R2130*0.10)+(S2130*0.05),2)</f>
        <v/>
      </c>
      <c r="U2130">
        <f>IF(T2130&gt;=4.25,"Critical",IF(T2130&gt;=3.5,"High",IF(T2130&gt;=2,"Medium","Low")))</f>
        <v/>
      </c>
    </row>
    <row r="2131">
      <c r="R2131">
        <f>IFERROR(XLOOKUP(XLOOKUP(D2131,tblReleaseChanges[Change_ID],tblReleaseChanges[Oracle_Severity],""),tblSeverityMap[Severity_Text],tblSeverityMap[Score],0),0)</f>
        <v/>
      </c>
      <c r="T2131">
        <f>ROUND((M2131*0.25)+(N2131*0.20)+(O2131*0.15)+(P2131*0.15)+(Q2131*0.10)+(R2131*0.10)+(S2131*0.05),2)</f>
        <v/>
      </c>
      <c r="U2131">
        <f>IF(T2131&gt;=4.25,"Critical",IF(T2131&gt;=3.5,"High",IF(T2131&gt;=2,"Medium","Low")))</f>
        <v/>
      </c>
    </row>
    <row r="2132">
      <c r="R2132">
        <f>IFERROR(XLOOKUP(XLOOKUP(D2132,tblReleaseChanges[Change_ID],tblReleaseChanges[Oracle_Severity],""),tblSeverityMap[Severity_Text],tblSeverityMap[Score],0),0)</f>
        <v/>
      </c>
      <c r="T2132">
        <f>ROUND((M2132*0.25)+(N2132*0.20)+(O2132*0.15)+(P2132*0.15)+(Q2132*0.10)+(R2132*0.10)+(S2132*0.05),2)</f>
        <v/>
      </c>
      <c r="U2132">
        <f>IF(T2132&gt;=4.25,"Critical",IF(T2132&gt;=3.5,"High",IF(T2132&gt;=2,"Medium","Low")))</f>
        <v/>
      </c>
    </row>
    <row r="2133">
      <c r="R2133">
        <f>IFERROR(XLOOKUP(XLOOKUP(D2133,tblReleaseChanges[Change_ID],tblReleaseChanges[Oracle_Severity],""),tblSeverityMap[Severity_Text],tblSeverityMap[Score],0),0)</f>
        <v/>
      </c>
      <c r="T2133">
        <f>ROUND((M2133*0.25)+(N2133*0.20)+(O2133*0.15)+(P2133*0.15)+(Q2133*0.10)+(R2133*0.10)+(S2133*0.05),2)</f>
        <v/>
      </c>
      <c r="U2133">
        <f>IF(T2133&gt;=4.25,"Critical",IF(T2133&gt;=3.5,"High",IF(T2133&gt;=2,"Medium","Low")))</f>
        <v/>
      </c>
    </row>
    <row r="2134">
      <c r="R2134">
        <f>IFERROR(XLOOKUP(XLOOKUP(D2134,tblReleaseChanges[Change_ID],tblReleaseChanges[Oracle_Severity],""),tblSeverityMap[Severity_Text],tblSeverityMap[Score],0),0)</f>
        <v/>
      </c>
      <c r="T2134">
        <f>ROUND((M2134*0.25)+(N2134*0.20)+(O2134*0.15)+(P2134*0.15)+(Q2134*0.10)+(R2134*0.10)+(S2134*0.05),2)</f>
        <v/>
      </c>
      <c r="U2134">
        <f>IF(T2134&gt;=4.25,"Critical",IF(T2134&gt;=3.5,"High",IF(T2134&gt;=2,"Medium","Low")))</f>
        <v/>
      </c>
    </row>
    <row r="2135">
      <c r="R2135">
        <f>IFERROR(XLOOKUP(XLOOKUP(D2135,tblReleaseChanges[Change_ID],tblReleaseChanges[Oracle_Severity],""),tblSeverityMap[Severity_Text],tblSeverityMap[Score],0),0)</f>
        <v/>
      </c>
      <c r="T2135">
        <f>ROUND((M2135*0.25)+(N2135*0.20)+(O2135*0.15)+(P2135*0.15)+(Q2135*0.10)+(R2135*0.10)+(S2135*0.05),2)</f>
        <v/>
      </c>
      <c r="U2135">
        <f>IF(T2135&gt;=4.25,"Critical",IF(T2135&gt;=3.5,"High",IF(T2135&gt;=2,"Medium","Low")))</f>
        <v/>
      </c>
    </row>
    <row r="2136">
      <c r="R2136">
        <f>IFERROR(XLOOKUP(XLOOKUP(D2136,tblReleaseChanges[Change_ID],tblReleaseChanges[Oracle_Severity],""),tblSeverityMap[Severity_Text],tblSeverityMap[Score],0),0)</f>
        <v/>
      </c>
      <c r="T2136">
        <f>ROUND((M2136*0.25)+(N2136*0.20)+(O2136*0.15)+(P2136*0.15)+(Q2136*0.10)+(R2136*0.10)+(S2136*0.05),2)</f>
        <v/>
      </c>
      <c r="U2136">
        <f>IF(T2136&gt;=4.25,"Critical",IF(T2136&gt;=3.5,"High",IF(T2136&gt;=2,"Medium","Low")))</f>
        <v/>
      </c>
    </row>
    <row r="2137">
      <c r="R2137">
        <f>IFERROR(XLOOKUP(XLOOKUP(D2137,tblReleaseChanges[Change_ID],tblReleaseChanges[Oracle_Severity],""),tblSeverityMap[Severity_Text],tblSeverityMap[Score],0),0)</f>
        <v/>
      </c>
      <c r="T2137">
        <f>ROUND((M2137*0.25)+(N2137*0.20)+(O2137*0.15)+(P2137*0.15)+(Q2137*0.10)+(R2137*0.10)+(S2137*0.05),2)</f>
        <v/>
      </c>
      <c r="U2137">
        <f>IF(T2137&gt;=4.25,"Critical",IF(T2137&gt;=3.5,"High",IF(T2137&gt;=2,"Medium","Low")))</f>
        <v/>
      </c>
    </row>
    <row r="2138">
      <c r="R2138">
        <f>IFERROR(XLOOKUP(XLOOKUP(D2138,tblReleaseChanges[Change_ID],tblReleaseChanges[Oracle_Severity],""),tblSeverityMap[Severity_Text],tblSeverityMap[Score],0),0)</f>
        <v/>
      </c>
      <c r="T2138">
        <f>ROUND((M2138*0.25)+(N2138*0.20)+(O2138*0.15)+(P2138*0.15)+(Q2138*0.10)+(R2138*0.10)+(S2138*0.05),2)</f>
        <v/>
      </c>
      <c r="U2138">
        <f>IF(T2138&gt;=4.25,"Critical",IF(T2138&gt;=3.5,"High",IF(T2138&gt;=2,"Medium","Low")))</f>
        <v/>
      </c>
    </row>
    <row r="2139">
      <c r="R2139">
        <f>IFERROR(XLOOKUP(XLOOKUP(D2139,tblReleaseChanges[Change_ID],tblReleaseChanges[Oracle_Severity],""),tblSeverityMap[Severity_Text],tblSeverityMap[Score],0),0)</f>
        <v/>
      </c>
      <c r="T2139">
        <f>ROUND((M2139*0.25)+(N2139*0.20)+(O2139*0.15)+(P2139*0.15)+(Q2139*0.10)+(R2139*0.10)+(S2139*0.05),2)</f>
        <v/>
      </c>
      <c r="U2139">
        <f>IF(T2139&gt;=4.25,"Critical",IF(T2139&gt;=3.5,"High",IF(T2139&gt;=2,"Medium","Low")))</f>
        <v/>
      </c>
    </row>
    <row r="2140">
      <c r="R2140">
        <f>IFERROR(XLOOKUP(XLOOKUP(D2140,tblReleaseChanges[Change_ID],tblReleaseChanges[Oracle_Severity],""),tblSeverityMap[Severity_Text],tblSeverityMap[Score],0),0)</f>
        <v/>
      </c>
      <c r="T2140">
        <f>ROUND((M2140*0.25)+(N2140*0.20)+(O2140*0.15)+(P2140*0.15)+(Q2140*0.10)+(R2140*0.10)+(S2140*0.05),2)</f>
        <v/>
      </c>
      <c r="U2140">
        <f>IF(T2140&gt;=4.25,"Critical",IF(T2140&gt;=3.5,"High",IF(T2140&gt;=2,"Medium","Low")))</f>
        <v/>
      </c>
    </row>
    <row r="2141">
      <c r="R2141">
        <f>IFERROR(XLOOKUP(XLOOKUP(D2141,tblReleaseChanges[Change_ID],tblReleaseChanges[Oracle_Severity],""),tblSeverityMap[Severity_Text],tblSeverityMap[Score],0),0)</f>
        <v/>
      </c>
      <c r="T2141">
        <f>ROUND((M2141*0.25)+(N2141*0.20)+(O2141*0.15)+(P2141*0.15)+(Q2141*0.10)+(R2141*0.10)+(S2141*0.05),2)</f>
        <v/>
      </c>
      <c r="U2141">
        <f>IF(T2141&gt;=4.25,"Critical",IF(T2141&gt;=3.5,"High",IF(T2141&gt;=2,"Medium","Low")))</f>
        <v/>
      </c>
    </row>
    <row r="2142">
      <c r="R2142">
        <f>IFERROR(XLOOKUP(XLOOKUP(D2142,tblReleaseChanges[Change_ID],tblReleaseChanges[Oracle_Severity],""),tblSeverityMap[Severity_Text],tblSeverityMap[Score],0),0)</f>
        <v/>
      </c>
      <c r="T2142">
        <f>ROUND((M2142*0.25)+(N2142*0.20)+(O2142*0.15)+(P2142*0.15)+(Q2142*0.10)+(R2142*0.10)+(S2142*0.05),2)</f>
        <v/>
      </c>
      <c r="U2142">
        <f>IF(T2142&gt;=4.25,"Critical",IF(T2142&gt;=3.5,"High",IF(T2142&gt;=2,"Medium","Low")))</f>
        <v/>
      </c>
    </row>
    <row r="2143">
      <c r="R2143">
        <f>IFERROR(XLOOKUP(XLOOKUP(D2143,tblReleaseChanges[Change_ID],tblReleaseChanges[Oracle_Severity],""),tblSeverityMap[Severity_Text],tblSeverityMap[Score],0),0)</f>
        <v/>
      </c>
      <c r="T2143">
        <f>ROUND((M2143*0.25)+(N2143*0.20)+(O2143*0.15)+(P2143*0.15)+(Q2143*0.10)+(R2143*0.10)+(S2143*0.05),2)</f>
        <v/>
      </c>
      <c r="U2143">
        <f>IF(T2143&gt;=4.25,"Critical",IF(T2143&gt;=3.5,"High",IF(T2143&gt;=2,"Medium","Low")))</f>
        <v/>
      </c>
    </row>
    <row r="2144">
      <c r="R2144">
        <f>IFERROR(XLOOKUP(XLOOKUP(D2144,tblReleaseChanges[Change_ID],tblReleaseChanges[Oracle_Severity],""),tblSeverityMap[Severity_Text],tblSeverityMap[Score],0),0)</f>
        <v/>
      </c>
      <c r="T2144">
        <f>ROUND((M2144*0.25)+(N2144*0.20)+(O2144*0.15)+(P2144*0.15)+(Q2144*0.10)+(R2144*0.10)+(S2144*0.05),2)</f>
        <v/>
      </c>
      <c r="U2144">
        <f>IF(T2144&gt;=4.25,"Critical",IF(T2144&gt;=3.5,"High",IF(T2144&gt;=2,"Medium","Low")))</f>
        <v/>
      </c>
    </row>
    <row r="2145">
      <c r="R2145">
        <f>IFERROR(XLOOKUP(XLOOKUP(D2145,tblReleaseChanges[Change_ID],tblReleaseChanges[Oracle_Severity],""),tblSeverityMap[Severity_Text],tblSeverityMap[Score],0),0)</f>
        <v/>
      </c>
      <c r="T2145">
        <f>ROUND((M2145*0.25)+(N2145*0.20)+(O2145*0.15)+(P2145*0.15)+(Q2145*0.10)+(R2145*0.10)+(S2145*0.05),2)</f>
        <v/>
      </c>
      <c r="U2145">
        <f>IF(T2145&gt;=4.25,"Critical",IF(T2145&gt;=3.5,"High",IF(T2145&gt;=2,"Medium","Low")))</f>
        <v/>
      </c>
    </row>
    <row r="2146">
      <c r="R2146">
        <f>IFERROR(XLOOKUP(XLOOKUP(D2146,tblReleaseChanges[Change_ID],tblReleaseChanges[Oracle_Severity],""),tblSeverityMap[Severity_Text],tblSeverityMap[Score],0),0)</f>
        <v/>
      </c>
      <c r="T2146">
        <f>ROUND((M2146*0.25)+(N2146*0.20)+(O2146*0.15)+(P2146*0.15)+(Q2146*0.10)+(R2146*0.10)+(S2146*0.05),2)</f>
        <v/>
      </c>
      <c r="U2146">
        <f>IF(T2146&gt;=4.25,"Critical",IF(T2146&gt;=3.5,"High",IF(T2146&gt;=2,"Medium","Low")))</f>
        <v/>
      </c>
    </row>
    <row r="2147">
      <c r="R2147">
        <f>IFERROR(XLOOKUP(XLOOKUP(D2147,tblReleaseChanges[Change_ID],tblReleaseChanges[Oracle_Severity],""),tblSeverityMap[Severity_Text],tblSeverityMap[Score],0),0)</f>
        <v/>
      </c>
      <c r="T2147">
        <f>ROUND((M2147*0.25)+(N2147*0.20)+(O2147*0.15)+(P2147*0.15)+(Q2147*0.10)+(R2147*0.10)+(S2147*0.05),2)</f>
        <v/>
      </c>
      <c r="U2147">
        <f>IF(T2147&gt;=4.25,"Critical",IF(T2147&gt;=3.5,"High",IF(T2147&gt;=2,"Medium","Low")))</f>
        <v/>
      </c>
    </row>
    <row r="2148">
      <c r="R2148">
        <f>IFERROR(XLOOKUP(XLOOKUP(D2148,tblReleaseChanges[Change_ID],tblReleaseChanges[Oracle_Severity],""),tblSeverityMap[Severity_Text],tblSeverityMap[Score],0),0)</f>
        <v/>
      </c>
      <c r="T2148">
        <f>ROUND((M2148*0.25)+(N2148*0.20)+(O2148*0.15)+(P2148*0.15)+(Q2148*0.10)+(R2148*0.10)+(S2148*0.05),2)</f>
        <v/>
      </c>
      <c r="U2148">
        <f>IF(T2148&gt;=4.25,"Critical",IF(T2148&gt;=3.5,"High",IF(T2148&gt;=2,"Medium","Low")))</f>
        <v/>
      </c>
    </row>
    <row r="2149">
      <c r="R2149">
        <f>IFERROR(XLOOKUP(XLOOKUP(D2149,tblReleaseChanges[Change_ID],tblReleaseChanges[Oracle_Severity],""),tblSeverityMap[Severity_Text],tblSeverityMap[Score],0),0)</f>
        <v/>
      </c>
      <c r="T2149">
        <f>ROUND((M2149*0.25)+(N2149*0.20)+(O2149*0.15)+(P2149*0.15)+(Q2149*0.10)+(R2149*0.10)+(S2149*0.05),2)</f>
        <v/>
      </c>
      <c r="U2149">
        <f>IF(T2149&gt;=4.25,"Critical",IF(T2149&gt;=3.5,"High",IF(T2149&gt;=2,"Medium","Low")))</f>
        <v/>
      </c>
    </row>
    <row r="2150">
      <c r="R2150">
        <f>IFERROR(XLOOKUP(XLOOKUP(D2150,tblReleaseChanges[Change_ID],tblReleaseChanges[Oracle_Severity],""),tblSeverityMap[Severity_Text],tblSeverityMap[Score],0),0)</f>
        <v/>
      </c>
      <c r="T2150">
        <f>ROUND((M2150*0.25)+(N2150*0.20)+(O2150*0.15)+(P2150*0.15)+(Q2150*0.10)+(R2150*0.10)+(S2150*0.05),2)</f>
        <v/>
      </c>
      <c r="U2150">
        <f>IF(T2150&gt;=4.25,"Critical",IF(T2150&gt;=3.5,"High",IF(T2150&gt;=2,"Medium","Low")))</f>
        <v/>
      </c>
    </row>
    <row r="2151">
      <c r="R2151">
        <f>IFERROR(XLOOKUP(XLOOKUP(D2151,tblReleaseChanges[Change_ID],tblReleaseChanges[Oracle_Severity],""),tblSeverityMap[Severity_Text],tblSeverityMap[Score],0),0)</f>
        <v/>
      </c>
      <c r="T2151">
        <f>ROUND((M2151*0.25)+(N2151*0.20)+(O2151*0.15)+(P2151*0.15)+(Q2151*0.10)+(R2151*0.10)+(S2151*0.05),2)</f>
        <v/>
      </c>
      <c r="U2151">
        <f>IF(T2151&gt;=4.25,"Critical",IF(T2151&gt;=3.5,"High",IF(T2151&gt;=2,"Medium","Low")))</f>
        <v/>
      </c>
    </row>
    <row r="2152">
      <c r="R2152">
        <f>IFERROR(XLOOKUP(XLOOKUP(D2152,tblReleaseChanges[Change_ID],tblReleaseChanges[Oracle_Severity],""),tblSeverityMap[Severity_Text],tblSeverityMap[Score],0),0)</f>
        <v/>
      </c>
      <c r="T2152">
        <f>ROUND((M2152*0.25)+(N2152*0.20)+(O2152*0.15)+(P2152*0.15)+(Q2152*0.10)+(R2152*0.10)+(S2152*0.05),2)</f>
        <v/>
      </c>
      <c r="U2152">
        <f>IF(T2152&gt;=4.25,"Critical",IF(T2152&gt;=3.5,"High",IF(T2152&gt;=2,"Medium","Low")))</f>
        <v/>
      </c>
    </row>
    <row r="2153">
      <c r="R2153">
        <f>IFERROR(XLOOKUP(XLOOKUP(D2153,tblReleaseChanges[Change_ID],tblReleaseChanges[Oracle_Severity],""),tblSeverityMap[Severity_Text],tblSeverityMap[Score],0),0)</f>
        <v/>
      </c>
      <c r="T2153">
        <f>ROUND((M2153*0.25)+(N2153*0.20)+(O2153*0.15)+(P2153*0.15)+(Q2153*0.10)+(R2153*0.10)+(S2153*0.05),2)</f>
        <v/>
      </c>
      <c r="U2153">
        <f>IF(T2153&gt;=4.25,"Critical",IF(T2153&gt;=3.5,"High",IF(T2153&gt;=2,"Medium","Low")))</f>
        <v/>
      </c>
    </row>
    <row r="2154">
      <c r="R2154">
        <f>IFERROR(XLOOKUP(XLOOKUP(D2154,tblReleaseChanges[Change_ID],tblReleaseChanges[Oracle_Severity],""),tblSeverityMap[Severity_Text],tblSeverityMap[Score],0),0)</f>
        <v/>
      </c>
      <c r="T2154">
        <f>ROUND((M2154*0.25)+(N2154*0.20)+(O2154*0.15)+(P2154*0.15)+(Q2154*0.10)+(R2154*0.10)+(S2154*0.05),2)</f>
        <v/>
      </c>
      <c r="U2154">
        <f>IF(T2154&gt;=4.25,"Critical",IF(T2154&gt;=3.5,"High",IF(T2154&gt;=2,"Medium","Low")))</f>
        <v/>
      </c>
    </row>
    <row r="2155">
      <c r="R2155">
        <f>IFERROR(XLOOKUP(XLOOKUP(D2155,tblReleaseChanges[Change_ID],tblReleaseChanges[Oracle_Severity],""),tblSeverityMap[Severity_Text],tblSeverityMap[Score],0),0)</f>
        <v/>
      </c>
      <c r="T2155">
        <f>ROUND((M2155*0.25)+(N2155*0.20)+(O2155*0.15)+(P2155*0.15)+(Q2155*0.10)+(R2155*0.10)+(S2155*0.05),2)</f>
        <v/>
      </c>
      <c r="U2155">
        <f>IF(T2155&gt;=4.25,"Critical",IF(T2155&gt;=3.5,"High",IF(T2155&gt;=2,"Medium","Low")))</f>
        <v/>
      </c>
    </row>
    <row r="2156">
      <c r="R2156">
        <f>IFERROR(XLOOKUP(XLOOKUP(D2156,tblReleaseChanges[Change_ID],tblReleaseChanges[Oracle_Severity],""),tblSeverityMap[Severity_Text],tblSeverityMap[Score],0),0)</f>
        <v/>
      </c>
      <c r="T2156">
        <f>ROUND((M2156*0.25)+(N2156*0.20)+(O2156*0.15)+(P2156*0.15)+(Q2156*0.10)+(R2156*0.10)+(S2156*0.05),2)</f>
        <v/>
      </c>
      <c r="U2156">
        <f>IF(T2156&gt;=4.25,"Critical",IF(T2156&gt;=3.5,"High",IF(T2156&gt;=2,"Medium","Low")))</f>
        <v/>
      </c>
    </row>
    <row r="2157">
      <c r="R2157">
        <f>IFERROR(XLOOKUP(XLOOKUP(D2157,tblReleaseChanges[Change_ID],tblReleaseChanges[Oracle_Severity],""),tblSeverityMap[Severity_Text],tblSeverityMap[Score],0),0)</f>
        <v/>
      </c>
      <c r="T2157">
        <f>ROUND((M2157*0.25)+(N2157*0.20)+(O2157*0.15)+(P2157*0.15)+(Q2157*0.10)+(R2157*0.10)+(S2157*0.05),2)</f>
        <v/>
      </c>
      <c r="U2157">
        <f>IF(T2157&gt;=4.25,"Critical",IF(T2157&gt;=3.5,"High",IF(T2157&gt;=2,"Medium","Low")))</f>
        <v/>
      </c>
    </row>
    <row r="2158">
      <c r="R2158">
        <f>IFERROR(XLOOKUP(XLOOKUP(D2158,tblReleaseChanges[Change_ID],tblReleaseChanges[Oracle_Severity],""),tblSeverityMap[Severity_Text],tblSeverityMap[Score],0),0)</f>
        <v/>
      </c>
      <c r="T2158">
        <f>ROUND((M2158*0.25)+(N2158*0.20)+(O2158*0.15)+(P2158*0.15)+(Q2158*0.10)+(R2158*0.10)+(S2158*0.05),2)</f>
        <v/>
      </c>
      <c r="U2158">
        <f>IF(T2158&gt;=4.25,"Critical",IF(T2158&gt;=3.5,"High",IF(T2158&gt;=2,"Medium","Low")))</f>
        <v/>
      </c>
    </row>
    <row r="2159">
      <c r="R2159">
        <f>IFERROR(XLOOKUP(XLOOKUP(D2159,tblReleaseChanges[Change_ID],tblReleaseChanges[Oracle_Severity],""),tblSeverityMap[Severity_Text],tblSeverityMap[Score],0),0)</f>
        <v/>
      </c>
      <c r="T2159">
        <f>ROUND((M2159*0.25)+(N2159*0.20)+(O2159*0.15)+(P2159*0.15)+(Q2159*0.10)+(R2159*0.10)+(S2159*0.05),2)</f>
        <v/>
      </c>
      <c r="U2159">
        <f>IF(T2159&gt;=4.25,"Critical",IF(T2159&gt;=3.5,"High",IF(T2159&gt;=2,"Medium","Low")))</f>
        <v/>
      </c>
    </row>
    <row r="2160">
      <c r="R2160">
        <f>IFERROR(XLOOKUP(XLOOKUP(D2160,tblReleaseChanges[Change_ID],tblReleaseChanges[Oracle_Severity],""),tblSeverityMap[Severity_Text],tblSeverityMap[Score],0),0)</f>
        <v/>
      </c>
      <c r="T2160">
        <f>ROUND((M2160*0.25)+(N2160*0.20)+(O2160*0.15)+(P2160*0.15)+(Q2160*0.10)+(R2160*0.10)+(S2160*0.05),2)</f>
        <v/>
      </c>
      <c r="U2160">
        <f>IF(T2160&gt;=4.25,"Critical",IF(T2160&gt;=3.5,"High",IF(T2160&gt;=2,"Medium","Low")))</f>
        <v/>
      </c>
    </row>
    <row r="2161">
      <c r="R2161">
        <f>IFERROR(XLOOKUP(XLOOKUP(D2161,tblReleaseChanges[Change_ID],tblReleaseChanges[Oracle_Severity],""),tblSeverityMap[Severity_Text],tblSeverityMap[Score],0),0)</f>
        <v/>
      </c>
      <c r="T2161">
        <f>ROUND((M2161*0.25)+(N2161*0.20)+(O2161*0.15)+(P2161*0.15)+(Q2161*0.10)+(R2161*0.10)+(S2161*0.05),2)</f>
        <v/>
      </c>
      <c r="U2161">
        <f>IF(T2161&gt;=4.25,"Critical",IF(T2161&gt;=3.5,"High",IF(T2161&gt;=2,"Medium","Low")))</f>
        <v/>
      </c>
    </row>
    <row r="2162">
      <c r="R2162">
        <f>IFERROR(XLOOKUP(XLOOKUP(D2162,tblReleaseChanges[Change_ID],tblReleaseChanges[Oracle_Severity],""),tblSeverityMap[Severity_Text],tblSeverityMap[Score],0),0)</f>
        <v/>
      </c>
      <c r="T2162">
        <f>ROUND((M2162*0.25)+(N2162*0.20)+(O2162*0.15)+(P2162*0.15)+(Q2162*0.10)+(R2162*0.10)+(S2162*0.05),2)</f>
        <v/>
      </c>
      <c r="U2162">
        <f>IF(T2162&gt;=4.25,"Critical",IF(T2162&gt;=3.5,"High",IF(T2162&gt;=2,"Medium","Low")))</f>
        <v/>
      </c>
    </row>
    <row r="2163">
      <c r="R2163">
        <f>IFERROR(XLOOKUP(XLOOKUP(D2163,tblReleaseChanges[Change_ID],tblReleaseChanges[Oracle_Severity],""),tblSeverityMap[Severity_Text],tblSeverityMap[Score],0),0)</f>
        <v/>
      </c>
      <c r="T2163">
        <f>ROUND((M2163*0.25)+(N2163*0.20)+(O2163*0.15)+(P2163*0.15)+(Q2163*0.10)+(R2163*0.10)+(S2163*0.05),2)</f>
        <v/>
      </c>
      <c r="U2163">
        <f>IF(T2163&gt;=4.25,"Critical",IF(T2163&gt;=3.5,"High",IF(T2163&gt;=2,"Medium","Low")))</f>
        <v/>
      </c>
    </row>
    <row r="2164">
      <c r="R2164">
        <f>IFERROR(XLOOKUP(XLOOKUP(D2164,tblReleaseChanges[Change_ID],tblReleaseChanges[Oracle_Severity],""),tblSeverityMap[Severity_Text],tblSeverityMap[Score],0),0)</f>
        <v/>
      </c>
      <c r="T2164">
        <f>ROUND((M2164*0.25)+(N2164*0.20)+(O2164*0.15)+(P2164*0.15)+(Q2164*0.10)+(R2164*0.10)+(S2164*0.05),2)</f>
        <v/>
      </c>
      <c r="U2164">
        <f>IF(T2164&gt;=4.25,"Critical",IF(T2164&gt;=3.5,"High",IF(T2164&gt;=2,"Medium","Low")))</f>
        <v/>
      </c>
    </row>
    <row r="2165">
      <c r="R2165">
        <f>IFERROR(XLOOKUP(XLOOKUP(D2165,tblReleaseChanges[Change_ID],tblReleaseChanges[Oracle_Severity],""),tblSeverityMap[Severity_Text],tblSeverityMap[Score],0),0)</f>
        <v/>
      </c>
      <c r="T2165">
        <f>ROUND((M2165*0.25)+(N2165*0.20)+(O2165*0.15)+(P2165*0.15)+(Q2165*0.10)+(R2165*0.10)+(S2165*0.05),2)</f>
        <v/>
      </c>
      <c r="U2165">
        <f>IF(T2165&gt;=4.25,"Critical",IF(T2165&gt;=3.5,"High",IF(T2165&gt;=2,"Medium","Low")))</f>
        <v/>
      </c>
    </row>
    <row r="2166">
      <c r="R2166">
        <f>IFERROR(XLOOKUP(XLOOKUP(D2166,tblReleaseChanges[Change_ID],tblReleaseChanges[Oracle_Severity],""),tblSeverityMap[Severity_Text],tblSeverityMap[Score],0),0)</f>
        <v/>
      </c>
      <c r="T2166">
        <f>ROUND((M2166*0.25)+(N2166*0.20)+(O2166*0.15)+(P2166*0.15)+(Q2166*0.10)+(R2166*0.10)+(S2166*0.05),2)</f>
        <v/>
      </c>
      <c r="U2166">
        <f>IF(T2166&gt;=4.25,"Critical",IF(T2166&gt;=3.5,"High",IF(T2166&gt;=2,"Medium","Low")))</f>
        <v/>
      </c>
    </row>
    <row r="2167">
      <c r="R2167">
        <f>IFERROR(XLOOKUP(XLOOKUP(D2167,tblReleaseChanges[Change_ID],tblReleaseChanges[Oracle_Severity],""),tblSeverityMap[Severity_Text],tblSeverityMap[Score],0),0)</f>
        <v/>
      </c>
      <c r="T2167">
        <f>ROUND((M2167*0.25)+(N2167*0.20)+(O2167*0.15)+(P2167*0.15)+(Q2167*0.10)+(R2167*0.10)+(S2167*0.05),2)</f>
        <v/>
      </c>
      <c r="U2167">
        <f>IF(T2167&gt;=4.25,"Critical",IF(T2167&gt;=3.5,"High",IF(T2167&gt;=2,"Medium","Low")))</f>
        <v/>
      </c>
    </row>
    <row r="2168">
      <c r="R2168">
        <f>IFERROR(XLOOKUP(XLOOKUP(D2168,tblReleaseChanges[Change_ID],tblReleaseChanges[Oracle_Severity],""),tblSeverityMap[Severity_Text],tblSeverityMap[Score],0),0)</f>
        <v/>
      </c>
      <c r="T2168">
        <f>ROUND((M2168*0.25)+(N2168*0.20)+(O2168*0.15)+(P2168*0.15)+(Q2168*0.10)+(R2168*0.10)+(S2168*0.05),2)</f>
        <v/>
      </c>
      <c r="U2168">
        <f>IF(T2168&gt;=4.25,"Critical",IF(T2168&gt;=3.5,"High",IF(T2168&gt;=2,"Medium","Low")))</f>
        <v/>
      </c>
    </row>
    <row r="2169">
      <c r="R2169">
        <f>IFERROR(XLOOKUP(XLOOKUP(D2169,tblReleaseChanges[Change_ID],tblReleaseChanges[Oracle_Severity],""),tblSeverityMap[Severity_Text],tblSeverityMap[Score],0),0)</f>
        <v/>
      </c>
      <c r="T2169">
        <f>ROUND((M2169*0.25)+(N2169*0.20)+(O2169*0.15)+(P2169*0.15)+(Q2169*0.10)+(R2169*0.10)+(S2169*0.05),2)</f>
        <v/>
      </c>
      <c r="U2169">
        <f>IF(T2169&gt;=4.25,"Critical",IF(T2169&gt;=3.5,"High",IF(T2169&gt;=2,"Medium","Low")))</f>
        <v/>
      </c>
    </row>
    <row r="2170">
      <c r="R2170">
        <f>IFERROR(XLOOKUP(XLOOKUP(D2170,tblReleaseChanges[Change_ID],tblReleaseChanges[Oracle_Severity],""),tblSeverityMap[Severity_Text],tblSeverityMap[Score],0),0)</f>
        <v/>
      </c>
      <c r="T2170">
        <f>ROUND((M2170*0.25)+(N2170*0.20)+(O2170*0.15)+(P2170*0.15)+(Q2170*0.10)+(R2170*0.10)+(S2170*0.05),2)</f>
        <v/>
      </c>
      <c r="U2170">
        <f>IF(T2170&gt;=4.25,"Critical",IF(T2170&gt;=3.5,"High",IF(T2170&gt;=2,"Medium","Low")))</f>
        <v/>
      </c>
    </row>
    <row r="2171">
      <c r="R2171">
        <f>IFERROR(XLOOKUP(XLOOKUP(D2171,tblReleaseChanges[Change_ID],tblReleaseChanges[Oracle_Severity],""),tblSeverityMap[Severity_Text],tblSeverityMap[Score],0),0)</f>
        <v/>
      </c>
      <c r="T2171">
        <f>ROUND((M2171*0.25)+(N2171*0.20)+(O2171*0.15)+(P2171*0.15)+(Q2171*0.10)+(R2171*0.10)+(S2171*0.05),2)</f>
        <v/>
      </c>
      <c r="U2171">
        <f>IF(T2171&gt;=4.25,"Critical",IF(T2171&gt;=3.5,"High",IF(T2171&gt;=2,"Medium","Low")))</f>
        <v/>
      </c>
    </row>
    <row r="2172">
      <c r="R2172">
        <f>IFERROR(XLOOKUP(XLOOKUP(D2172,tblReleaseChanges[Change_ID],tblReleaseChanges[Oracle_Severity],""),tblSeverityMap[Severity_Text],tblSeverityMap[Score],0),0)</f>
        <v/>
      </c>
      <c r="T2172">
        <f>ROUND((M2172*0.25)+(N2172*0.20)+(O2172*0.15)+(P2172*0.15)+(Q2172*0.10)+(R2172*0.10)+(S2172*0.05),2)</f>
        <v/>
      </c>
      <c r="U2172">
        <f>IF(T2172&gt;=4.25,"Critical",IF(T2172&gt;=3.5,"High",IF(T2172&gt;=2,"Medium","Low")))</f>
        <v/>
      </c>
    </row>
    <row r="2173">
      <c r="R2173">
        <f>IFERROR(XLOOKUP(XLOOKUP(D2173,tblReleaseChanges[Change_ID],tblReleaseChanges[Oracle_Severity],""),tblSeverityMap[Severity_Text],tblSeverityMap[Score],0),0)</f>
        <v/>
      </c>
      <c r="T2173">
        <f>ROUND((M2173*0.25)+(N2173*0.20)+(O2173*0.15)+(P2173*0.15)+(Q2173*0.10)+(R2173*0.10)+(S2173*0.05),2)</f>
        <v/>
      </c>
      <c r="U2173">
        <f>IF(T2173&gt;=4.25,"Critical",IF(T2173&gt;=3.5,"High",IF(T2173&gt;=2,"Medium","Low")))</f>
        <v/>
      </c>
    </row>
    <row r="2174">
      <c r="R2174">
        <f>IFERROR(XLOOKUP(XLOOKUP(D2174,tblReleaseChanges[Change_ID],tblReleaseChanges[Oracle_Severity],""),tblSeverityMap[Severity_Text],tblSeverityMap[Score],0),0)</f>
        <v/>
      </c>
      <c r="T2174">
        <f>ROUND((M2174*0.25)+(N2174*0.20)+(O2174*0.15)+(P2174*0.15)+(Q2174*0.10)+(R2174*0.10)+(S2174*0.05),2)</f>
        <v/>
      </c>
      <c r="U2174">
        <f>IF(T2174&gt;=4.25,"Critical",IF(T2174&gt;=3.5,"High",IF(T2174&gt;=2,"Medium","Low")))</f>
        <v/>
      </c>
    </row>
    <row r="2175">
      <c r="R2175">
        <f>IFERROR(XLOOKUP(XLOOKUP(D2175,tblReleaseChanges[Change_ID],tblReleaseChanges[Oracle_Severity],""),tblSeverityMap[Severity_Text],tblSeverityMap[Score],0),0)</f>
        <v/>
      </c>
      <c r="T2175">
        <f>ROUND((M2175*0.25)+(N2175*0.20)+(O2175*0.15)+(P2175*0.15)+(Q2175*0.10)+(R2175*0.10)+(S2175*0.05),2)</f>
        <v/>
      </c>
      <c r="U2175">
        <f>IF(T2175&gt;=4.25,"Critical",IF(T2175&gt;=3.5,"High",IF(T2175&gt;=2,"Medium","Low")))</f>
        <v/>
      </c>
    </row>
    <row r="2176">
      <c r="R2176">
        <f>IFERROR(XLOOKUP(XLOOKUP(D2176,tblReleaseChanges[Change_ID],tblReleaseChanges[Oracle_Severity],""),tblSeverityMap[Severity_Text],tblSeverityMap[Score],0),0)</f>
        <v/>
      </c>
      <c r="T2176">
        <f>ROUND((M2176*0.25)+(N2176*0.20)+(O2176*0.15)+(P2176*0.15)+(Q2176*0.10)+(R2176*0.10)+(S2176*0.05),2)</f>
        <v/>
      </c>
      <c r="U2176">
        <f>IF(T2176&gt;=4.25,"Critical",IF(T2176&gt;=3.5,"High",IF(T2176&gt;=2,"Medium","Low")))</f>
        <v/>
      </c>
    </row>
    <row r="2177">
      <c r="R2177">
        <f>IFERROR(XLOOKUP(XLOOKUP(D2177,tblReleaseChanges[Change_ID],tblReleaseChanges[Oracle_Severity],""),tblSeverityMap[Severity_Text],tblSeverityMap[Score],0),0)</f>
        <v/>
      </c>
      <c r="T2177">
        <f>ROUND((M2177*0.25)+(N2177*0.20)+(O2177*0.15)+(P2177*0.15)+(Q2177*0.10)+(R2177*0.10)+(S2177*0.05),2)</f>
        <v/>
      </c>
      <c r="U2177">
        <f>IF(T2177&gt;=4.25,"Critical",IF(T2177&gt;=3.5,"High",IF(T2177&gt;=2,"Medium","Low")))</f>
        <v/>
      </c>
    </row>
    <row r="2178">
      <c r="R2178">
        <f>IFERROR(XLOOKUP(XLOOKUP(D2178,tblReleaseChanges[Change_ID],tblReleaseChanges[Oracle_Severity],""),tblSeverityMap[Severity_Text],tblSeverityMap[Score],0),0)</f>
        <v/>
      </c>
      <c r="T2178">
        <f>ROUND((M2178*0.25)+(N2178*0.20)+(O2178*0.15)+(P2178*0.15)+(Q2178*0.10)+(R2178*0.10)+(S2178*0.05),2)</f>
        <v/>
      </c>
      <c r="U2178">
        <f>IF(T2178&gt;=4.25,"Critical",IF(T2178&gt;=3.5,"High",IF(T2178&gt;=2,"Medium","Low")))</f>
        <v/>
      </c>
    </row>
    <row r="2179">
      <c r="R2179">
        <f>IFERROR(XLOOKUP(XLOOKUP(D2179,tblReleaseChanges[Change_ID],tblReleaseChanges[Oracle_Severity],""),tblSeverityMap[Severity_Text],tblSeverityMap[Score],0),0)</f>
        <v/>
      </c>
      <c r="T2179">
        <f>ROUND((M2179*0.25)+(N2179*0.20)+(O2179*0.15)+(P2179*0.15)+(Q2179*0.10)+(R2179*0.10)+(S2179*0.05),2)</f>
        <v/>
      </c>
      <c r="U2179">
        <f>IF(T2179&gt;=4.25,"Critical",IF(T2179&gt;=3.5,"High",IF(T2179&gt;=2,"Medium","Low")))</f>
        <v/>
      </c>
    </row>
    <row r="2180">
      <c r="R2180">
        <f>IFERROR(XLOOKUP(XLOOKUP(D2180,tblReleaseChanges[Change_ID],tblReleaseChanges[Oracle_Severity],""),tblSeverityMap[Severity_Text],tblSeverityMap[Score],0),0)</f>
        <v/>
      </c>
      <c r="T2180">
        <f>ROUND((M2180*0.25)+(N2180*0.20)+(O2180*0.15)+(P2180*0.15)+(Q2180*0.10)+(R2180*0.10)+(S2180*0.05),2)</f>
        <v/>
      </c>
      <c r="U2180">
        <f>IF(T2180&gt;=4.25,"Critical",IF(T2180&gt;=3.5,"High",IF(T2180&gt;=2,"Medium","Low")))</f>
        <v/>
      </c>
    </row>
    <row r="2181">
      <c r="R2181">
        <f>IFERROR(XLOOKUP(XLOOKUP(D2181,tblReleaseChanges[Change_ID],tblReleaseChanges[Oracle_Severity],""),tblSeverityMap[Severity_Text],tblSeverityMap[Score],0),0)</f>
        <v/>
      </c>
      <c r="T2181">
        <f>ROUND((M2181*0.25)+(N2181*0.20)+(O2181*0.15)+(P2181*0.15)+(Q2181*0.10)+(R2181*0.10)+(S2181*0.05),2)</f>
        <v/>
      </c>
      <c r="U2181">
        <f>IF(T2181&gt;=4.25,"Critical",IF(T2181&gt;=3.5,"High",IF(T2181&gt;=2,"Medium","Low")))</f>
        <v/>
      </c>
    </row>
    <row r="2182">
      <c r="R2182">
        <f>IFERROR(XLOOKUP(XLOOKUP(D2182,tblReleaseChanges[Change_ID],tblReleaseChanges[Oracle_Severity],""),tblSeverityMap[Severity_Text],tblSeverityMap[Score],0),0)</f>
        <v/>
      </c>
      <c r="T2182">
        <f>ROUND((M2182*0.25)+(N2182*0.20)+(O2182*0.15)+(P2182*0.15)+(Q2182*0.10)+(R2182*0.10)+(S2182*0.05),2)</f>
        <v/>
      </c>
      <c r="U2182">
        <f>IF(T2182&gt;=4.25,"Critical",IF(T2182&gt;=3.5,"High",IF(T2182&gt;=2,"Medium","Low")))</f>
        <v/>
      </c>
    </row>
    <row r="2183">
      <c r="R2183">
        <f>IFERROR(XLOOKUP(XLOOKUP(D2183,tblReleaseChanges[Change_ID],tblReleaseChanges[Oracle_Severity],""),tblSeverityMap[Severity_Text],tblSeverityMap[Score],0),0)</f>
        <v/>
      </c>
      <c r="T2183">
        <f>ROUND((M2183*0.25)+(N2183*0.20)+(O2183*0.15)+(P2183*0.15)+(Q2183*0.10)+(R2183*0.10)+(S2183*0.05),2)</f>
        <v/>
      </c>
      <c r="U2183">
        <f>IF(T2183&gt;=4.25,"Critical",IF(T2183&gt;=3.5,"High",IF(T2183&gt;=2,"Medium","Low")))</f>
        <v/>
      </c>
    </row>
    <row r="2184">
      <c r="R2184">
        <f>IFERROR(XLOOKUP(XLOOKUP(D2184,tblReleaseChanges[Change_ID],tblReleaseChanges[Oracle_Severity],""),tblSeverityMap[Severity_Text],tblSeverityMap[Score],0),0)</f>
        <v/>
      </c>
      <c r="T2184">
        <f>ROUND((M2184*0.25)+(N2184*0.20)+(O2184*0.15)+(P2184*0.15)+(Q2184*0.10)+(R2184*0.10)+(S2184*0.05),2)</f>
        <v/>
      </c>
      <c r="U2184">
        <f>IF(T2184&gt;=4.25,"Critical",IF(T2184&gt;=3.5,"High",IF(T2184&gt;=2,"Medium","Low")))</f>
        <v/>
      </c>
    </row>
    <row r="2185">
      <c r="R2185">
        <f>IFERROR(XLOOKUP(XLOOKUP(D2185,tblReleaseChanges[Change_ID],tblReleaseChanges[Oracle_Severity],""),tblSeverityMap[Severity_Text],tblSeverityMap[Score],0),0)</f>
        <v/>
      </c>
      <c r="T2185">
        <f>ROUND((M2185*0.25)+(N2185*0.20)+(O2185*0.15)+(P2185*0.15)+(Q2185*0.10)+(R2185*0.10)+(S2185*0.05),2)</f>
        <v/>
      </c>
      <c r="U2185">
        <f>IF(T2185&gt;=4.25,"Critical",IF(T2185&gt;=3.5,"High",IF(T2185&gt;=2,"Medium","Low")))</f>
        <v/>
      </c>
    </row>
    <row r="2186">
      <c r="R2186">
        <f>IFERROR(XLOOKUP(XLOOKUP(D2186,tblReleaseChanges[Change_ID],tblReleaseChanges[Oracle_Severity],""),tblSeverityMap[Severity_Text],tblSeverityMap[Score],0),0)</f>
        <v/>
      </c>
      <c r="T2186">
        <f>ROUND((M2186*0.25)+(N2186*0.20)+(O2186*0.15)+(P2186*0.15)+(Q2186*0.10)+(R2186*0.10)+(S2186*0.05),2)</f>
        <v/>
      </c>
      <c r="U2186">
        <f>IF(T2186&gt;=4.25,"Critical",IF(T2186&gt;=3.5,"High",IF(T2186&gt;=2,"Medium","Low")))</f>
        <v/>
      </c>
    </row>
    <row r="2187">
      <c r="R2187">
        <f>IFERROR(XLOOKUP(XLOOKUP(D2187,tblReleaseChanges[Change_ID],tblReleaseChanges[Oracle_Severity],""),tblSeverityMap[Severity_Text],tblSeverityMap[Score],0),0)</f>
        <v/>
      </c>
      <c r="T2187">
        <f>ROUND((M2187*0.25)+(N2187*0.20)+(O2187*0.15)+(P2187*0.15)+(Q2187*0.10)+(R2187*0.10)+(S2187*0.05),2)</f>
        <v/>
      </c>
      <c r="U2187">
        <f>IF(T2187&gt;=4.25,"Critical",IF(T2187&gt;=3.5,"High",IF(T2187&gt;=2,"Medium","Low")))</f>
        <v/>
      </c>
    </row>
    <row r="2188">
      <c r="R2188">
        <f>IFERROR(XLOOKUP(XLOOKUP(D2188,tblReleaseChanges[Change_ID],tblReleaseChanges[Oracle_Severity],""),tblSeverityMap[Severity_Text],tblSeverityMap[Score],0),0)</f>
        <v/>
      </c>
      <c r="T2188">
        <f>ROUND((M2188*0.25)+(N2188*0.20)+(O2188*0.15)+(P2188*0.15)+(Q2188*0.10)+(R2188*0.10)+(S2188*0.05),2)</f>
        <v/>
      </c>
      <c r="U2188">
        <f>IF(T2188&gt;=4.25,"Critical",IF(T2188&gt;=3.5,"High",IF(T2188&gt;=2,"Medium","Low")))</f>
        <v/>
      </c>
    </row>
    <row r="2189">
      <c r="R2189">
        <f>IFERROR(XLOOKUP(XLOOKUP(D2189,tblReleaseChanges[Change_ID],tblReleaseChanges[Oracle_Severity],""),tblSeverityMap[Severity_Text],tblSeverityMap[Score],0),0)</f>
        <v/>
      </c>
      <c r="T2189">
        <f>ROUND((M2189*0.25)+(N2189*0.20)+(O2189*0.15)+(P2189*0.15)+(Q2189*0.10)+(R2189*0.10)+(S2189*0.05),2)</f>
        <v/>
      </c>
      <c r="U2189">
        <f>IF(T2189&gt;=4.25,"Critical",IF(T2189&gt;=3.5,"High",IF(T2189&gt;=2,"Medium","Low")))</f>
        <v/>
      </c>
    </row>
    <row r="2190">
      <c r="R2190">
        <f>IFERROR(XLOOKUP(XLOOKUP(D2190,tblReleaseChanges[Change_ID],tblReleaseChanges[Oracle_Severity],""),tblSeverityMap[Severity_Text],tblSeverityMap[Score],0),0)</f>
        <v/>
      </c>
      <c r="T2190">
        <f>ROUND((M2190*0.25)+(N2190*0.20)+(O2190*0.15)+(P2190*0.15)+(Q2190*0.10)+(R2190*0.10)+(S2190*0.05),2)</f>
        <v/>
      </c>
      <c r="U2190">
        <f>IF(T2190&gt;=4.25,"Critical",IF(T2190&gt;=3.5,"High",IF(T2190&gt;=2,"Medium","Low")))</f>
        <v/>
      </c>
    </row>
    <row r="2191">
      <c r="R2191">
        <f>IFERROR(XLOOKUP(XLOOKUP(D2191,tblReleaseChanges[Change_ID],tblReleaseChanges[Oracle_Severity],""),tblSeverityMap[Severity_Text],tblSeverityMap[Score],0),0)</f>
        <v/>
      </c>
      <c r="T2191">
        <f>ROUND((M2191*0.25)+(N2191*0.20)+(O2191*0.15)+(P2191*0.15)+(Q2191*0.10)+(R2191*0.10)+(S2191*0.05),2)</f>
        <v/>
      </c>
      <c r="U2191">
        <f>IF(T2191&gt;=4.25,"Critical",IF(T2191&gt;=3.5,"High",IF(T2191&gt;=2,"Medium","Low")))</f>
        <v/>
      </c>
    </row>
    <row r="2192">
      <c r="R2192">
        <f>IFERROR(XLOOKUP(XLOOKUP(D2192,tblReleaseChanges[Change_ID],tblReleaseChanges[Oracle_Severity],""),tblSeverityMap[Severity_Text],tblSeverityMap[Score],0),0)</f>
        <v/>
      </c>
      <c r="T2192">
        <f>ROUND((M2192*0.25)+(N2192*0.20)+(O2192*0.15)+(P2192*0.15)+(Q2192*0.10)+(R2192*0.10)+(S2192*0.05),2)</f>
        <v/>
      </c>
      <c r="U2192">
        <f>IF(T2192&gt;=4.25,"Critical",IF(T2192&gt;=3.5,"High",IF(T2192&gt;=2,"Medium","Low")))</f>
        <v/>
      </c>
    </row>
    <row r="2193">
      <c r="R2193">
        <f>IFERROR(XLOOKUP(XLOOKUP(D2193,tblReleaseChanges[Change_ID],tblReleaseChanges[Oracle_Severity],""),tblSeverityMap[Severity_Text],tblSeverityMap[Score],0),0)</f>
        <v/>
      </c>
      <c r="T2193">
        <f>ROUND((M2193*0.25)+(N2193*0.20)+(O2193*0.15)+(P2193*0.15)+(Q2193*0.10)+(R2193*0.10)+(S2193*0.05),2)</f>
        <v/>
      </c>
      <c r="U2193">
        <f>IF(T2193&gt;=4.25,"Critical",IF(T2193&gt;=3.5,"High",IF(T2193&gt;=2,"Medium","Low")))</f>
        <v/>
      </c>
    </row>
    <row r="2194">
      <c r="R2194">
        <f>IFERROR(XLOOKUP(XLOOKUP(D2194,tblReleaseChanges[Change_ID],tblReleaseChanges[Oracle_Severity],""),tblSeverityMap[Severity_Text],tblSeverityMap[Score],0),0)</f>
        <v/>
      </c>
      <c r="T2194">
        <f>ROUND((M2194*0.25)+(N2194*0.20)+(O2194*0.15)+(P2194*0.15)+(Q2194*0.10)+(R2194*0.10)+(S2194*0.05),2)</f>
        <v/>
      </c>
      <c r="U2194">
        <f>IF(T2194&gt;=4.25,"Critical",IF(T2194&gt;=3.5,"High",IF(T2194&gt;=2,"Medium","Low")))</f>
        <v/>
      </c>
    </row>
    <row r="2195">
      <c r="R2195">
        <f>IFERROR(XLOOKUP(XLOOKUP(D2195,tblReleaseChanges[Change_ID],tblReleaseChanges[Oracle_Severity],""),tblSeverityMap[Severity_Text],tblSeverityMap[Score],0),0)</f>
        <v/>
      </c>
      <c r="T2195">
        <f>ROUND((M2195*0.25)+(N2195*0.20)+(O2195*0.15)+(P2195*0.15)+(Q2195*0.10)+(R2195*0.10)+(S2195*0.05),2)</f>
        <v/>
      </c>
      <c r="U2195">
        <f>IF(T2195&gt;=4.25,"Critical",IF(T2195&gt;=3.5,"High",IF(T2195&gt;=2,"Medium","Low")))</f>
        <v/>
      </c>
    </row>
    <row r="2196">
      <c r="R2196">
        <f>IFERROR(XLOOKUP(XLOOKUP(D2196,tblReleaseChanges[Change_ID],tblReleaseChanges[Oracle_Severity],""),tblSeverityMap[Severity_Text],tblSeverityMap[Score],0),0)</f>
        <v/>
      </c>
      <c r="T2196">
        <f>ROUND((M2196*0.25)+(N2196*0.20)+(O2196*0.15)+(P2196*0.15)+(Q2196*0.10)+(R2196*0.10)+(S2196*0.05),2)</f>
        <v/>
      </c>
      <c r="U2196">
        <f>IF(T2196&gt;=4.25,"Critical",IF(T2196&gt;=3.5,"High",IF(T2196&gt;=2,"Medium","Low")))</f>
        <v/>
      </c>
    </row>
    <row r="2197">
      <c r="R2197">
        <f>IFERROR(XLOOKUP(XLOOKUP(D2197,tblReleaseChanges[Change_ID],tblReleaseChanges[Oracle_Severity],""),tblSeverityMap[Severity_Text],tblSeverityMap[Score],0),0)</f>
        <v/>
      </c>
      <c r="T2197">
        <f>ROUND((M2197*0.25)+(N2197*0.20)+(O2197*0.15)+(P2197*0.15)+(Q2197*0.10)+(R2197*0.10)+(S2197*0.05),2)</f>
        <v/>
      </c>
      <c r="U2197">
        <f>IF(T2197&gt;=4.25,"Critical",IF(T2197&gt;=3.5,"High",IF(T2197&gt;=2,"Medium","Low")))</f>
        <v/>
      </c>
    </row>
    <row r="2198">
      <c r="R2198">
        <f>IFERROR(XLOOKUP(XLOOKUP(D2198,tblReleaseChanges[Change_ID],tblReleaseChanges[Oracle_Severity],""),tblSeverityMap[Severity_Text],tblSeverityMap[Score],0),0)</f>
        <v/>
      </c>
      <c r="T2198">
        <f>ROUND((M2198*0.25)+(N2198*0.20)+(O2198*0.15)+(P2198*0.15)+(Q2198*0.10)+(R2198*0.10)+(S2198*0.05),2)</f>
        <v/>
      </c>
      <c r="U2198">
        <f>IF(T2198&gt;=4.25,"Critical",IF(T2198&gt;=3.5,"High",IF(T2198&gt;=2,"Medium","Low")))</f>
        <v/>
      </c>
    </row>
    <row r="2199">
      <c r="R2199">
        <f>IFERROR(XLOOKUP(XLOOKUP(D2199,tblReleaseChanges[Change_ID],tblReleaseChanges[Oracle_Severity],""),tblSeverityMap[Severity_Text],tblSeverityMap[Score],0),0)</f>
        <v/>
      </c>
      <c r="T2199">
        <f>ROUND((M2199*0.25)+(N2199*0.20)+(O2199*0.15)+(P2199*0.15)+(Q2199*0.10)+(R2199*0.10)+(S2199*0.05),2)</f>
        <v/>
      </c>
      <c r="U2199">
        <f>IF(T2199&gt;=4.25,"Critical",IF(T2199&gt;=3.5,"High",IF(T2199&gt;=2,"Medium","Low")))</f>
        <v/>
      </c>
    </row>
    <row r="2200">
      <c r="R2200">
        <f>IFERROR(XLOOKUP(XLOOKUP(D2200,tblReleaseChanges[Change_ID],tblReleaseChanges[Oracle_Severity],""),tblSeverityMap[Severity_Text],tblSeverityMap[Score],0),0)</f>
        <v/>
      </c>
      <c r="T2200">
        <f>ROUND((M2200*0.25)+(N2200*0.20)+(O2200*0.15)+(P2200*0.15)+(Q2200*0.10)+(R2200*0.10)+(S2200*0.05),2)</f>
        <v/>
      </c>
      <c r="U2200">
        <f>IF(T2200&gt;=4.25,"Critical",IF(T2200&gt;=3.5,"High",IF(T2200&gt;=2,"Medium","Low")))</f>
        <v/>
      </c>
    </row>
    <row r="2201">
      <c r="R2201">
        <f>IFERROR(XLOOKUP(XLOOKUP(D2201,tblReleaseChanges[Change_ID],tblReleaseChanges[Oracle_Severity],""),tblSeverityMap[Severity_Text],tblSeverityMap[Score],0),0)</f>
        <v/>
      </c>
      <c r="T2201">
        <f>ROUND((M2201*0.25)+(N2201*0.20)+(O2201*0.15)+(P2201*0.15)+(Q2201*0.10)+(R2201*0.10)+(S2201*0.05),2)</f>
        <v/>
      </c>
      <c r="U2201">
        <f>IF(T2201&gt;=4.25,"Critical",IF(T2201&gt;=3.5,"High",IF(T2201&gt;=2,"Medium","Low")))</f>
        <v/>
      </c>
    </row>
    <row r="2202">
      <c r="R2202">
        <f>IFERROR(XLOOKUP(XLOOKUP(D2202,tblReleaseChanges[Change_ID],tblReleaseChanges[Oracle_Severity],""),tblSeverityMap[Severity_Text],tblSeverityMap[Score],0),0)</f>
        <v/>
      </c>
      <c r="T2202">
        <f>ROUND((M2202*0.25)+(N2202*0.20)+(O2202*0.15)+(P2202*0.15)+(Q2202*0.10)+(R2202*0.10)+(S2202*0.05),2)</f>
        <v/>
      </c>
      <c r="U2202">
        <f>IF(T2202&gt;=4.25,"Critical",IF(T2202&gt;=3.5,"High",IF(T2202&gt;=2,"Medium","Low")))</f>
        <v/>
      </c>
    </row>
    <row r="2203">
      <c r="R2203">
        <f>IFERROR(XLOOKUP(XLOOKUP(D2203,tblReleaseChanges[Change_ID],tblReleaseChanges[Oracle_Severity],""),tblSeverityMap[Severity_Text],tblSeverityMap[Score],0),0)</f>
        <v/>
      </c>
      <c r="T2203">
        <f>ROUND((M2203*0.25)+(N2203*0.20)+(O2203*0.15)+(P2203*0.15)+(Q2203*0.10)+(R2203*0.10)+(S2203*0.05),2)</f>
        <v/>
      </c>
      <c r="U2203">
        <f>IF(T2203&gt;=4.25,"Critical",IF(T2203&gt;=3.5,"High",IF(T2203&gt;=2,"Medium","Low")))</f>
        <v/>
      </c>
    </row>
    <row r="2204">
      <c r="R2204">
        <f>IFERROR(XLOOKUP(XLOOKUP(D2204,tblReleaseChanges[Change_ID],tblReleaseChanges[Oracle_Severity],""),tblSeverityMap[Severity_Text],tblSeverityMap[Score],0),0)</f>
        <v/>
      </c>
      <c r="T2204">
        <f>ROUND((M2204*0.25)+(N2204*0.20)+(O2204*0.15)+(P2204*0.15)+(Q2204*0.10)+(R2204*0.10)+(S2204*0.05),2)</f>
        <v/>
      </c>
      <c r="U2204">
        <f>IF(T2204&gt;=4.25,"Critical",IF(T2204&gt;=3.5,"High",IF(T2204&gt;=2,"Medium","Low")))</f>
        <v/>
      </c>
    </row>
    <row r="2205">
      <c r="R2205">
        <f>IFERROR(XLOOKUP(XLOOKUP(D2205,tblReleaseChanges[Change_ID],tblReleaseChanges[Oracle_Severity],""),tblSeverityMap[Severity_Text],tblSeverityMap[Score],0),0)</f>
        <v/>
      </c>
      <c r="T2205">
        <f>ROUND((M2205*0.25)+(N2205*0.20)+(O2205*0.15)+(P2205*0.15)+(Q2205*0.10)+(R2205*0.10)+(S2205*0.05),2)</f>
        <v/>
      </c>
      <c r="U2205">
        <f>IF(T2205&gt;=4.25,"Critical",IF(T2205&gt;=3.5,"High",IF(T2205&gt;=2,"Medium","Low")))</f>
        <v/>
      </c>
    </row>
    <row r="2206">
      <c r="R2206">
        <f>IFERROR(XLOOKUP(XLOOKUP(D2206,tblReleaseChanges[Change_ID],tblReleaseChanges[Oracle_Severity],""),tblSeverityMap[Severity_Text],tblSeverityMap[Score],0),0)</f>
        <v/>
      </c>
      <c r="T2206">
        <f>ROUND((M2206*0.25)+(N2206*0.20)+(O2206*0.15)+(P2206*0.15)+(Q2206*0.10)+(R2206*0.10)+(S2206*0.05),2)</f>
        <v/>
      </c>
      <c r="U2206">
        <f>IF(T2206&gt;=4.25,"Critical",IF(T2206&gt;=3.5,"High",IF(T2206&gt;=2,"Medium","Low")))</f>
        <v/>
      </c>
    </row>
    <row r="2207">
      <c r="R2207">
        <f>IFERROR(XLOOKUP(XLOOKUP(D2207,tblReleaseChanges[Change_ID],tblReleaseChanges[Oracle_Severity],""),tblSeverityMap[Severity_Text],tblSeverityMap[Score],0),0)</f>
        <v/>
      </c>
      <c r="T2207">
        <f>ROUND((M2207*0.25)+(N2207*0.20)+(O2207*0.15)+(P2207*0.15)+(Q2207*0.10)+(R2207*0.10)+(S2207*0.05),2)</f>
        <v/>
      </c>
      <c r="U2207">
        <f>IF(T2207&gt;=4.25,"Critical",IF(T2207&gt;=3.5,"High",IF(T2207&gt;=2,"Medium","Low")))</f>
        <v/>
      </c>
    </row>
    <row r="2208">
      <c r="R2208">
        <f>IFERROR(XLOOKUP(XLOOKUP(D2208,tblReleaseChanges[Change_ID],tblReleaseChanges[Oracle_Severity],""),tblSeverityMap[Severity_Text],tblSeverityMap[Score],0),0)</f>
        <v/>
      </c>
      <c r="T2208">
        <f>ROUND((M2208*0.25)+(N2208*0.20)+(O2208*0.15)+(P2208*0.15)+(Q2208*0.10)+(R2208*0.10)+(S2208*0.05),2)</f>
        <v/>
      </c>
      <c r="U2208">
        <f>IF(T2208&gt;=4.25,"Critical",IF(T2208&gt;=3.5,"High",IF(T2208&gt;=2,"Medium","Low")))</f>
        <v/>
      </c>
    </row>
    <row r="2209">
      <c r="R2209">
        <f>IFERROR(XLOOKUP(XLOOKUP(D2209,tblReleaseChanges[Change_ID],tblReleaseChanges[Oracle_Severity],""),tblSeverityMap[Severity_Text],tblSeverityMap[Score],0),0)</f>
        <v/>
      </c>
      <c r="T2209">
        <f>ROUND((M2209*0.25)+(N2209*0.20)+(O2209*0.15)+(P2209*0.15)+(Q2209*0.10)+(R2209*0.10)+(S2209*0.05),2)</f>
        <v/>
      </c>
      <c r="U2209">
        <f>IF(T2209&gt;=4.25,"Critical",IF(T2209&gt;=3.5,"High",IF(T2209&gt;=2,"Medium","Low")))</f>
        <v/>
      </c>
    </row>
    <row r="2210">
      <c r="R2210">
        <f>IFERROR(XLOOKUP(XLOOKUP(D2210,tblReleaseChanges[Change_ID],tblReleaseChanges[Oracle_Severity],""),tblSeverityMap[Severity_Text],tblSeverityMap[Score],0),0)</f>
        <v/>
      </c>
      <c r="T2210">
        <f>ROUND((M2210*0.25)+(N2210*0.20)+(O2210*0.15)+(P2210*0.15)+(Q2210*0.10)+(R2210*0.10)+(S2210*0.05),2)</f>
        <v/>
      </c>
      <c r="U2210">
        <f>IF(T2210&gt;=4.25,"Critical",IF(T2210&gt;=3.5,"High",IF(T2210&gt;=2,"Medium","Low")))</f>
        <v/>
      </c>
    </row>
    <row r="2211">
      <c r="R2211">
        <f>IFERROR(XLOOKUP(XLOOKUP(D2211,tblReleaseChanges[Change_ID],tblReleaseChanges[Oracle_Severity],""),tblSeverityMap[Severity_Text],tblSeverityMap[Score],0),0)</f>
        <v/>
      </c>
      <c r="T2211">
        <f>ROUND((M2211*0.25)+(N2211*0.20)+(O2211*0.15)+(P2211*0.15)+(Q2211*0.10)+(R2211*0.10)+(S2211*0.05),2)</f>
        <v/>
      </c>
      <c r="U2211">
        <f>IF(T2211&gt;=4.25,"Critical",IF(T2211&gt;=3.5,"High",IF(T2211&gt;=2,"Medium","Low")))</f>
        <v/>
      </c>
    </row>
    <row r="2212">
      <c r="R2212">
        <f>IFERROR(XLOOKUP(XLOOKUP(D2212,tblReleaseChanges[Change_ID],tblReleaseChanges[Oracle_Severity],""),tblSeverityMap[Severity_Text],tblSeverityMap[Score],0),0)</f>
        <v/>
      </c>
      <c r="T2212">
        <f>ROUND((M2212*0.25)+(N2212*0.20)+(O2212*0.15)+(P2212*0.15)+(Q2212*0.10)+(R2212*0.10)+(S2212*0.05),2)</f>
        <v/>
      </c>
      <c r="U2212">
        <f>IF(T2212&gt;=4.25,"Critical",IF(T2212&gt;=3.5,"High",IF(T2212&gt;=2,"Medium","Low")))</f>
        <v/>
      </c>
    </row>
    <row r="2213">
      <c r="R2213">
        <f>IFERROR(XLOOKUP(XLOOKUP(D2213,tblReleaseChanges[Change_ID],tblReleaseChanges[Oracle_Severity],""),tblSeverityMap[Severity_Text],tblSeverityMap[Score],0),0)</f>
        <v/>
      </c>
      <c r="T2213">
        <f>ROUND((M2213*0.25)+(N2213*0.20)+(O2213*0.15)+(P2213*0.15)+(Q2213*0.10)+(R2213*0.10)+(S2213*0.05),2)</f>
        <v/>
      </c>
      <c r="U2213">
        <f>IF(T2213&gt;=4.25,"Critical",IF(T2213&gt;=3.5,"High",IF(T2213&gt;=2,"Medium","Low")))</f>
        <v/>
      </c>
    </row>
    <row r="2214">
      <c r="R2214">
        <f>IFERROR(XLOOKUP(XLOOKUP(D2214,tblReleaseChanges[Change_ID],tblReleaseChanges[Oracle_Severity],""),tblSeverityMap[Severity_Text],tblSeverityMap[Score],0),0)</f>
        <v/>
      </c>
      <c r="T2214">
        <f>ROUND((M2214*0.25)+(N2214*0.20)+(O2214*0.15)+(P2214*0.15)+(Q2214*0.10)+(R2214*0.10)+(S2214*0.05),2)</f>
        <v/>
      </c>
      <c r="U2214">
        <f>IF(T2214&gt;=4.25,"Critical",IF(T2214&gt;=3.5,"High",IF(T2214&gt;=2,"Medium","Low")))</f>
        <v/>
      </c>
    </row>
    <row r="2215">
      <c r="R2215">
        <f>IFERROR(XLOOKUP(XLOOKUP(D2215,tblReleaseChanges[Change_ID],tblReleaseChanges[Oracle_Severity],""),tblSeverityMap[Severity_Text],tblSeverityMap[Score],0),0)</f>
        <v/>
      </c>
      <c r="T2215">
        <f>ROUND((M2215*0.25)+(N2215*0.20)+(O2215*0.15)+(P2215*0.15)+(Q2215*0.10)+(R2215*0.10)+(S2215*0.05),2)</f>
        <v/>
      </c>
      <c r="U2215">
        <f>IF(T2215&gt;=4.25,"Critical",IF(T2215&gt;=3.5,"High",IF(T2215&gt;=2,"Medium","Low")))</f>
        <v/>
      </c>
    </row>
    <row r="2216">
      <c r="R2216">
        <f>IFERROR(XLOOKUP(XLOOKUP(D2216,tblReleaseChanges[Change_ID],tblReleaseChanges[Oracle_Severity],""),tblSeverityMap[Severity_Text],tblSeverityMap[Score],0),0)</f>
        <v/>
      </c>
      <c r="T2216">
        <f>ROUND((M2216*0.25)+(N2216*0.20)+(O2216*0.15)+(P2216*0.15)+(Q2216*0.10)+(R2216*0.10)+(S2216*0.05),2)</f>
        <v/>
      </c>
      <c r="U2216">
        <f>IF(T2216&gt;=4.25,"Critical",IF(T2216&gt;=3.5,"High",IF(T2216&gt;=2,"Medium","Low")))</f>
        <v/>
      </c>
    </row>
    <row r="2217">
      <c r="R2217">
        <f>IFERROR(XLOOKUP(XLOOKUP(D2217,tblReleaseChanges[Change_ID],tblReleaseChanges[Oracle_Severity],""),tblSeverityMap[Severity_Text],tblSeverityMap[Score],0),0)</f>
        <v/>
      </c>
      <c r="T2217">
        <f>ROUND((M2217*0.25)+(N2217*0.20)+(O2217*0.15)+(P2217*0.15)+(Q2217*0.10)+(R2217*0.10)+(S2217*0.05),2)</f>
        <v/>
      </c>
      <c r="U2217">
        <f>IF(T2217&gt;=4.25,"Critical",IF(T2217&gt;=3.5,"High",IF(T2217&gt;=2,"Medium","Low")))</f>
        <v/>
      </c>
    </row>
    <row r="2218">
      <c r="R2218">
        <f>IFERROR(XLOOKUP(XLOOKUP(D2218,tblReleaseChanges[Change_ID],tblReleaseChanges[Oracle_Severity],""),tblSeverityMap[Severity_Text],tblSeverityMap[Score],0),0)</f>
        <v/>
      </c>
      <c r="T2218">
        <f>ROUND((M2218*0.25)+(N2218*0.20)+(O2218*0.15)+(P2218*0.15)+(Q2218*0.10)+(R2218*0.10)+(S2218*0.05),2)</f>
        <v/>
      </c>
      <c r="U2218">
        <f>IF(T2218&gt;=4.25,"Critical",IF(T2218&gt;=3.5,"High",IF(T2218&gt;=2,"Medium","Low")))</f>
        <v/>
      </c>
    </row>
    <row r="2219">
      <c r="R2219">
        <f>IFERROR(XLOOKUP(XLOOKUP(D2219,tblReleaseChanges[Change_ID],tblReleaseChanges[Oracle_Severity],""),tblSeverityMap[Severity_Text],tblSeverityMap[Score],0),0)</f>
        <v/>
      </c>
      <c r="T2219">
        <f>ROUND((M2219*0.25)+(N2219*0.20)+(O2219*0.15)+(P2219*0.15)+(Q2219*0.10)+(R2219*0.10)+(S2219*0.05),2)</f>
        <v/>
      </c>
      <c r="U2219">
        <f>IF(T2219&gt;=4.25,"Critical",IF(T2219&gt;=3.5,"High",IF(T2219&gt;=2,"Medium","Low")))</f>
        <v/>
      </c>
    </row>
    <row r="2220">
      <c r="R2220">
        <f>IFERROR(XLOOKUP(XLOOKUP(D2220,tblReleaseChanges[Change_ID],tblReleaseChanges[Oracle_Severity],""),tblSeverityMap[Severity_Text],tblSeverityMap[Score],0),0)</f>
        <v/>
      </c>
      <c r="T2220">
        <f>ROUND((M2220*0.25)+(N2220*0.20)+(O2220*0.15)+(P2220*0.15)+(Q2220*0.10)+(R2220*0.10)+(S2220*0.05),2)</f>
        <v/>
      </c>
      <c r="U2220">
        <f>IF(T2220&gt;=4.25,"Critical",IF(T2220&gt;=3.5,"High",IF(T2220&gt;=2,"Medium","Low")))</f>
        <v/>
      </c>
    </row>
    <row r="2221">
      <c r="R2221">
        <f>IFERROR(XLOOKUP(XLOOKUP(D2221,tblReleaseChanges[Change_ID],tblReleaseChanges[Oracle_Severity],""),tblSeverityMap[Severity_Text],tblSeverityMap[Score],0),0)</f>
        <v/>
      </c>
      <c r="T2221">
        <f>ROUND((M2221*0.25)+(N2221*0.20)+(O2221*0.15)+(P2221*0.15)+(Q2221*0.10)+(R2221*0.10)+(S2221*0.05),2)</f>
        <v/>
      </c>
      <c r="U2221">
        <f>IF(T2221&gt;=4.25,"Critical",IF(T2221&gt;=3.5,"High",IF(T2221&gt;=2,"Medium","Low")))</f>
        <v/>
      </c>
    </row>
    <row r="2222">
      <c r="R2222">
        <f>IFERROR(XLOOKUP(XLOOKUP(D2222,tblReleaseChanges[Change_ID],tblReleaseChanges[Oracle_Severity],""),tblSeverityMap[Severity_Text],tblSeverityMap[Score],0),0)</f>
        <v/>
      </c>
      <c r="T2222">
        <f>ROUND((M2222*0.25)+(N2222*0.20)+(O2222*0.15)+(P2222*0.15)+(Q2222*0.10)+(R2222*0.10)+(S2222*0.05),2)</f>
        <v/>
      </c>
      <c r="U2222">
        <f>IF(T2222&gt;=4.25,"Critical",IF(T2222&gt;=3.5,"High",IF(T2222&gt;=2,"Medium","Low")))</f>
        <v/>
      </c>
    </row>
    <row r="2223">
      <c r="R2223">
        <f>IFERROR(XLOOKUP(XLOOKUP(D2223,tblReleaseChanges[Change_ID],tblReleaseChanges[Oracle_Severity],""),tblSeverityMap[Severity_Text],tblSeverityMap[Score],0),0)</f>
        <v/>
      </c>
      <c r="T2223">
        <f>ROUND((M2223*0.25)+(N2223*0.20)+(O2223*0.15)+(P2223*0.15)+(Q2223*0.10)+(R2223*0.10)+(S2223*0.05),2)</f>
        <v/>
      </c>
      <c r="U2223">
        <f>IF(T2223&gt;=4.25,"Critical",IF(T2223&gt;=3.5,"High",IF(T2223&gt;=2,"Medium","Low")))</f>
        <v/>
      </c>
    </row>
    <row r="2224">
      <c r="R2224">
        <f>IFERROR(XLOOKUP(XLOOKUP(D2224,tblReleaseChanges[Change_ID],tblReleaseChanges[Oracle_Severity],""),tblSeverityMap[Severity_Text],tblSeverityMap[Score],0),0)</f>
        <v/>
      </c>
      <c r="T2224">
        <f>ROUND((M2224*0.25)+(N2224*0.20)+(O2224*0.15)+(P2224*0.15)+(Q2224*0.10)+(R2224*0.10)+(S2224*0.05),2)</f>
        <v/>
      </c>
      <c r="U2224">
        <f>IF(T2224&gt;=4.25,"Critical",IF(T2224&gt;=3.5,"High",IF(T2224&gt;=2,"Medium","Low")))</f>
        <v/>
      </c>
    </row>
    <row r="2225">
      <c r="R2225">
        <f>IFERROR(XLOOKUP(XLOOKUP(D2225,tblReleaseChanges[Change_ID],tblReleaseChanges[Oracle_Severity],""),tblSeverityMap[Severity_Text],tblSeverityMap[Score],0),0)</f>
        <v/>
      </c>
      <c r="T2225">
        <f>ROUND((M2225*0.25)+(N2225*0.20)+(O2225*0.15)+(P2225*0.15)+(Q2225*0.10)+(R2225*0.10)+(S2225*0.05),2)</f>
        <v/>
      </c>
      <c r="U2225">
        <f>IF(T2225&gt;=4.25,"Critical",IF(T2225&gt;=3.5,"High",IF(T2225&gt;=2,"Medium","Low")))</f>
        <v/>
      </c>
    </row>
    <row r="2226">
      <c r="R2226">
        <f>IFERROR(XLOOKUP(XLOOKUP(D2226,tblReleaseChanges[Change_ID],tblReleaseChanges[Oracle_Severity],""),tblSeverityMap[Severity_Text],tblSeverityMap[Score],0),0)</f>
        <v/>
      </c>
      <c r="T2226">
        <f>ROUND((M2226*0.25)+(N2226*0.20)+(O2226*0.15)+(P2226*0.15)+(Q2226*0.10)+(R2226*0.10)+(S2226*0.05),2)</f>
        <v/>
      </c>
      <c r="U2226">
        <f>IF(T2226&gt;=4.25,"Critical",IF(T2226&gt;=3.5,"High",IF(T2226&gt;=2,"Medium","Low")))</f>
        <v/>
      </c>
    </row>
    <row r="2227">
      <c r="R2227">
        <f>IFERROR(XLOOKUP(XLOOKUP(D2227,tblReleaseChanges[Change_ID],tblReleaseChanges[Oracle_Severity],""),tblSeverityMap[Severity_Text],tblSeverityMap[Score],0),0)</f>
        <v/>
      </c>
      <c r="T2227">
        <f>ROUND((M2227*0.25)+(N2227*0.20)+(O2227*0.15)+(P2227*0.15)+(Q2227*0.10)+(R2227*0.10)+(S2227*0.05),2)</f>
        <v/>
      </c>
      <c r="U2227">
        <f>IF(T2227&gt;=4.25,"Critical",IF(T2227&gt;=3.5,"High",IF(T2227&gt;=2,"Medium","Low")))</f>
        <v/>
      </c>
    </row>
    <row r="2228">
      <c r="R2228">
        <f>IFERROR(XLOOKUP(XLOOKUP(D2228,tblReleaseChanges[Change_ID],tblReleaseChanges[Oracle_Severity],""),tblSeverityMap[Severity_Text],tblSeverityMap[Score],0),0)</f>
        <v/>
      </c>
      <c r="T2228">
        <f>ROUND((M2228*0.25)+(N2228*0.20)+(O2228*0.15)+(P2228*0.15)+(Q2228*0.10)+(R2228*0.10)+(S2228*0.05),2)</f>
        <v/>
      </c>
      <c r="U2228">
        <f>IF(T2228&gt;=4.25,"Critical",IF(T2228&gt;=3.5,"High",IF(T2228&gt;=2,"Medium","Low")))</f>
        <v/>
      </c>
    </row>
    <row r="2229">
      <c r="R2229">
        <f>IFERROR(XLOOKUP(XLOOKUP(D2229,tblReleaseChanges[Change_ID],tblReleaseChanges[Oracle_Severity],""),tblSeverityMap[Severity_Text],tblSeverityMap[Score],0),0)</f>
        <v/>
      </c>
      <c r="T2229">
        <f>ROUND((M2229*0.25)+(N2229*0.20)+(O2229*0.15)+(P2229*0.15)+(Q2229*0.10)+(R2229*0.10)+(S2229*0.05),2)</f>
        <v/>
      </c>
      <c r="U2229">
        <f>IF(T2229&gt;=4.25,"Critical",IF(T2229&gt;=3.5,"High",IF(T2229&gt;=2,"Medium","Low")))</f>
        <v/>
      </c>
    </row>
    <row r="2230">
      <c r="R2230">
        <f>IFERROR(XLOOKUP(XLOOKUP(D2230,tblReleaseChanges[Change_ID],tblReleaseChanges[Oracle_Severity],""),tblSeverityMap[Severity_Text],tblSeverityMap[Score],0),0)</f>
        <v/>
      </c>
      <c r="T2230">
        <f>ROUND((M2230*0.25)+(N2230*0.20)+(O2230*0.15)+(P2230*0.15)+(Q2230*0.10)+(R2230*0.10)+(S2230*0.05),2)</f>
        <v/>
      </c>
      <c r="U2230">
        <f>IF(T2230&gt;=4.25,"Critical",IF(T2230&gt;=3.5,"High",IF(T2230&gt;=2,"Medium","Low")))</f>
        <v/>
      </c>
    </row>
    <row r="2231">
      <c r="R2231">
        <f>IFERROR(XLOOKUP(XLOOKUP(D2231,tblReleaseChanges[Change_ID],tblReleaseChanges[Oracle_Severity],""),tblSeverityMap[Severity_Text],tblSeverityMap[Score],0),0)</f>
        <v/>
      </c>
      <c r="T2231">
        <f>ROUND((M2231*0.25)+(N2231*0.20)+(O2231*0.15)+(P2231*0.15)+(Q2231*0.10)+(R2231*0.10)+(S2231*0.05),2)</f>
        <v/>
      </c>
      <c r="U2231">
        <f>IF(T2231&gt;=4.25,"Critical",IF(T2231&gt;=3.5,"High",IF(T2231&gt;=2,"Medium","Low")))</f>
        <v/>
      </c>
    </row>
    <row r="2232">
      <c r="R2232">
        <f>IFERROR(XLOOKUP(XLOOKUP(D2232,tblReleaseChanges[Change_ID],tblReleaseChanges[Oracle_Severity],""),tblSeverityMap[Severity_Text],tblSeverityMap[Score],0),0)</f>
        <v/>
      </c>
      <c r="T2232">
        <f>ROUND((M2232*0.25)+(N2232*0.20)+(O2232*0.15)+(P2232*0.15)+(Q2232*0.10)+(R2232*0.10)+(S2232*0.05),2)</f>
        <v/>
      </c>
      <c r="U2232">
        <f>IF(T2232&gt;=4.25,"Critical",IF(T2232&gt;=3.5,"High",IF(T2232&gt;=2,"Medium","Low")))</f>
        <v/>
      </c>
    </row>
    <row r="2233">
      <c r="R2233">
        <f>IFERROR(XLOOKUP(XLOOKUP(D2233,tblReleaseChanges[Change_ID],tblReleaseChanges[Oracle_Severity],""),tblSeverityMap[Severity_Text],tblSeverityMap[Score],0),0)</f>
        <v/>
      </c>
      <c r="T2233">
        <f>ROUND((M2233*0.25)+(N2233*0.20)+(O2233*0.15)+(P2233*0.15)+(Q2233*0.10)+(R2233*0.10)+(S2233*0.05),2)</f>
        <v/>
      </c>
      <c r="U2233">
        <f>IF(T2233&gt;=4.25,"Critical",IF(T2233&gt;=3.5,"High",IF(T2233&gt;=2,"Medium","Low")))</f>
        <v/>
      </c>
    </row>
    <row r="2234">
      <c r="R2234">
        <f>IFERROR(XLOOKUP(XLOOKUP(D2234,tblReleaseChanges[Change_ID],tblReleaseChanges[Oracle_Severity],""),tblSeverityMap[Severity_Text],tblSeverityMap[Score],0),0)</f>
        <v/>
      </c>
      <c r="T2234">
        <f>ROUND((M2234*0.25)+(N2234*0.20)+(O2234*0.15)+(P2234*0.15)+(Q2234*0.10)+(R2234*0.10)+(S2234*0.05),2)</f>
        <v/>
      </c>
      <c r="U2234">
        <f>IF(T2234&gt;=4.25,"Critical",IF(T2234&gt;=3.5,"High",IF(T2234&gt;=2,"Medium","Low")))</f>
        <v/>
      </c>
    </row>
    <row r="2235">
      <c r="R2235">
        <f>IFERROR(XLOOKUP(XLOOKUP(D2235,tblReleaseChanges[Change_ID],tblReleaseChanges[Oracle_Severity],""),tblSeverityMap[Severity_Text],tblSeverityMap[Score],0),0)</f>
        <v/>
      </c>
      <c r="T2235">
        <f>ROUND((M2235*0.25)+(N2235*0.20)+(O2235*0.15)+(P2235*0.15)+(Q2235*0.10)+(R2235*0.10)+(S2235*0.05),2)</f>
        <v/>
      </c>
      <c r="U2235">
        <f>IF(T2235&gt;=4.25,"Critical",IF(T2235&gt;=3.5,"High",IF(T2235&gt;=2,"Medium","Low")))</f>
        <v/>
      </c>
    </row>
    <row r="2236">
      <c r="R2236">
        <f>IFERROR(XLOOKUP(XLOOKUP(D2236,tblReleaseChanges[Change_ID],tblReleaseChanges[Oracle_Severity],""),tblSeverityMap[Severity_Text],tblSeverityMap[Score],0),0)</f>
        <v/>
      </c>
      <c r="T2236">
        <f>ROUND((M2236*0.25)+(N2236*0.20)+(O2236*0.15)+(P2236*0.15)+(Q2236*0.10)+(R2236*0.10)+(S2236*0.05),2)</f>
        <v/>
      </c>
      <c r="U2236">
        <f>IF(T2236&gt;=4.25,"Critical",IF(T2236&gt;=3.5,"High",IF(T2236&gt;=2,"Medium","Low")))</f>
        <v/>
      </c>
    </row>
    <row r="2237">
      <c r="R2237">
        <f>IFERROR(XLOOKUP(XLOOKUP(D2237,tblReleaseChanges[Change_ID],tblReleaseChanges[Oracle_Severity],""),tblSeverityMap[Severity_Text],tblSeverityMap[Score],0),0)</f>
        <v/>
      </c>
      <c r="T2237">
        <f>ROUND((M2237*0.25)+(N2237*0.20)+(O2237*0.15)+(P2237*0.15)+(Q2237*0.10)+(R2237*0.10)+(S2237*0.05),2)</f>
        <v/>
      </c>
      <c r="U2237">
        <f>IF(T2237&gt;=4.25,"Critical",IF(T2237&gt;=3.5,"High",IF(T2237&gt;=2,"Medium","Low")))</f>
        <v/>
      </c>
    </row>
    <row r="2238">
      <c r="R2238">
        <f>IFERROR(XLOOKUP(XLOOKUP(D2238,tblReleaseChanges[Change_ID],tblReleaseChanges[Oracle_Severity],""),tblSeverityMap[Severity_Text],tblSeverityMap[Score],0),0)</f>
        <v/>
      </c>
      <c r="T2238">
        <f>ROUND((M2238*0.25)+(N2238*0.20)+(O2238*0.15)+(P2238*0.15)+(Q2238*0.10)+(R2238*0.10)+(S2238*0.05),2)</f>
        <v/>
      </c>
      <c r="U2238">
        <f>IF(T2238&gt;=4.25,"Critical",IF(T2238&gt;=3.5,"High",IF(T2238&gt;=2,"Medium","Low")))</f>
        <v/>
      </c>
    </row>
    <row r="2239">
      <c r="R2239">
        <f>IFERROR(XLOOKUP(XLOOKUP(D2239,tblReleaseChanges[Change_ID],tblReleaseChanges[Oracle_Severity],""),tblSeverityMap[Severity_Text],tblSeverityMap[Score],0),0)</f>
        <v/>
      </c>
      <c r="T2239">
        <f>ROUND((M2239*0.25)+(N2239*0.20)+(O2239*0.15)+(P2239*0.15)+(Q2239*0.10)+(R2239*0.10)+(S2239*0.05),2)</f>
        <v/>
      </c>
      <c r="U2239">
        <f>IF(T2239&gt;=4.25,"Critical",IF(T2239&gt;=3.5,"High",IF(T2239&gt;=2,"Medium","Low")))</f>
        <v/>
      </c>
    </row>
    <row r="2240">
      <c r="R2240">
        <f>IFERROR(XLOOKUP(XLOOKUP(D2240,tblReleaseChanges[Change_ID],tblReleaseChanges[Oracle_Severity],""),tblSeverityMap[Severity_Text],tblSeverityMap[Score],0),0)</f>
        <v/>
      </c>
      <c r="T2240">
        <f>ROUND((M2240*0.25)+(N2240*0.20)+(O2240*0.15)+(P2240*0.15)+(Q2240*0.10)+(R2240*0.10)+(S2240*0.05),2)</f>
        <v/>
      </c>
      <c r="U2240">
        <f>IF(T2240&gt;=4.25,"Critical",IF(T2240&gt;=3.5,"High",IF(T2240&gt;=2,"Medium","Low")))</f>
        <v/>
      </c>
    </row>
    <row r="2241">
      <c r="R2241">
        <f>IFERROR(XLOOKUP(XLOOKUP(D2241,tblReleaseChanges[Change_ID],tblReleaseChanges[Oracle_Severity],""),tblSeverityMap[Severity_Text],tblSeverityMap[Score],0),0)</f>
        <v/>
      </c>
      <c r="T2241">
        <f>ROUND((M2241*0.25)+(N2241*0.20)+(O2241*0.15)+(P2241*0.15)+(Q2241*0.10)+(R2241*0.10)+(S2241*0.05),2)</f>
        <v/>
      </c>
      <c r="U2241">
        <f>IF(T2241&gt;=4.25,"Critical",IF(T2241&gt;=3.5,"High",IF(T2241&gt;=2,"Medium","Low")))</f>
        <v/>
      </c>
    </row>
    <row r="2242">
      <c r="R2242">
        <f>IFERROR(XLOOKUP(XLOOKUP(D2242,tblReleaseChanges[Change_ID],tblReleaseChanges[Oracle_Severity],""),tblSeverityMap[Severity_Text],tblSeverityMap[Score],0),0)</f>
        <v/>
      </c>
      <c r="T2242">
        <f>ROUND((M2242*0.25)+(N2242*0.20)+(O2242*0.15)+(P2242*0.15)+(Q2242*0.10)+(R2242*0.10)+(S2242*0.05),2)</f>
        <v/>
      </c>
      <c r="U2242">
        <f>IF(T2242&gt;=4.25,"Critical",IF(T2242&gt;=3.5,"High",IF(T2242&gt;=2,"Medium","Low")))</f>
        <v/>
      </c>
    </row>
    <row r="2243">
      <c r="R2243">
        <f>IFERROR(XLOOKUP(XLOOKUP(D2243,tblReleaseChanges[Change_ID],tblReleaseChanges[Oracle_Severity],""),tblSeverityMap[Severity_Text],tblSeverityMap[Score],0),0)</f>
        <v/>
      </c>
      <c r="T2243">
        <f>ROUND((M2243*0.25)+(N2243*0.20)+(O2243*0.15)+(P2243*0.15)+(Q2243*0.10)+(R2243*0.10)+(S2243*0.05),2)</f>
        <v/>
      </c>
      <c r="U2243">
        <f>IF(T2243&gt;=4.25,"Critical",IF(T2243&gt;=3.5,"High",IF(T2243&gt;=2,"Medium","Low")))</f>
        <v/>
      </c>
    </row>
    <row r="2244">
      <c r="R2244">
        <f>IFERROR(XLOOKUP(XLOOKUP(D2244,tblReleaseChanges[Change_ID],tblReleaseChanges[Oracle_Severity],""),tblSeverityMap[Severity_Text],tblSeverityMap[Score],0),0)</f>
        <v/>
      </c>
      <c r="T2244">
        <f>ROUND((M2244*0.25)+(N2244*0.20)+(O2244*0.15)+(P2244*0.15)+(Q2244*0.10)+(R2244*0.10)+(S2244*0.05),2)</f>
        <v/>
      </c>
      <c r="U2244">
        <f>IF(T2244&gt;=4.25,"Critical",IF(T2244&gt;=3.5,"High",IF(T2244&gt;=2,"Medium","Low")))</f>
        <v/>
      </c>
    </row>
    <row r="2245">
      <c r="R2245">
        <f>IFERROR(XLOOKUP(XLOOKUP(D2245,tblReleaseChanges[Change_ID],tblReleaseChanges[Oracle_Severity],""),tblSeverityMap[Severity_Text],tblSeverityMap[Score],0),0)</f>
        <v/>
      </c>
      <c r="T2245">
        <f>ROUND((M2245*0.25)+(N2245*0.20)+(O2245*0.15)+(P2245*0.15)+(Q2245*0.10)+(R2245*0.10)+(S2245*0.05),2)</f>
        <v/>
      </c>
      <c r="U2245">
        <f>IF(T2245&gt;=4.25,"Critical",IF(T2245&gt;=3.5,"High",IF(T2245&gt;=2,"Medium","Low")))</f>
        <v/>
      </c>
    </row>
    <row r="2246">
      <c r="R2246">
        <f>IFERROR(XLOOKUP(XLOOKUP(D2246,tblReleaseChanges[Change_ID],tblReleaseChanges[Oracle_Severity],""),tblSeverityMap[Severity_Text],tblSeverityMap[Score],0),0)</f>
        <v/>
      </c>
      <c r="T2246">
        <f>ROUND((M2246*0.25)+(N2246*0.20)+(O2246*0.15)+(P2246*0.15)+(Q2246*0.10)+(R2246*0.10)+(S2246*0.05),2)</f>
        <v/>
      </c>
      <c r="U2246">
        <f>IF(T2246&gt;=4.25,"Critical",IF(T2246&gt;=3.5,"High",IF(T2246&gt;=2,"Medium","Low")))</f>
        <v/>
      </c>
    </row>
    <row r="2247">
      <c r="R2247">
        <f>IFERROR(XLOOKUP(XLOOKUP(D2247,tblReleaseChanges[Change_ID],tblReleaseChanges[Oracle_Severity],""),tblSeverityMap[Severity_Text],tblSeverityMap[Score],0),0)</f>
        <v/>
      </c>
      <c r="T2247">
        <f>ROUND((M2247*0.25)+(N2247*0.20)+(O2247*0.15)+(P2247*0.15)+(Q2247*0.10)+(R2247*0.10)+(S2247*0.05),2)</f>
        <v/>
      </c>
      <c r="U2247">
        <f>IF(T2247&gt;=4.25,"Critical",IF(T2247&gt;=3.5,"High",IF(T2247&gt;=2,"Medium","Low")))</f>
        <v/>
      </c>
    </row>
    <row r="2248">
      <c r="R2248">
        <f>IFERROR(XLOOKUP(XLOOKUP(D2248,tblReleaseChanges[Change_ID],tblReleaseChanges[Oracle_Severity],""),tblSeverityMap[Severity_Text],tblSeverityMap[Score],0),0)</f>
        <v/>
      </c>
      <c r="T2248">
        <f>ROUND((M2248*0.25)+(N2248*0.20)+(O2248*0.15)+(P2248*0.15)+(Q2248*0.10)+(R2248*0.10)+(S2248*0.05),2)</f>
        <v/>
      </c>
      <c r="U2248">
        <f>IF(T2248&gt;=4.25,"Critical",IF(T2248&gt;=3.5,"High",IF(T2248&gt;=2,"Medium","Low")))</f>
        <v/>
      </c>
    </row>
    <row r="2249">
      <c r="R2249">
        <f>IFERROR(XLOOKUP(XLOOKUP(D2249,tblReleaseChanges[Change_ID],tblReleaseChanges[Oracle_Severity],""),tblSeverityMap[Severity_Text],tblSeverityMap[Score],0),0)</f>
        <v/>
      </c>
      <c r="T2249">
        <f>ROUND((M2249*0.25)+(N2249*0.20)+(O2249*0.15)+(P2249*0.15)+(Q2249*0.10)+(R2249*0.10)+(S2249*0.05),2)</f>
        <v/>
      </c>
      <c r="U2249">
        <f>IF(T2249&gt;=4.25,"Critical",IF(T2249&gt;=3.5,"High",IF(T2249&gt;=2,"Medium","Low")))</f>
        <v/>
      </c>
    </row>
    <row r="2250">
      <c r="R2250">
        <f>IFERROR(XLOOKUP(XLOOKUP(D2250,tblReleaseChanges[Change_ID],tblReleaseChanges[Oracle_Severity],""),tblSeverityMap[Severity_Text],tblSeverityMap[Score],0),0)</f>
        <v/>
      </c>
      <c r="T2250">
        <f>ROUND((M2250*0.25)+(N2250*0.20)+(O2250*0.15)+(P2250*0.15)+(Q2250*0.10)+(R2250*0.10)+(S2250*0.05),2)</f>
        <v/>
      </c>
      <c r="U2250">
        <f>IF(T2250&gt;=4.25,"Critical",IF(T2250&gt;=3.5,"High",IF(T2250&gt;=2,"Medium","Low")))</f>
        <v/>
      </c>
    </row>
    <row r="2251">
      <c r="R2251">
        <f>IFERROR(XLOOKUP(XLOOKUP(D2251,tblReleaseChanges[Change_ID],tblReleaseChanges[Oracle_Severity],""),tblSeverityMap[Severity_Text],tblSeverityMap[Score],0),0)</f>
        <v/>
      </c>
      <c r="T2251">
        <f>ROUND((M2251*0.25)+(N2251*0.20)+(O2251*0.15)+(P2251*0.15)+(Q2251*0.10)+(R2251*0.10)+(S2251*0.05),2)</f>
        <v/>
      </c>
      <c r="U2251">
        <f>IF(T2251&gt;=4.25,"Critical",IF(T2251&gt;=3.5,"High",IF(T2251&gt;=2,"Medium","Low")))</f>
        <v/>
      </c>
    </row>
    <row r="2252">
      <c r="R2252">
        <f>IFERROR(XLOOKUP(XLOOKUP(D2252,tblReleaseChanges[Change_ID],tblReleaseChanges[Oracle_Severity],""),tblSeverityMap[Severity_Text],tblSeverityMap[Score],0),0)</f>
        <v/>
      </c>
      <c r="T2252">
        <f>ROUND((M2252*0.25)+(N2252*0.20)+(O2252*0.15)+(P2252*0.15)+(Q2252*0.10)+(R2252*0.10)+(S2252*0.05),2)</f>
        <v/>
      </c>
      <c r="U2252">
        <f>IF(T2252&gt;=4.25,"Critical",IF(T2252&gt;=3.5,"High",IF(T2252&gt;=2,"Medium","Low")))</f>
        <v/>
      </c>
    </row>
    <row r="2253">
      <c r="R2253">
        <f>IFERROR(XLOOKUP(XLOOKUP(D2253,tblReleaseChanges[Change_ID],tblReleaseChanges[Oracle_Severity],""),tblSeverityMap[Severity_Text],tblSeverityMap[Score],0),0)</f>
        <v/>
      </c>
      <c r="T2253">
        <f>ROUND((M2253*0.25)+(N2253*0.20)+(O2253*0.15)+(P2253*0.15)+(Q2253*0.10)+(R2253*0.10)+(S2253*0.05),2)</f>
        <v/>
      </c>
      <c r="U2253">
        <f>IF(T2253&gt;=4.25,"Critical",IF(T2253&gt;=3.5,"High",IF(T2253&gt;=2,"Medium","Low")))</f>
        <v/>
      </c>
    </row>
    <row r="2254">
      <c r="R2254">
        <f>IFERROR(XLOOKUP(XLOOKUP(D2254,tblReleaseChanges[Change_ID],tblReleaseChanges[Oracle_Severity],""),tblSeverityMap[Severity_Text],tblSeverityMap[Score],0),0)</f>
        <v/>
      </c>
      <c r="T2254">
        <f>ROUND((M2254*0.25)+(N2254*0.20)+(O2254*0.15)+(P2254*0.15)+(Q2254*0.10)+(R2254*0.10)+(S2254*0.05),2)</f>
        <v/>
      </c>
      <c r="U2254">
        <f>IF(T2254&gt;=4.25,"Critical",IF(T2254&gt;=3.5,"High",IF(T2254&gt;=2,"Medium","Low")))</f>
        <v/>
      </c>
    </row>
    <row r="2255">
      <c r="R2255">
        <f>IFERROR(XLOOKUP(XLOOKUP(D2255,tblReleaseChanges[Change_ID],tblReleaseChanges[Oracle_Severity],""),tblSeverityMap[Severity_Text],tblSeverityMap[Score],0),0)</f>
        <v/>
      </c>
      <c r="T2255">
        <f>ROUND((M2255*0.25)+(N2255*0.20)+(O2255*0.15)+(P2255*0.15)+(Q2255*0.10)+(R2255*0.10)+(S2255*0.05),2)</f>
        <v/>
      </c>
      <c r="U2255">
        <f>IF(T2255&gt;=4.25,"Critical",IF(T2255&gt;=3.5,"High",IF(T2255&gt;=2,"Medium","Low")))</f>
        <v/>
      </c>
    </row>
    <row r="2256">
      <c r="R2256">
        <f>IFERROR(XLOOKUP(XLOOKUP(D2256,tblReleaseChanges[Change_ID],tblReleaseChanges[Oracle_Severity],""),tblSeverityMap[Severity_Text],tblSeverityMap[Score],0),0)</f>
        <v/>
      </c>
      <c r="T2256">
        <f>ROUND((M2256*0.25)+(N2256*0.20)+(O2256*0.15)+(P2256*0.15)+(Q2256*0.10)+(R2256*0.10)+(S2256*0.05),2)</f>
        <v/>
      </c>
      <c r="U2256">
        <f>IF(T2256&gt;=4.25,"Critical",IF(T2256&gt;=3.5,"High",IF(T2256&gt;=2,"Medium","Low")))</f>
        <v/>
      </c>
    </row>
    <row r="2257">
      <c r="R2257">
        <f>IFERROR(XLOOKUP(XLOOKUP(D2257,tblReleaseChanges[Change_ID],tblReleaseChanges[Oracle_Severity],""),tblSeverityMap[Severity_Text],tblSeverityMap[Score],0),0)</f>
        <v/>
      </c>
      <c r="T2257">
        <f>ROUND((M2257*0.25)+(N2257*0.20)+(O2257*0.15)+(P2257*0.15)+(Q2257*0.10)+(R2257*0.10)+(S2257*0.05),2)</f>
        <v/>
      </c>
      <c r="U2257">
        <f>IF(T2257&gt;=4.25,"Critical",IF(T2257&gt;=3.5,"High",IF(T2257&gt;=2,"Medium","Low")))</f>
        <v/>
      </c>
    </row>
    <row r="2258">
      <c r="R2258">
        <f>IFERROR(XLOOKUP(XLOOKUP(D2258,tblReleaseChanges[Change_ID],tblReleaseChanges[Oracle_Severity],""),tblSeverityMap[Severity_Text],tblSeverityMap[Score],0),0)</f>
        <v/>
      </c>
      <c r="T2258">
        <f>ROUND((M2258*0.25)+(N2258*0.20)+(O2258*0.15)+(P2258*0.15)+(Q2258*0.10)+(R2258*0.10)+(S2258*0.05),2)</f>
        <v/>
      </c>
      <c r="U2258">
        <f>IF(T2258&gt;=4.25,"Critical",IF(T2258&gt;=3.5,"High",IF(T2258&gt;=2,"Medium","Low")))</f>
        <v/>
      </c>
    </row>
    <row r="2259">
      <c r="R2259">
        <f>IFERROR(XLOOKUP(XLOOKUP(D2259,tblReleaseChanges[Change_ID],tblReleaseChanges[Oracle_Severity],""),tblSeverityMap[Severity_Text],tblSeverityMap[Score],0),0)</f>
        <v/>
      </c>
      <c r="T2259">
        <f>ROUND((M2259*0.25)+(N2259*0.20)+(O2259*0.15)+(P2259*0.15)+(Q2259*0.10)+(R2259*0.10)+(S2259*0.05),2)</f>
        <v/>
      </c>
      <c r="U2259">
        <f>IF(T2259&gt;=4.25,"Critical",IF(T2259&gt;=3.5,"High",IF(T2259&gt;=2,"Medium","Low")))</f>
        <v/>
      </c>
    </row>
    <row r="2260">
      <c r="R2260">
        <f>IFERROR(XLOOKUP(XLOOKUP(D2260,tblReleaseChanges[Change_ID],tblReleaseChanges[Oracle_Severity],""),tblSeverityMap[Severity_Text],tblSeverityMap[Score],0),0)</f>
        <v/>
      </c>
      <c r="T2260">
        <f>ROUND((M2260*0.25)+(N2260*0.20)+(O2260*0.15)+(P2260*0.15)+(Q2260*0.10)+(R2260*0.10)+(S2260*0.05),2)</f>
        <v/>
      </c>
      <c r="U2260">
        <f>IF(T2260&gt;=4.25,"Critical",IF(T2260&gt;=3.5,"High",IF(T2260&gt;=2,"Medium","Low")))</f>
        <v/>
      </c>
    </row>
    <row r="2261">
      <c r="R2261">
        <f>IFERROR(XLOOKUP(XLOOKUP(D2261,tblReleaseChanges[Change_ID],tblReleaseChanges[Oracle_Severity],""),tblSeverityMap[Severity_Text],tblSeverityMap[Score],0),0)</f>
        <v/>
      </c>
      <c r="T2261">
        <f>ROUND((M2261*0.25)+(N2261*0.20)+(O2261*0.15)+(P2261*0.15)+(Q2261*0.10)+(R2261*0.10)+(S2261*0.05),2)</f>
        <v/>
      </c>
      <c r="U2261">
        <f>IF(T2261&gt;=4.25,"Critical",IF(T2261&gt;=3.5,"High",IF(T2261&gt;=2,"Medium","Low")))</f>
        <v/>
      </c>
    </row>
    <row r="2262">
      <c r="R2262">
        <f>IFERROR(XLOOKUP(XLOOKUP(D2262,tblReleaseChanges[Change_ID],tblReleaseChanges[Oracle_Severity],""),tblSeverityMap[Severity_Text],tblSeverityMap[Score],0),0)</f>
        <v/>
      </c>
      <c r="T2262">
        <f>ROUND((M2262*0.25)+(N2262*0.20)+(O2262*0.15)+(P2262*0.15)+(Q2262*0.10)+(R2262*0.10)+(S2262*0.05),2)</f>
        <v/>
      </c>
      <c r="U2262">
        <f>IF(T2262&gt;=4.25,"Critical",IF(T2262&gt;=3.5,"High",IF(T2262&gt;=2,"Medium","Low")))</f>
        <v/>
      </c>
    </row>
    <row r="2263">
      <c r="R2263">
        <f>IFERROR(XLOOKUP(XLOOKUP(D2263,tblReleaseChanges[Change_ID],tblReleaseChanges[Oracle_Severity],""),tblSeverityMap[Severity_Text],tblSeverityMap[Score],0),0)</f>
        <v/>
      </c>
      <c r="T2263">
        <f>ROUND((M2263*0.25)+(N2263*0.20)+(O2263*0.15)+(P2263*0.15)+(Q2263*0.10)+(R2263*0.10)+(S2263*0.05),2)</f>
        <v/>
      </c>
      <c r="U2263">
        <f>IF(T2263&gt;=4.25,"Critical",IF(T2263&gt;=3.5,"High",IF(T2263&gt;=2,"Medium","Low")))</f>
        <v/>
      </c>
    </row>
    <row r="2264">
      <c r="R2264">
        <f>IFERROR(XLOOKUP(XLOOKUP(D2264,tblReleaseChanges[Change_ID],tblReleaseChanges[Oracle_Severity],""),tblSeverityMap[Severity_Text],tblSeverityMap[Score],0),0)</f>
        <v/>
      </c>
      <c r="T2264">
        <f>ROUND((M2264*0.25)+(N2264*0.20)+(O2264*0.15)+(P2264*0.15)+(Q2264*0.10)+(R2264*0.10)+(S2264*0.05),2)</f>
        <v/>
      </c>
      <c r="U2264">
        <f>IF(T2264&gt;=4.25,"Critical",IF(T2264&gt;=3.5,"High",IF(T2264&gt;=2,"Medium","Low")))</f>
        <v/>
      </c>
    </row>
    <row r="2265">
      <c r="R2265">
        <f>IFERROR(XLOOKUP(XLOOKUP(D2265,tblReleaseChanges[Change_ID],tblReleaseChanges[Oracle_Severity],""),tblSeverityMap[Severity_Text],tblSeverityMap[Score],0),0)</f>
        <v/>
      </c>
      <c r="T2265">
        <f>ROUND((M2265*0.25)+(N2265*0.20)+(O2265*0.15)+(P2265*0.15)+(Q2265*0.10)+(R2265*0.10)+(S2265*0.05),2)</f>
        <v/>
      </c>
      <c r="U2265">
        <f>IF(T2265&gt;=4.25,"Critical",IF(T2265&gt;=3.5,"High",IF(T2265&gt;=2,"Medium","Low")))</f>
        <v/>
      </c>
    </row>
    <row r="2266">
      <c r="R2266">
        <f>IFERROR(XLOOKUP(XLOOKUP(D2266,tblReleaseChanges[Change_ID],tblReleaseChanges[Oracle_Severity],""),tblSeverityMap[Severity_Text],tblSeverityMap[Score],0),0)</f>
        <v/>
      </c>
      <c r="T2266">
        <f>ROUND((M2266*0.25)+(N2266*0.20)+(O2266*0.15)+(P2266*0.15)+(Q2266*0.10)+(R2266*0.10)+(S2266*0.05),2)</f>
        <v/>
      </c>
      <c r="U2266">
        <f>IF(T2266&gt;=4.25,"Critical",IF(T2266&gt;=3.5,"High",IF(T2266&gt;=2,"Medium","Low")))</f>
        <v/>
      </c>
    </row>
    <row r="2267">
      <c r="R2267">
        <f>IFERROR(XLOOKUP(XLOOKUP(D2267,tblReleaseChanges[Change_ID],tblReleaseChanges[Oracle_Severity],""),tblSeverityMap[Severity_Text],tblSeverityMap[Score],0),0)</f>
        <v/>
      </c>
      <c r="T2267">
        <f>ROUND((M2267*0.25)+(N2267*0.20)+(O2267*0.15)+(P2267*0.15)+(Q2267*0.10)+(R2267*0.10)+(S2267*0.05),2)</f>
        <v/>
      </c>
      <c r="U2267">
        <f>IF(T2267&gt;=4.25,"Critical",IF(T2267&gt;=3.5,"High",IF(T2267&gt;=2,"Medium","Low")))</f>
        <v/>
      </c>
    </row>
    <row r="2268">
      <c r="R2268">
        <f>IFERROR(XLOOKUP(XLOOKUP(D2268,tblReleaseChanges[Change_ID],tblReleaseChanges[Oracle_Severity],""),tblSeverityMap[Severity_Text],tblSeverityMap[Score],0),0)</f>
        <v/>
      </c>
      <c r="T2268">
        <f>ROUND((M2268*0.25)+(N2268*0.20)+(O2268*0.15)+(P2268*0.15)+(Q2268*0.10)+(R2268*0.10)+(S2268*0.05),2)</f>
        <v/>
      </c>
      <c r="U2268">
        <f>IF(T2268&gt;=4.25,"Critical",IF(T2268&gt;=3.5,"High",IF(T2268&gt;=2,"Medium","Low")))</f>
        <v/>
      </c>
    </row>
    <row r="2269">
      <c r="R2269">
        <f>IFERROR(XLOOKUP(XLOOKUP(D2269,tblReleaseChanges[Change_ID],tblReleaseChanges[Oracle_Severity],""),tblSeverityMap[Severity_Text],tblSeverityMap[Score],0),0)</f>
        <v/>
      </c>
      <c r="T2269">
        <f>ROUND((M2269*0.25)+(N2269*0.20)+(O2269*0.15)+(P2269*0.15)+(Q2269*0.10)+(R2269*0.10)+(S2269*0.05),2)</f>
        <v/>
      </c>
      <c r="U2269">
        <f>IF(T2269&gt;=4.25,"Critical",IF(T2269&gt;=3.5,"High",IF(T2269&gt;=2,"Medium","Low")))</f>
        <v/>
      </c>
    </row>
    <row r="2270">
      <c r="R2270">
        <f>IFERROR(XLOOKUP(XLOOKUP(D2270,tblReleaseChanges[Change_ID],tblReleaseChanges[Oracle_Severity],""),tblSeverityMap[Severity_Text],tblSeverityMap[Score],0),0)</f>
        <v/>
      </c>
      <c r="T2270">
        <f>ROUND((M2270*0.25)+(N2270*0.20)+(O2270*0.15)+(P2270*0.15)+(Q2270*0.10)+(R2270*0.10)+(S2270*0.05),2)</f>
        <v/>
      </c>
      <c r="U2270">
        <f>IF(T2270&gt;=4.25,"Critical",IF(T2270&gt;=3.5,"High",IF(T2270&gt;=2,"Medium","Low")))</f>
        <v/>
      </c>
    </row>
    <row r="2271">
      <c r="R2271">
        <f>IFERROR(XLOOKUP(XLOOKUP(D2271,tblReleaseChanges[Change_ID],tblReleaseChanges[Oracle_Severity],""),tblSeverityMap[Severity_Text],tblSeverityMap[Score],0),0)</f>
        <v/>
      </c>
      <c r="T2271">
        <f>ROUND((M2271*0.25)+(N2271*0.20)+(O2271*0.15)+(P2271*0.15)+(Q2271*0.10)+(R2271*0.10)+(S2271*0.05),2)</f>
        <v/>
      </c>
      <c r="U2271">
        <f>IF(T2271&gt;=4.25,"Critical",IF(T2271&gt;=3.5,"High",IF(T2271&gt;=2,"Medium","Low")))</f>
        <v/>
      </c>
    </row>
    <row r="2272">
      <c r="R2272">
        <f>IFERROR(XLOOKUP(XLOOKUP(D2272,tblReleaseChanges[Change_ID],tblReleaseChanges[Oracle_Severity],""),tblSeverityMap[Severity_Text],tblSeverityMap[Score],0),0)</f>
        <v/>
      </c>
      <c r="T2272">
        <f>ROUND((M2272*0.25)+(N2272*0.20)+(O2272*0.15)+(P2272*0.15)+(Q2272*0.10)+(R2272*0.10)+(S2272*0.05),2)</f>
        <v/>
      </c>
      <c r="U2272">
        <f>IF(T2272&gt;=4.25,"Critical",IF(T2272&gt;=3.5,"High",IF(T2272&gt;=2,"Medium","Low")))</f>
        <v/>
      </c>
    </row>
    <row r="2273">
      <c r="R2273">
        <f>IFERROR(XLOOKUP(XLOOKUP(D2273,tblReleaseChanges[Change_ID],tblReleaseChanges[Oracle_Severity],""),tblSeverityMap[Severity_Text],tblSeverityMap[Score],0),0)</f>
        <v/>
      </c>
      <c r="T2273">
        <f>ROUND((M2273*0.25)+(N2273*0.20)+(O2273*0.15)+(P2273*0.15)+(Q2273*0.10)+(R2273*0.10)+(S2273*0.05),2)</f>
        <v/>
      </c>
      <c r="U2273">
        <f>IF(T2273&gt;=4.25,"Critical",IF(T2273&gt;=3.5,"High",IF(T2273&gt;=2,"Medium","Low")))</f>
        <v/>
      </c>
    </row>
    <row r="2274">
      <c r="R2274">
        <f>IFERROR(XLOOKUP(XLOOKUP(D2274,tblReleaseChanges[Change_ID],tblReleaseChanges[Oracle_Severity],""),tblSeverityMap[Severity_Text],tblSeverityMap[Score],0),0)</f>
        <v/>
      </c>
      <c r="T2274">
        <f>ROUND((M2274*0.25)+(N2274*0.20)+(O2274*0.15)+(P2274*0.15)+(Q2274*0.10)+(R2274*0.10)+(S2274*0.05),2)</f>
        <v/>
      </c>
      <c r="U2274">
        <f>IF(T2274&gt;=4.25,"Critical",IF(T2274&gt;=3.5,"High",IF(T2274&gt;=2,"Medium","Low")))</f>
        <v/>
      </c>
    </row>
    <row r="2275">
      <c r="R2275">
        <f>IFERROR(XLOOKUP(XLOOKUP(D2275,tblReleaseChanges[Change_ID],tblReleaseChanges[Oracle_Severity],""),tblSeverityMap[Severity_Text],tblSeverityMap[Score],0),0)</f>
        <v/>
      </c>
      <c r="T2275">
        <f>ROUND((M2275*0.25)+(N2275*0.20)+(O2275*0.15)+(P2275*0.15)+(Q2275*0.10)+(R2275*0.10)+(S2275*0.05),2)</f>
        <v/>
      </c>
      <c r="U2275">
        <f>IF(T2275&gt;=4.25,"Critical",IF(T2275&gt;=3.5,"High",IF(T2275&gt;=2,"Medium","Low")))</f>
        <v/>
      </c>
    </row>
    <row r="2276">
      <c r="R2276">
        <f>IFERROR(XLOOKUP(XLOOKUP(D2276,tblReleaseChanges[Change_ID],tblReleaseChanges[Oracle_Severity],""),tblSeverityMap[Severity_Text],tblSeverityMap[Score],0),0)</f>
        <v/>
      </c>
      <c r="T2276">
        <f>ROUND((M2276*0.25)+(N2276*0.20)+(O2276*0.15)+(P2276*0.15)+(Q2276*0.10)+(R2276*0.10)+(S2276*0.05),2)</f>
        <v/>
      </c>
      <c r="U2276">
        <f>IF(T2276&gt;=4.25,"Critical",IF(T2276&gt;=3.5,"High",IF(T2276&gt;=2,"Medium","Low")))</f>
        <v/>
      </c>
    </row>
    <row r="2277">
      <c r="R2277">
        <f>IFERROR(XLOOKUP(XLOOKUP(D2277,tblReleaseChanges[Change_ID],tblReleaseChanges[Oracle_Severity],""),tblSeverityMap[Severity_Text],tblSeverityMap[Score],0),0)</f>
        <v/>
      </c>
      <c r="T2277">
        <f>ROUND((M2277*0.25)+(N2277*0.20)+(O2277*0.15)+(P2277*0.15)+(Q2277*0.10)+(R2277*0.10)+(S2277*0.05),2)</f>
        <v/>
      </c>
      <c r="U2277">
        <f>IF(T2277&gt;=4.25,"Critical",IF(T2277&gt;=3.5,"High",IF(T2277&gt;=2,"Medium","Low")))</f>
        <v/>
      </c>
    </row>
    <row r="2278">
      <c r="R2278">
        <f>IFERROR(XLOOKUP(XLOOKUP(D2278,tblReleaseChanges[Change_ID],tblReleaseChanges[Oracle_Severity],""),tblSeverityMap[Severity_Text],tblSeverityMap[Score],0),0)</f>
        <v/>
      </c>
      <c r="T2278">
        <f>ROUND((M2278*0.25)+(N2278*0.20)+(O2278*0.15)+(P2278*0.15)+(Q2278*0.10)+(R2278*0.10)+(S2278*0.05),2)</f>
        <v/>
      </c>
      <c r="U2278">
        <f>IF(T2278&gt;=4.25,"Critical",IF(T2278&gt;=3.5,"High",IF(T2278&gt;=2,"Medium","Low")))</f>
        <v/>
      </c>
    </row>
    <row r="2279">
      <c r="R2279">
        <f>IFERROR(XLOOKUP(XLOOKUP(D2279,tblReleaseChanges[Change_ID],tblReleaseChanges[Oracle_Severity],""),tblSeverityMap[Severity_Text],tblSeverityMap[Score],0),0)</f>
        <v/>
      </c>
      <c r="T2279">
        <f>ROUND((M2279*0.25)+(N2279*0.20)+(O2279*0.15)+(P2279*0.15)+(Q2279*0.10)+(R2279*0.10)+(S2279*0.05),2)</f>
        <v/>
      </c>
      <c r="U2279">
        <f>IF(T2279&gt;=4.25,"Critical",IF(T2279&gt;=3.5,"High",IF(T2279&gt;=2,"Medium","Low")))</f>
        <v/>
      </c>
    </row>
    <row r="2280">
      <c r="R2280">
        <f>IFERROR(XLOOKUP(XLOOKUP(D2280,tblReleaseChanges[Change_ID],tblReleaseChanges[Oracle_Severity],""),tblSeverityMap[Severity_Text],tblSeverityMap[Score],0),0)</f>
        <v/>
      </c>
      <c r="T2280">
        <f>ROUND((M2280*0.25)+(N2280*0.20)+(O2280*0.15)+(P2280*0.15)+(Q2280*0.10)+(R2280*0.10)+(S2280*0.05),2)</f>
        <v/>
      </c>
      <c r="U2280">
        <f>IF(T2280&gt;=4.25,"Critical",IF(T2280&gt;=3.5,"High",IF(T2280&gt;=2,"Medium","Low")))</f>
        <v/>
      </c>
    </row>
    <row r="2281">
      <c r="R2281">
        <f>IFERROR(XLOOKUP(XLOOKUP(D2281,tblReleaseChanges[Change_ID],tblReleaseChanges[Oracle_Severity],""),tblSeverityMap[Severity_Text],tblSeverityMap[Score],0),0)</f>
        <v/>
      </c>
      <c r="T2281">
        <f>ROUND((M2281*0.25)+(N2281*0.20)+(O2281*0.15)+(P2281*0.15)+(Q2281*0.10)+(R2281*0.10)+(S2281*0.05),2)</f>
        <v/>
      </c>
      <c r="U2281">
        <f>IF(T2281&gt;=4.25,"Critical",IF(T2281&gt;=3.5,"High",IF(T2281&gt;=2,"Medium","Low")))</f>
        <v/>
      </c>
    </row>
    <row r="2282">
      <c r="R2282">
        <f>IFERROR(XLOOKUP(XLOOKUP(D2282,tblReleaseChanges[Change_ID],tblReleaseChanges[Oracle_Severity],""),tblSeverityMap[Severity_Text],tblSeverityMap[Score],0),0)</f>
        <v/>
      </c>
      <c r="T2282">
        <f>ROUND((M2282*0.25)+(N2282*0.20)+(O2282*0.15)+(P2282*0.15)+(Q2282*0.10)+(R2282*0.10)+(S2282*0.05),2)</f>
        <v/>
      </c>
      <c r="U2282">
        <f>IF(T2282&gt;=4.25,"Critical",IF(T2282&gt;=3.5,"High",IF(T2282&gt;=2,"Medium","Low")))</f>
        <v/>
      </c>
    </row>
    <row r="2283">
      <c r="R2283">
        <f>IFERROR(XLOOKUP(XLOOKUP(D2283,tblReleaseChanges[Change_ID],tblReleaseChanges[Oracle_Severity],""),tblSeverityMap[Severity_Text],tblSeverityMap[Score],0),0)</f>
        <v/>
      </c>
      <c r="T2283">
        <f>ROUND((M2283*0.25)+(N2283*0.20)+(O2283*0.15)+(P2283*0.15)+(Q2283*0.10)+(R2283*0.10)+(S2283*0.05),2)</f>
        <v/>
      </c>
      <c r="U2283">
        <f>IF(T2283&gt;=4.25,"Critical",IF(T2283&gt;=3.5,"High",IF(T2283&gt;=2,"Medium","Low")))</f>
        <v/>
      </c>
    </row>
    <row r="2284">
      <c r="R2284">
        <f>IFERROR(XLOOKUP(XLOOKUP(D2284,tblReleaseChanges[Change_ID],tblReleaseChanges[Oracle_Severity],""),tblSeverityMap[Severity_Text],tblSeverityMap[Score],0),0)</f>
        <v/>
      </c>
      <c r="T2284">
        <f>ROUND((M2284*0.25)+(N2284*0.20)+(O2284*0.15)+(P2284*0.15)+(Q2284*0.10)+(R2284*0.10)+(S2284*0.05),2)</f>
        <v/>
      </c>
      <c r="U2284">
        <f>IF(T2284&gt;=4.25,"Critical",IF(T2284&gt;=3.5,"High",IF(T2284&gt;=2,"Medium","Low")))</f>
        <v/>
      </c>
    </row>
    <row r="2285">
      <c r="R2285">
        <f>IFERROR(XLOOKUP(XLOOKUP(D2285,tblReleaseChanges[Change_ID],tblReleaseChanges[Oracle_Severity],""),tblSeverityMap[Severity_Text],tblSeverityMap[Score],0),0)</f>
        <v/>
      </c>
      <c r="T2285">
        <f>ROUND((M2285*0.25)+(N2285*0.20)+(O2285*0.15)+(P2285*0.15)+(Q2285*0.10)+(R2285*0.10)+(S2285*0.05),2)</f>
        <v/>
      </c>
      <c r="U2285">
        <f>IF(T2285&gt;=4.25,"Critical",IF(T2285&gt;=3.5,"High",IF(T2285&gt;=2,"Medium","Low")))</f>
        <v/>
      </c>
    </row>
    <row r="2286">
      <c r="R2286">
        <f>IFERROR(XLOOKUP(XLOOKUP(D2286,tblReleaseChanges[Change_ID],tblReleaseChanges[Oracle_Severity],""),tblSeverityMap[Severity_Text],tblSeverityMap[Score],0),0)</f>
        <v/>
      </c>
      <c r="T2286">
        <f>ROUND((M2286*0.25)+(N2286*0.20)+(O2286*0.15)+(P2286*0.15)+(Q2286*0.10)+(R2286*0.10)+(S2286*0.05),2)</f>
        <v/>
      </c>
      <c r="U2286">
        <f>IF(T2286&gt;=4.25,"Critical",IF(T2286&gt;=3.5,"High",IF(T2286&gt;=2,"Medium","Low")))</f>
        <v/>
      </c>
    </row>
    <row r="2287">
      <c r="R2287">
        <f>IFERROR(XLOOKUP(XLOOKUP(D2287,tblReleaseChanges[Change_ID],tblReleaseChanges[Oracle_Severity],""),tblSeverityMap[Severity_Text],tblSeverityMap[Score],0),0)</f>
        <v/>
      </c>
      <c r="T2287">
        <f>ROUND((M2287*0.25)+(N2287*0.20)+(O2287*0.15)+(P2287*0.15)+(Q2287*0.10)+(R2287*0.10)+(S2287*0.05),2)</f>
        <v/>
      </c>
      <c r="U2287">
        <f>IF(T2287&gt;=4.25,"Critical",IF(T2287&gt;=3.5,"High",IF(T2287&gt;=2,"Medium","Low")))</f>
        <v/>
      </c>
    </row>
    <row r="2288">
      <c r="R2288">
        <f>IFERROR(XLOOKUP(XLOOKUP(D2288,tblReleaseChanges[Change_ID],tblReleaseChanges[Oracle_Severity],""),tblSeverityMap[Severity_Text],tblSeverityMap[Score],0),0)</f>
        <v/>
      </c>
      <c r="T2288">
        <f>ROUND((M2288*0.25)+(N2288*0.20)+(O2288*0.15)+(P2288*0.15)+(Q2288*0.10)+(R2288*0.10)+(S2288*0.05),2)</f>
        <v/>
      </c>
      <c r="U2288">
        <f>IF(T2288&gt;=4.25,"Critical",IF(T2288&gt;=3.5,"High",IF(T2288&gt;=2,"Medium","Low")))</f>
        <v/>
      </c>
    </row>
    <row r="2289">
      <c r="R2289">
        <f>IFERROR(XLOOKUP(XLOOKUP(D2289,tblReleaseChanges[Change_ID],tblReleaseChanges[Oracle_Severity],""),tblSeverityMap[Severity_Text],tblSeverityMap[Score],0),0)</f>
        <v/>
      </c>
      <c r="T2289">
        <f>ROUND((M2289*0.25)+(N2289*0.20)+(O2289*0.15)+(P2289*0.15)+(Q2289*0.10)+(R2289*0.10)+(S2289*0.05),2)</f>
        <v/>
      </c>
      <c r="U2289">
        <f>IF(T2289&gt;=4.25,"Critical",IF(T2289&gt;=3.5,"High",IF(T2289&gt;=2,"Medium","Low")))</f>
        <v/>
      </c>
    </row>
    <row r="2290">
      <c r="R2290">
        <f>IFERROR(XLOOKUP(XLOOKUP(D2290,tblReleaseChanges[Change_ID],tblReleaseChanges[Oracle_Severity],""),tblSeverityMap[Severity_Text],tblSeverityMap[Score],0),0)</f>
        <v/>
      </c>
      <c r="T2290">
        <f>ROUND((M2290*0.25)+(N2290*0.20)+(O2290*0.15)+(P2290*0.15)+(Q2290*0.10)+(R2290*0.10)+(S2290*0.05),2)</f>
        <v/>
      </c>
      <c r="U2290">
        <f>IF(T2290&gt;=4.25,"Critical",IF(T2290&gt;=3.5,"High",IF(T2290&gt;=2,"Medium","Low")))</f>
        <v/>
      </c>
    </row>
    <row r="2291">
      <c r="R2291">
        <f>IFERROR(XLOOKUP(XLOOKUP(D2291,tblReleaseChanges[Change_ID],tblReleaseChanges[Oracle_Severity],""),tblSeverityMap[Severity_Text],tblSeverityMap[Score],0),0)</f>
        <v/>
      </c>
      <c r="T2291">
        <f>ROUND((M2291*0.25)+(N2291*0.20)+(O2291*0.15)+(P2291*0.15)+(Q2291*0.10)+(R2291*0.10)+(S2291*0.05),2)</f>
        <v/>
      </c>
      <c r="U2291">
        <f>IF(T2291&gt;=4.25,"Critical",IF(T2291&gt;=3.5,"High",IF(T2291&gt;=2,"Medium","Low")))</f>
        <v/>
      </c>
    </row>
    <row r="2292">
      <c r="R2292">
        <f>IFERROR(XLOOKUP(XLOOKUP(D2292,tblReleaseChanges[Change_ID],tblReleaseChanges[Oracle_Severity],""),tblSeverityMap[Severity_Text],tblSeverityMap[Score],0),0)</f>
        <v/>
      </c>
      <c r="T2292">
        <f>ROUND((M2292*0.25)+(N2292*0.20)+(O2292*0.15)+(P2292*0.15)+(Q2292*0.10)+(R2292*0.10)+(S2292*0.05),2)</f>
        <v/>
      </c>
      <c r="U2292">
        <f>IF(T2292&gt;=4.25,"Critical",IF(T2292&gt;=3.5,"High",IF(T2292&gt;=2,"Medium","Low")))</f>
        <v/>
      </c>
    </row>
    <row r="2293">
      <c r="R2293">
        <f>IFERROR(XLOOKUP(XLOOKUP(D2293,tblReleaseChanges[Change_ID],tblReleaseChanges[Oracle_Severity],""),tblSeverityMap[Severity_Text],tblSeverityMap[Score],0),0)</f>
        <v/>
      </c>
      <c r="T2293">
        <f>ROUND((M2293*0.25)+(N2293*0.20)+(O2293*0.15)+(P2293*0.15)+(Q2293*0.10)+(R2293*0.10)+(S2293*0.05),2)</f>
        <v/>
      </c>
      <c r="U2293">
        <f>IF(T2293&gt;=4.25,"Critical",IF(T2293&gt;=3.5,"High",IF(T2293&gt;=2,"Medium","Low")))</f>
        <v/>
      </c>
    </row>
    <row r="2294">
      <c r="R2294">
        <f>IFERROR(XLOOKUP(XLOOKUP(D2294,tblReleaseChanges[Change_ID],tblReleaseChanges[Oracle_Severity],""),tblSeverityMap[Severity_Text],tblSeverityMap[Score],0),0)</f>
        <v/>
      </c>
      <c r="T2294">
        <f>ROUND((M2294*0.25)+(N2294*0.20)+(O2294*0.15)+(P2294*0.15)+(Q2294*0.10)+(R2294*0.10)+(S2294*0.05),2)</f>
        <v/>
      </c>
      <c r="U2294">
        <f>IF(T2294&gt;=4.25,"Critical",IF(T2294&gt;=3.5,"High",IF(T2294&gt;=2,"Medium","Low")))</f>
        <v/>
      </c>
    </row>
    <row r="2295">
      <c r="R2295">
        <f>IFERROR(XLOOKUP(XLOOKUP(D2295,tblReleaseChanges[Change_ID],tblReleaseChanges[Oracle_Severity],""),tblSeverityMap[Severity_Text],tblSeverityMap[Score],0),0)</f>
        <v/>
      </c>
      <c r="T2295">
        <f>ROUND((M2295*0.25)+(N2295*0.20)+(O2295*0.15)+(P2295*0.15)+(Q2295*0.10)+(R2295*0.10)+(S2295*0.05),2)</f>
        <v/>
      </c>
      <c r="U2295">
        <f>IF(T2295&gt;=4.25,"Critical",IF(T2295&gt;=3.5,"High",IF(T2295&gt;=2,"Medium","Low")))</f>
        <v/>
      </c>
    </row>
    <row r="2296">
      <c r="R2296">
        <f>IFERROR(XLOOKUP(XLOOKUP(D2296,tblReleaseChanges[Change_ID],tblReleaseChanges[Oracle_Severity],""),tblSeverityMap[Severity_Text],tblSeverityMap[Score],0),0)</f>
        <v/>
      </c>
      <c r="T2296">
        <f>ROUND((M2296*0.25)+(N2296*0.20)+(O2296*0.15)+(P2296*0.15)+(Q2296*0.10)+(R2296*0.10)+(S2296*0.05),2)</f>
        <v/>
      </c>
      <c r="U2296">
        <f>IF(T2296&gt;=4.25,"Critical",IF(T2296&gt;=3.5,"High",IF(T2296&gt;=2,"Medium","Low")))</f>
        <v/>
      </c>
    </row>
    <row r="2297">
      <c r="R2297">
        <f>IFERROR(XLOOKUP(XLOOKUP(D2297,tblReleaseChanges[Change_ID],tblReleaseChanges[Oracle_Severity],""),tblSeverityMap[Severity_Text],tblSeverityMap[Score],0),0)</f>
        <v/>
      </c>
      <c r="T2297">
        <f>ROUND((M2297*0.25)+(N2297*0.20)+(O2297*0.15)+(P2297*0.15)+(Q2297*0.10)+(R2297*0.10)+(S2297*0.05),2)</f>
        <v/>
      </c>
      <c r="U2297">
        <f>IF(T2297&gt;=4.25,"Critical",IF(T2297&gt;=3.5,"High",IF(T2297&gt;=2,"Medium","Low")))</f>
        <v/>
      </c>
    </row>
    <row r="2298">
      <c r="R2298">
        <f>IFERROR(XLOOKUP(XLOOKUP(D2298,tblReleaseChanges[Change_ID],tblReleaseChanges[Oracle_Severity],""),tblSeverityMap[Severity_Text],tblSeverityMap[Score],0),0)</f>
        <v/>
      </c>
      <c r="T2298">
        <f>ROUND((M2298*0.25)+(N2298*0.20)+(O2298*0.15)+(P2298*0.15)+(Q2298*0.10)+(R2298*0.10)+(S2298*0.05),2)</f>
        <v/>
      </c>
      <c r="U2298">
        <f>IF(T2298&gt;=4.25,"Critical",IF(T2298&gt;=3.5,"High",IF(T2298&gt;=2,"Medium","Low")))</f>
        <v/>
      </c>
    </row>
    <row r="2299">
      <c r="R2299">
        <f>IFERROR(XLOOKUP(XLOOKUP(D2299,tblReleaseChanges[Change_ID],tblReleaseChanges[Oracle_Severity],""),tblSeverityMap[Severity_Text],tblSeverityMap[Score],0),0)</f>
        <v/>
      </c>
      <c r="T2299">
        <f>ROUND((M2299*0.25)+(N2299*0.20)+(O2299*0.15)+(P2299*0.15)+(Q2299*0.10)+(R2299*0.10)+(S2299*0.05),2)</f>
        <v/>
      </c>
      <c r="U2299">
        <f>IF(T2299&gt;=4.25,"Critical",IF(T2299&gt;=3.5,"High",IF(T2299&gt;=2,"Medium","Low")))</f>
        <v/>
      </c>
    </row>
    <row r="2300">
      <c r="R2300">
        <f>IFERROR(XLOOKUP(XLOOKUP(D2300,tblReleaseChanges[Change_ID],tblReleaseChanges[Oracle_Severity],""),tblSeverityMap[Severity_Text],tblSeverityMap[Score],0),0)</f>
        <v/>
      </c>
      <c r="T2300">
        <f>ROUND((M2300*0.25)+(N2300*0.20)+(O2300*0.15)+(P2300*0.15)+(Q2300*0.10)+(R2300*0.10)+(S2300*0.05),2)</f>
        <v/>
      </c>
      <c r="U2300">
        <f>IF(T2300&gt;=4.25,"Critical",IF(T2300&gt;=3.5,"High",IF(T2300&gt;=2,"Medium","Low")))</f>
        <v/>
      </c>
    </row>
    <row r="2301">
      <c r="R2301">
        <f>IFERROR(XLOOKUP(XLOOKUP(D2301,tblReleaseChanges[Change_ID],tblReleaseChanges[Oracle_Severity],""),tblSeverityMap[Severity_Text],tblSeverityMap[Score],0),0)</f>
        <v/>
      </c>
      <c r="T2301">
        <f>ROUND((M2301*0.25)+(N2301*0.20)+(O2301*0.15)+(P2301*0.15)+(Q2301*0.10)+(R2301*0.10)+(S2301*0.05),2)</f>
        <v/>
      </c>
      <c r="U2301">
        <f>IF(T2301&gt;=4.25,"Critical",IF(T2301&gt;=3.5,"High",IF(T2301&gt;=2,"Medium","Low")))</f>
        <v/>
      </c>
    </row>
    <row r="2302">
      <c r="R2302">
        <f>IFERROR(XLOOKUP(XLOOKUP(D2302,tblReleaseChanges[Change_ID],tblReleaseChanges[Oracle_Severity],""),tblSeverityMap[Severity_Text],tblSeverityMap[Score],0),0)</f>
        <v/>
      </c>
      <c r="T2302">
        <f>ROUND((M2302*0.25)+(N2302*0.20)+(O2302*0.15)+(P2302*0.15)+(Q2302*0.10)+(R2302*0.10)+(S2302*0.05),2)</f>
        <v/>
      </c>
      <c r="U2302">
        <f>IF(T2302&gt;=4.25,"Critical",IF(T2302&gt;=3.5,"High",IF(T2302&gt;=2,"Medium","Low")))</f>
        <v/>
      </c>
    </row>
    <row r="2303">
      <c r="R2303">
        <f>IFERROR(XLOOKUP(XLOOKUP(D2303,tblReleaseChanges[Change_ID],tblReleaseChanges[Oracle_Severity],""),tblSeverityMap[Severity_Text],tblSeverityMap[Score],0),0)</f>
        <v/>
      </c>
      <c r="T2303">
        <f>ROUND((M2303*0.25)+(N2303*0.20)+(O2303*0.15)+(P2303*0.15)+(Q2303*0.10)+(R2303*0.10)+(S2303*0.05),2)</f>
        <v/>
      </c>
      <c r="U2303">
        <f>IF(T2303&gt;=4.25,"Critical",IF(T2303&gt;=3.5,"High",IF(T2303&gt;=2,"Medium","Low")))</f>
        <v/>
      </c>
    </row>
    <row r="2304">
      <c r="R2304">
        <f>IFERROR(XLOOKUP(XLOOKUP(D2304,tblReleaseChanges[Change_ID],tblReleaseChanges[Oracle_Severity],""),tblSeverityMap[Severity_Text],tblSeverityMap[Score],0),0)</f>
        <v/>
      </c>
      <c r="T2304">
        <f>ROUND((M2304*0.25)+(N2304*0.20)+(O2304*0.15)+(P2304*0.15)+(Q2304*0.10)+(R2304*0.10)+(S2304*0.05),2)</f>
        <v/>
      </c>
      <c r="U2304">
        <f>IF(T2304&gt;=4.25,"Critical",IF(T2304&gt;=3.5,"High",IF(T2304&gt;=2,"Medium","Low")))</f>
        <v/>
      </c>
    </row>
    <row r="2305">
      <c r="R2305">
        <f>IFERROR(XLOOKUP(XLOOKUP(D2305,tblReleaseChanges[Change_ID],tblReleaseChanges[Oracle_Severity],""),tblSeverityMap[Severity_Text],tblSeverityMap[Score],0),0)</f>
        <v/>
      </c>
      <c r="T2305">
        <f>ROUND((M2305*0.25)+(N2305*0.20)+(O2305*0.15)+(P2305*0.15)+(Q2305*0.10)+(R2305*0.10)+(S2305*0.05),2)</f>
        <v/>
      </c>
      <c r="U2305">
        <f>IF(T2305&gt;=4.25,"Critical",IF(T2305&gt;=3.5,"High",IF(T2305&gt;=2,"Medium","Low")))</f>
        <v/>
      </c>
    </row>
    <row r="2306">
      <c r="R2306">
        <f>IFERROR(XLOOKUP(XLOOKUP(D2306,tblReleaseChanges[Change_ID],tblReleaseChanges[Oracle_Severity],""),tblSeverityMap[Severity_Text],tblSeverityMap[Score],0),0)</f>
        <v/>
      </c>
      <c r="T2306">
        <f>ROUND((M2306*0.25)+(N2306*0.20)+(O2306*0.15)+(P2306*0.15)+(Q2306*0.10)+(R2306*0.10)+(S2306*0.05),2)</f>
        <v/>
      </c>
      <c r="U2306">
        <f>IF(T2306&gt;=4.25,"Critical",IF(T2306&gt;=3.5,"High",IF(T2306&gt;=2,"Medium","Low")))</f>
        <v/>
      </c>
    </row>
    <row r="2307">
      <c r="R2307">
        <f>IFERROR(XLOOKUP(XLOOKUP(D2307,tblReleaseChanges[Change_ID],tblReleaseChanges[Oracle_Severity],""),tblSeverityMap[Severity_Text],tblSeverityMap[Score],0),0)</f>
        <v/>
      </c>
      <c r="T2307">
        <f>ROUND((M2307*0.25)+(N2307*0.20)+(O2307*0.15)+(P2307*0.15)+(Q2307*0.10)+(R2307*0.10)+(S2307*0.05),2)</f>
        <v/>
      </c>
      <c r="U2307">
        <f>IF(T2307&gt;=4.25,"Critical",IF(T2307&gt;=3.5,"High",IF(T2307&gt;=2,"Medium","Low")))</f>
        <v/>
      </c>
    </row>
    <row r="2308">
      <c r="R2308">
        <f>IFERROR(XLOOKUP(XLOOKUP(D2308,tblReleaseChanges[Change_ID],tblReleaseChanges[Oracle_Severity],""),tblSeverityMap[Severity_Text],tblSeverityMap[Score],0),0)</f>
        <v/>
      </c>
      <c r="T2308">
        <f>ROUND((M2308*0.25)+(N2308*0.20)+(O2308*0.15)+(P2308*0.15)+(Q2308*0.10)+(R2308*0.10)+(S2308*0.05),2)</f>
        <v/>
      </c>
      <c r="U2308">
        <f>IF(T2308&gt;=4.25,"Critical",IF(T2308&gt;=3.5,"High",IF(T2308&gt;=2,"Medium","Low")))</f>
        <v/>
      </c>
    </row>
    <row r="2309">
      <c r="R2309">
        <f>IFERROR(XLOOKUP(XLOOKUP(D2309,tblReleaseChanges[Change_ID],tblReleaseChanges[Oracle_Severity],""),tblSeverityMap[Severity_Text],tblSeverityMap[Score],0),0)</f>
        <v/>
      </c>
      <c r="T2309">
        <f>ROUND((M2309*0.25)+(N2309*0.20)+(O2309*0.15)+(P2309*0.15)+(Q2309*0.10)+(R2309*0.10)+(S2309*0.05),2)</f>
        <v/>
      </c>
      <c r="U2309">
        <f>IF(T2309&gt;=4.25,"Critical",IF(T2309&gt;=3.5,"High",IF(T2309&gt;=2,"Medium","Low")))</f>
        <v/>
      </c>
    </row>
    <row r="2310">
      <c r="R2310">
        <f>IFERROR(XLOOKUP(XLOOKUP(D2310,tblReleaseChanges[Change_ID],tblReleaseChanges[Oracle_Severity],""),tblSeverityMap[Severity_Text],tblSeverityMap[Score],0),0)</f>
        <v/>
      </c>
      <c r="T2310">
        <f>ROUND((M2310*0.25)+(N2310*0.20)+(O2310*0.15)+(P2310*0.15)+(Q2310*0.10)+(R2310*0.10)+(S2310*0.05),2)</f>
        <v/>
      </c>
      <c r="U2310">
        <f>IF(T2310&gt;=4.25,"Critical",IF(T2310&gt;=3.5,"High",IF(T2310&gt;=2,"Medium","Low")))</f>
        <v/>
      </c>
    </row>
    <row r="2311">
      <c r="R2311">
        <f>IFERROR(XLOOKUP(XLOOKUP(D2311,tblReleaseChanges[Change_ID],tblReleaseChanges[Oracle_Severity],""),tblSeverityMap[Severity_Text],tblSeverityMap[Score],0),0)</f>
        <v/>
      </c>
      <c r="T2311">
        <f>ROUND((M2311*0.25)+(N2311*0.20)+(O2311*0.15)+(P2311*0.15)+(Q2311*0.10)+(R2311*0.10)+(S2311*0.05),2)</f>
        <v/>
      </c>
      <c r="U2311">
        <f>IF(T2311&gt;=4.25,"Critical",IF(T2311&gt;=3.5,"High",IF(T2311&gt;=2,"Medium","Low")))</f>
        <v/>
      </c>
    </row>
    <row r="2312">
      <c r="R2312">
        <f>IFERROR(XLOOKUP(XLOOKUP(D2312,tblReleaseChanges[Change_ID],tblReleaseChanges[Oracle_Severity],""),tblSeverityMap[Severity_Text],tblSeverityMap[Score],0),0)</f>
        <v/>
      </c>
      <c r="T2312">
        <f>ROUND((M2312*0.25)+(N2312*0.20)+(O2312*0.15)+(P2312*0.15)+(Q2312*0.10)+(R2312*0.10)+(S2312*0.05),2)</f>
        <v/>
      </c>
      <c r="U2312">
        <f>IF(T2312&gt;=4.25,"Critical",IF(T2312&gt;=3.5,"High",IF(T2312&gt;=2,"Medium","Low")))</f>
        <v/>
      </c>
    </row>
    <row r="2313">
      <c r="R2313">
        <f>IFERROR(XLOOKUP(XLOOKUP(D2313,tblReleaseChanges[Change_ID],tblReleaseChanges[Oracle_Severity],""),tblSeverityMap[Severity_Text],tblSeverityMap[Score],0),0)</f>
        <v/>
      </c>
      <c r="T2313">
        <f>ROUND((M2313*0.25)+(N2313*0.20)+(O2313*0.15)+(P2313*0.15)+(Q2313*0.10)+(R2313*0.10)+(S2313*0.05),2)</f>
        <v/>
      </c>
      <c r="U2313">
        <f>IF(T2313&gt;=4.25,"Critical",IF(T2313&gt;=3.5,"High",IF(T2313&gt;=2,"Medium","Low")))</f>
        <v/>
      </c>
    </row>
    <row r="2314">
      <c r="R2314">
        <f>IFERROR(XLOOKUP(XLOOKUP(D2314,tblReleaseChanges[Change_ID],tblReleaseChanges[Oracle_Severity],""),tblSeverityMap[Severity_Text],tblSeverityMap[Score],0),0)</f>
        <v/>
      </c>
      <c r="T2314">
        <f>ROUND((M2314*0.25)+(N2314*0.20)+(O2314*0.15)+(P2314*0.15)+(Q2314*0.10)+(R2314*0.10)+(S2314*0.05),2)</f>
        <v/>
      </c>
      <c r="U2314">
        <f>IF(T2314&gt;=4.25,"Critical",IF(T2314&gt;=3.5,"High",IF(T2314&gt;=2,"Medium","Low")))</f>
        <v/>
      </c>
    </row>
    <row r="2315">
      <c r="R2315">
        <f>IFERROR(XLOOKUP(XLOOKUP(D2315,tblReleaseChanges[Change_ID],tblReleaseChanges[Oracle_Severity],""),tblSeverityMap[Severity_Text],tblSeverityMap[Score],0),0)</f>
        <v/>
      </c>
      <c r="T2315">
        <f>ROUND((M2315*0.25)+(N2315*0.20)+(O2315*0.15)+(P2315*0.15)+(Q2315*0.10)+(R2315*0.10)+(S2315*0.05),2)</f>
        <v/>
      </c>
      <c r="U2315">
        <f>IF(T2315&gt;=4.25,"Critical",IF(T2315&gt;=3.5,"High",IF(T2315&gt;=2,"Medium","Low")))</f>
        <v/>
      </c>
    </row>
    <row r="2316">
      <c r="R2316">
        <f>IFERROR(XLOOKUP(XLOOKUP(D2316,tblReleaseChanges[Change_ID],tblReleaseChanges[Oracle_Severity],""),tblSeverityMap[Severity_Text],tblSeverityMap[Score],0),0)</f>
        <v/>
      </c>
      <c r="T2316">
        <f>ROUND((M2316*0.25)+(N2316*0.20)+(O2316*0.15)+(P2316*0.15)+(Q2316*0.10)+(R2316*0.10)+(S2316*0.05),2)</f>
        <v/>
      </c>
      <c r="U2316">
        <f>IF(T2316&gt;=4.25,"Critical",IF(T2316&gt;=3.5,"High",IF(T2316&gt;=2,"Medium","Low")))</f>
        <v/>
      </c>
    </row>
    <row r="2317">
      <c r="R2317">
        <f>IFERROR(XLOOKUP(XLOOKUP(D2317,tblReleaseChanges[Change_ID],tblReleaseChanges[Oracle_Severity],""),tblSeverityMap[Severity_Text],tblSeverityMap[Score],0),0)</f>
        <v/>
      </c>
      <c r="T2317">
        <f>ROUND((M2317*0.25)+(N2317*0.20)+(O2317*0.15)+(P2317*0.15)+(Q2317*0.10)+(R2317*0.10)+(S2317*0.05),2)</f>
        <v/>
      </c>
      <c r="U2317">
        <f>IF(T2317&gt;=4.25,"Critical",IF(T2317&gt;=3.5,"High",IF(T2317&gt;=2,"Medium","Low")))</f>
        <v/>
      </c>
    </row>
    <row r="2318">
      <c r="R2318">
        <f>IFERROR(XLOOKUP(XLOOKUP(D2318,tblReleaseChanges[Change_ID],tblReleaseChanges[Oracle_Severity],""),tblSeverityMap[Severity_Text],tblSeverityMap[Score],0),0)</f>
        <v/>
      </c>
      <c r="T2318">
        <f>ROUND((M2318*0.25)+(N2318*0.20)+(O2318*0.15)+(P2318*0.15)+(Q2318*0.10)+(R2318*0.10)+(S2318*0.05),2)</f>
        <v/>
      </c>
      <c r="U2318">
        <f>IF(T2318&gt;=4.25,"Critical",IF(T2318&gt;=3.5,"High",IF(T2318&gt;=2,"Medium","Low")))</f>
        <v/>
      </c>
    </row>
    <row r="2319">
      <c r="R2319">
        <f>IFERROR(XLOOKUP(XLOOKUP(D2319,tblReleaseChanges[Change_ID],tblReleaseChanges[Oracle_Severity],""),tblSeverityMap[Severity_Text],tblSeverityMap[Score],0),0)</f>
        <v/>
      </c>
      <c r="T2319">
        <f>ROUND((M2319*0.25)+(N2319*0.20)+(O2319*0.15)+(P2319*0.15)+(Q2319*0.10)+(R2319*0.10)+(S2319*0.05),2)</f>
        <v/>
      </c>
      <c r="U2319">
        <f>IF(T2319&gt;=4.25,"Critical",IF(T2319&gt;=3.5,"High",IF(T2319&gt;=2,"Medium","Low")))</f>
        <v/>
      </c>
    </row>
    <row r="2320">
      <c r="R2320">
        <f>IFERROR(XLOOKUP(XLOOKUP(D2320,tblReleaseChanges[Change_ID],tblReleaseChanges[Oracle_Severity],""),tblSeverityMap[Severity_Text],tblSeverityMap[Score],0),0)</f>
        <v/>
      </c>
      <c r="T2320">
        <f>ROUND((M2320*0.25)+(N2320*0.20)+(O2320*0.15)+(P2320*0.15)+(Q2320*0.10)+(R2320*0.10)+(S2320*0.05),2)</f>
        <v/>
      </c>
      <c r="U2320">
        <f>IF(T2320&gt;=4.25,"Critical",IF(T2320&gt;=3.5,"High",IF(T2320&gt;=2,"Medium","Low")))</f>
        <v/>
      </c>
    </row>
    <row r="2321">
      <c r="R2321">
        <f>IFERROR(XLOOKUP(XLOOKUP(D2321,tblReleaseChanges[Change_ID],tblReleaseChanges[Oracle_Severity],""),tblSeverityMap[Severity_Text],tblSeverityMap[Score],0),0)</f>
        <v/>
      </c>
      <c r="T2321">
        <f>ROUND((M2321*0.25)+(N2321*0.20)+(O2321*0.15)+(P2321*0.15)+(Q2321*0.10)+(R2321*0.10)+(S2321*0.05),2)</f>
        <v/>
      </c>
      <c r="U2321">
        <f>IF(T2321&gt;=4.25,"Critical",IF(T2321&gt;=3.5,"High",IF(T2321&gt;=2,"Medium","Low")))</f>
        <v/>
      </c>
    </row>
    <row r="2322">
      <c r="R2322">
        <f>IFERROR(XLOOKUP(XLOOKUP(D2322,tblReleaseChanges[Change_ID],tblReleaseChanges[Oracle_Severity],""),tblSeverityMap[Severity_Text],tblSeverityMap[Score],0),0)</f>
        <v/>
      </c>
      <c r="T2322">
        <f>ROUND((M2322*0.25)+(N2322*0.20)+(O2322*0.15)+(P2322*0.15)+(Q2322*0.10)+(R2322*0.10)+(S2322*0.05),2)</f>
        <v/>
      </c>
      <c r="U2322">
        <f>IF(T2322&gt;=4.25,"Critical",IF(T2322&gt;=3.5,"High",IF(T2322&gt;=2,"Medium","Low")))</f>
        <v/>
      </c>
    </row>
    <row r="2323">
      <c r="R2323">
        <f>IFERROR(XLOOKUP(XLOOKUP(D2323,tblReleaseChanges[Change_ID],tblReleaseChanges[Oracle_Severity],""),tblSeverityMap[Severity_Text],tblSeverityMap[Score],0),0)</f>
        <v/>
      </c>
      <c r="T2323">
        <f>ROUND((M2323*0.25)+(N2323*0.20)+(O2323*0.15)+(P2323*0.15)+(Q2323*0.10)+(R2323*0.10)+(S2323*0.05),2)</f>
        <v/>
      </c>
      <c r="U2323">
        <f>IF(T2323&gt;=4.25,"Critical",IF(T2323&gt;=3.5,"High",IF(T2323&gt;=2,"Medium","Low")))</f>
        <v/>
      </c>
    </row>
    <row r="2324">
      <c r="R2324">
        <f>IFERROR(XLOOKUP(XLOOKUP(D2324,tblReleaseChanges[Change_ID],tblReleaseChanges[Oracle_Severity],""),tblSeverityMap[Severity_Text],tblSeverityMap[Score],0),0)</f>
        <v/>
      </c>
      <c r="T2324">
        <f>ROUND((M2324*0.25)+(N2324*0.20)+(O2324*0.15)+(P2324*0.15)+(Q2324*0.10)+(R2324*0.10)+(S2324*0.05),2)</f>
        <v/>
      </c>
      <c r="U2324">
        <f>IF(T2324&gt;=4.25,"Critical",IF(T2324&gt;=3.5,"High",IF(T2324&gt;=2,"Medium","Low")))</f>
        <v/>
      </c>
    </row>
    <row r="2325">
      <c r="R2325">
        <f>IFERROR(XLOOKUP(XLOOKUP(D2325,tblReleaseChanges[Change_ID],tblReleaseChanges[Oracle_Severity],""),tblSeverityMap[Severity_Text],tblSeverityMap[Score],0),0)</f>
        <v/>
      </c>
      <c r="T2325">
        <f>ROUND((M2325*0.25)+(N2325*0.20)+(O2325*0.15)+(P2325*0.15)+(Q2325*0.10)+(R2325*0.10)+(S2325*0.05),2)</f>
        <v/>
      </c>
      <c r="U2325">
        <f>IF(T2325&gt;=4.25,"Critical",IF(T2325&gt;=3.5,"High",IF(T2325&gt;=2,"Medium","Low")))</f>
        <v/>
      </c>
    </row>
    <row r="2326">
      <c r="R2326">
        <f>IFERROR(XLOOKUP(XLOOKUP(D2326,tblReleaseChanges[Change_ID],tblReleaseChanges[Oracle_Severity],""),tblSeverityMap[Severity_Text],tblSeverityMap[Score],0),0)</f>
        <v/>
      </c>
      <c r="T2326">
        <f>ROUND((M2326*0.25)+(N2326*0.20)+(O2326*0.15)+(P2326*0.15)+(Q2326*0.10)+(R2326*0.10)+(S2326*0.05),2)</f>
        <v/>
      </c>
      <c r="U2326">
        <f>IF(T2326&gt;=4.25,"Critical",IF(T2326&gt;=3.5,"High",IF(T2326&gt;=2,"Medium","Low")))</f>
        <v/>
      </c>
    </row>
    <row r="2327">
      <c r="R2327">
        <f>IFERROR(XLOOKUP(XLOOKUP(D2327,tblReleaseChanges[Change_ID],tblReleaseChanges[Oracle_Severity],""),tblSeverityMap[Severity_Text],tblSeverityMap[Score],0),0)</f>
        <v/>
      </c>
      <c r="T2327">
        <f>ROUND((M2327*0.25)+(N2327*0.20)+(O2327*0.15)+(P2327*0.15)+(Q2327*0.10)+(R2327*0.10)+(S2327*0.05),2)</f>
        <v/>
      </c>
      <c r="U2327">
        <f>IF(T2327&gt;=4.25,"Critical",IF(T2327&gt;=3.5,"High",IF(T2327&gt;=2,"Medium","Low")))</f>
        <v/>
      </c>
    </row>
    <row r="2328">
      <c r="R2328">
        <f>IFERROR(XLOOKUP(XLOOKUP(D2328,tblReleaseChanges[Change_ID],tblReleaseChanges[Oracle_Severity],""),tblSeverityMap[Severity_Text],tblSeverityMap[Score],0),0)</f>
        <v/>
      </c>
      <c r="T2328">
        <f>ROUND((M2328*0.25)+(N2328*0.20)+(O2328*0.15)+(P2328*0.15)+(Q2328*0.10)+(R2328*0.10)+(S2328*0.05),2)</f>
        <v/>
      </c>
      <c r="U2328">
        <f>IF(T2328&gt;=4.25,"Critical",IF(T2328&gt;=3.5,"High",IF(T2328&gt;=2,"Medium","Low")))</f>
        <v/>
      </c>
    </row>
    <row r="2329">
      <c r="R2329">
        <f>IFERROR(XLOOKUP(XLOOKUP(D2329,tblReleaseChanges[Change_ID],tblReleaseChanges[Oracle_Severity],""),tblSeverityMap[Severity_Text],tblSeverityMap[Score],0),0)</f>
        <v/>
      </c>
      <c r="T2329">
        <f>ROUND((M2329*0.25)+(N2329*0.20)+(O2329*0.15)+(P2329*0.15)+(Q2329*0.10)+(R2329*0.10)+(S2329*0.05),2)</f>
        <v/>
      </c>
      <c r="U2329">
        <f>IF(T2329&gt;=4.25,"Critical",IF(T2329&gt;=3.5,"High",IF(T2329&gt;=2,"Medium","Low")))</f>
        <v/>
      </c>
    </row>
    <row r="2330">
      <c r="R2330">
        <f>IFERROR(XLOOKUP(XLOOKUP(D2330,tblReleaseChanges[Change_ID],tblReleaseChanges[Oracle_Severity],""),tblSeverityMap[Severity_Text],tblSeverityMap[Score],0),0)</f>
        <v/>
      </c>
      <c r="T2330">
        <f>ROUND((M2330*0.25)+(N2330*0.20)+(O2330*0.15)+(P2330*0.15)+(Q2330*0.10)+(R2330*0.10)+(S2330*0.05),2)</f>
        <v/>
      </c>
      <c r="U2330">
        <f>IF(T2330&gt;=4.25,"Critical",IF(T2330&gt;=3.5,"High",IF(T2330&gt;=2,"Medium","Low")))</f>
        <v/>
      </c>
    </row>
    <row r="2331">
      <c r="R2331">
        <f>IFERROR(XLOOKUP(XLOOKUP(D2331,tblReleaseChanges[Change_ID],tblReleaseChanges[Oracle_Severity],""),tblSeverityMap[Severity_Text],tblSeverityMap[Score],0),0)</f>
        <v/>
      </c>
      <c r="T2331">
        <f>ROUND((M2331*0.25)+(N2331*0.20)+(O2331*0.15)+(P2331*0.15)+(Q2331*0.10)+(R2331*0.10)+(S2331*0.05),2)</f>
        <v/>
      </c>
      <c r="U2331">
        <f>IF(T2331&gt;=4.25,"Critical",IF(T2331&gt;=3.5,"High",IF(T2331&gt;=2,"Medium","Low")))</f>
        <v/>
      </c>
    </row>
    <row r="2332">
      <c r="R2332">
        <f>IFERROR(XLOOKUP(XLOOKUP(D2332,tblReleaseChanges[Change_ID],tblReleaseChanges[Oracle_Severity],""),tblSeverityMap[Severity_Text],tblSeverityMap[Score],0),0)</f>
        <v/>
      </c>
      <c r="T2332">
        <f>ROUND((M2332*0.25)+(N2332*0.20)+(O2332*0.15)+(P2332*0.15)+(Q2332*0.10)+(R2332*0.10)+(S2332*0.05),2)</f>
        <v/>
      </c>
      <c r="U2332">
        <f>IF(T2332&gt;=4.25,"Critical",IF(T2332&gt;=3.5,"High",IF(T2332&gt;=2,"Medium","Low")))</f>
        <v/>
      </c>
    </row>
    <row r="2333">
      <c r="R2333">
        <f>IFERROR(XLOOKUP(XLOOKUP(D2333,tblReleaseChanges[Change_ID],tblReleaseChanges[Oracle_Severity],""),tblSeverityMap[Severity_Text],tblSeverityMap[Score],0),0)</f>
        <v/>
      </c>
      <c r="T2333">
        <f>ROUND((M2333*0.25)+(N2333*0.20)+(O2333*0.15)+(P2333*0.15)+(Q2333*0.10)+(R2333*0.10)+(S2333*0.05),2)</f>
        <v/>
      </c>
      <c r="U2333">
        <f>IF(T2333&gt;=4.25,"Critical",IF(T2333&gt;=3.5,"High",IF(T2333&gt;=2,"Medium","Low")))</f>
        <v/>
      </c>
    </row>
    <row r="2334">
      <c r="R2334">
        <f>IFERROR(XLOOKUP(XLOOKUP(D2334,tblReleaseChanges[Change_ID],tblReleaseChanges[Oracle_Severity],""),tblSeverityMap[Severity_Text],tblSeverityMap[Score],0),0)</f>
        <v/>
      </c>
      <c r="T2334">
        <f>ROUND((M2334*0.25)+(N2334*0.20)+(O2334*0.15)+(P2334*0.15)+(Q2334*0.10)+(R2334*0.10)+(S2334*0.05),2)</f>
        <v/>
      </c>
      <c r="U2334">
        <f>IF(T2334&gt;=4.25,"Critical",IF(T2334&gt;=3.5,"High",IF(T2334&gt;=2,"Medium","Low")))</f>
        <v/>
      </c>
    </row>
    <row r="2335">
      <c r="R2335">
        <f>IFERROR(XLOOKUP(XLOOKUP(D2335,tblReleaseChanges[Change_ID],tblReleaseChanges[Oracle_Severity],""),tblSeverityMap[Severity_Text],tblSeverityMap[Score],0),0)</f>
        <v/>
      </c>
      <c r="T2335">
        <f>ROUND((M2335*0.25)+(N2335*0.20)+(O2335*0.15)+(P2335*0.15)+(Q2335*0.10)+(R2335*0.10)+(S2335*0.05),2)</f>
        <v/>
      </c>
      <c r="U2335">
        <f>IF(T2335&gt;=4.25,"Critical",IF(T2335&gt;=3.5,"High",IF(T2335&gt;=2,"Medium","Low")))</f>
        <v/>
      </c>
    </row>
    <row r="2336">
      <c r="R2336">
        <f>IFERROR(XLOOKUP(XLOOKUP(D2336,tblReleaseChanges[Change_ID],tblReleaseChanges[Oracle_Severity],""),tblSeverityMap[Severity_Text],tblSeverityMap[Score],0),0)</f>
        <v/>
      </c>
      <c r="T2336">
        <f>ROUND((M2336*0.25)+(N2336*0.20)+(O2336*0.15)+(P2336*0.15)+(Q2336*0.10)+(R2336*0.10)+(S2336*0.05),2)</f>
        <v/>
      </c>
      <c r="U2336">
        <f>IF(T2336&gt;=4.25,"Critical",IF(T2336&gt;=3.5,"High",IF(T2336&gt;=2,"Medium","Low")))</f>
        <v/>
      </c>
    </row>
    <row r="2337">
      <c r="R2337">
        <f>IFERROR(XLOOKUP(XLOOKUP(D2337,tblReleaseChanges[Change_ID],tblReleaseChanges[Oracle_Severity],""),tblSeverityMap[Severity_Text],tblSeverityMap[Score],0),0)</f>
        <v/>
      </c>
      <c r="T2337">
        <f>ROUND((M2337*0.25)+(N2337*0.20)+(O2337*0.15)+(P2337*0.15)+(Q2337*0.10)+(R2337*0.10)+(S2337*0.05),2)</f>
        <v/>
      </c>
      <c r="U2337">
        <f>IF(T2337&gt;=4.25,"Critical",IF(T2337&gt;=3.5,"High",IF(T2337&gt;=2,"Medium","Low")))</f>
        <v/>
      </c>
    </row>
    <row r="2338">
      <c r="R2338">
        <f>IFERROR(XLOOKUP(XLOOKUP(D2338,tblReleaseChanges[Change_ID],tblReleaseChanges[Oracle_Severity],""),tblSeverityMap[Severity_Text],tblSeverityMap[Score],0),0)</f>
        <v/>
      </c>
      <c r="T2338">
        <f>ROUND((M2338*0.25)+(N2338*0.20)+(O2338*0.15)+(P2338*0.15)+(Q2338*0.10)+(R2338*0.10)+(S2338*0.05),2)</f>
        <v/>
      </c>
      <c r="U2338">
        <f>IF(T2338&gt;=4.25,"Critical",IF(T2338&gt;=3.5,"High",IF(T2338&gt;=2,"Medium","Low")))</f>
        <v/>
      </c>
    </row>
    <row r="2339">
      <c r="R2339">
        <f>IFERROR(XLOOKUP(XLOOKUP(D2339,tblReleaseChanges[Change_ID],tblReleaseChanges[Oracle_Severity],""),tblSeverityMap[Severity_Text],tblSeverityMap[Score],0),0)</f>
        <v/>
      </c>
      <c r="T2339">
        <f>ROUND((M2339*0.25)+(N2339*0.20)+(O2339*0.15)+(P2339*0.15)+(Q2339*0.10)+(R2339*0.10)+(S2339*0.05),2)</f>
        <v/>
      </c>
      <c r="U2339">
        <f>IF(T2339&gt;=4.25,"Critical",IF(T2339&gt;=3.5,"High",IF(T2339&gt;=2,"Medium","Low")))</f>
        <v/>
      </c>
    </row>
    <row r="2340">
      <c r="R2340">
        <f>IFERROR(XLOOKUP(XLOOKUP(D2340,tblReleaseChanges[Change_ID],tblReleaseChanges[Oracle_Severity],""),tblSeverityMap[Severity_Text],tblSeverityMap[Score],0),0)</f>
        <v/>
      </c>
      <c r="T2340">
        <f>ROUND((M2340*0.25)+(N2340*0.20)+(O2340*0.15)+(P2340*0.15)+(Q2340*0.10)+(R2340*0.10)+(S2340*0.05),2)</f>
        <v/>
      </c>
      <c r="U2340">
        <f>IF(T2340&gt;=4.25,"Critical",IF(T2340&gt;=3.5,"High",IF(T2340&gt;=2,"Medium","Low")))</f>
        <v/>
      </c>
    </row>
    <row r="2341">
      <c r="R2341">
        <f>IFERROR(XLOOKUP(XLOOKUP(D2341,tblReleaseChanges[Change_ID],tblReleaseChanges[Oracle_Severity],""),tblSeverityMap[Severity_Text],tblSeverityMap[Score],0),0)</f>
        <v/>
      </c>
      <c r="T2341">
        <f>ROUND((M2341*0.25)+(N2341*0.20)+(O2341*0.15)+(P2341*0.15)+(Q2341*0.10)+(R2341*0.10)+(S2341*0.05),2)</f>
        <v/>
      </c>
      <c r="U2341">
        <f>IF(T2341&gt;=4.25,"Critical",IF(T2341&gt;=3.5,"High",IF(T2341&gt;=2,"Medium","Low")))</f>
        <v/>
      </c>
    </row>
    <row r="2342">
      <c r="R2342">
        <f>IFERROR(XLOOKUP(XLOOKUP(D2342,tblReleaseChanges[Change_ID],tblReleaseChanges[Oracle_Severity],""),tblSeverityMap[Severity_Text],tblSeverityMap[Score],0),0)</f>
        <v/>
      </c>
      <c r="T2342">
        <f>ROUND((M2342*0.25)+(N2342*0.20)+(O2342*0.15)+(P2342*0.15)+(Q2342*0.10)+(R2342*0.10)+(S2342*0.05),2)</f>
        <v/>
      </c>
      <c r="U2342">
        <f>IF(T2342&gt;=4.25,"Critical",IF(T2342&gt;=3.5,"High",IF(T2342&gt;=2,"Medium","Low")))</f>
        <v/>
      </c>
    </row>
    <row r="2343">
      <c r="R2343">
        <f>IFERROR(XLOOKUP(XLOOKUP(D2343,tblReleaseChanges[Change_ID],tblReleaseChanges[Oracle_Severity],""),tblSeverityMap[Severity_Text],tblSeverityMap[Score],0),0)</f>
        <v/>
      </c>
      <c r="T2343">
        <f>ROUND((M2343*0.25)+(N2343*0.20)+(O2343*0.15)+(P2343*0.15)+(Q2343*0.10)+(R2343*0.10)+(S2343*0.05),2)</f>
        <v/>
      </c>
      <c r="U2343">
        <f>IF(T2343&gt;=4.25,"Critical",IF(T2343&gt;=3.5,"High",IF(T2343&gt;=2,"Medium","Low")))</f>
        <v/>
      </c>
    </row>
    <row r="2344">
      <c r="R2344">
        <f>IFERROR(XLOOKUP(XLOOKUP(D2344,tblReleaseChanges[Change_ID],tblReleaseChanges[Oracle_Severity],""),tblSeverityMap[Severity_Text],tblSeverityMap[Score],0),0)</f>
        <v/>
      </c>
      <c r="T2344">
        <f>ROUND((M2344*0.25)+(N2344*0.20)+(O2344*0.15)+(P2344*0.15)+(Q2344*0.10)+(R2344*0.10)+(S2344*0.05),2)</f>
        <v/>
      </c>
      <c r="U2344">
        <f>IF(T2344&gt;=4.25,"Critical",IF(T2344&gt;=3.5,"High",IF(T2344&gt;=2,"Medium","Low")))</f>
        <v/>
      </c>
    </row>
    <row r="2345">
      <c r="R2345">
        <f>IFERROR(XLOOKUP(XLOOKUP(D2345,tblReleaseChanges[Change_ID],tblReleaseChanges[Oracle_Severity],""),tblSeverityMap[Severity_Text],tblSeverityMap[Score],0),0)</f>
        <v/>
      </c>
      <c r="T2345">
        <f>ROUND((M2345*0.25)+(N2345*0.20)+(O2345*0.15)+(P2345*0.15)+(Q2345*0.10)+(R2345*0.10)+(S2345*0.05),2)</f>
        <v/>
      </c>
      <c r="U2345">
        <f>IF(T2345&gt;=4.25,"Critical",IF(T2345&gt;=3.5,"High",IF(T2345&gt;=2,"Medium","Low")))</f>
        <v/>
      </c>
    </row>
    <row r="2346">
      <c r="R2346">
        <f>IFERROR(XLOOKUP(XLOOKUP(D2346,tblReleaseChanges[Change_ID],tblReleaseChanges[Oracle_Severity],""),tblSeverityMap[Severity_Text],tblSeverityMap[Score],0),0)</f>
        <v/>
      </c>
      <c r="T2346">
        <f>ROUND((M2346*0.25)+(N2346*0.20)+(O2346*0.15)+(P2346*0.15)+(Q2346*0.10)+(R2346*0.10)+(S2346*0.05),2)</f>
        <v/>
      </c>
      <c r="U2346">
        <f>IF(T2346&gt;=4.25,"Critical",IF(T2346&gt;=3.5,"High",IF(T2346&gt;=2,"Medium","Low")))</f>
        <v/>
      </c>
    </row>
    <row r="2347">
      <c r="R2347">
        <f>IFERROR(XLOOKUP(XLOOKUP(D2347,tblReleaseChanges[Change_ID],tblReleaseChanges[Oracle_Severity],""),tblSeverityMap[Severity_Text],tblSeverityMap[Score],0),0)</f>
        <v/>
      </c>
      <c r="T2347">
        <f>ROUND((M2347*0.25)+(N2347*0.20)+(O2347*0.15)+(P2347*0.15)+(Q2347*0.10)+(R2347*0.10)+(S2347*0.05),2)</f>
        <v/>
      </c>
      <c r="U2347">
        <f>IF(T2347&gt;=4.25,"Critical",IF(T2347&gt;=3.5,"High",IF(T2347&gt;=2,"Medium","Low")))</f>
        <v/>
      </c>
    </row>
    <row r="2348">
      <c r="R2348">
        <f>IFERROR(XLOOKUP(XLOOKUP(D2348,tblReleaseChanges[Change_ID],tblReleaseChanges[Oracle_Severity],""),tblSeverityMap[Severity_Text],tblSeverityMap[Score],0),0)</f>
        <v/>
      </c>
      <c r="T2348">
        <f>ROUND((M2348*0.25)+(N2348*0.20)+(O2348*0.15)+(P2348*0.15)+(Q2348*0.10)+(R2348*0.10)+(S2348*0.05),2)</f>
        <v/>
      </c>
      <c r="U2348">
        <f>IF(T2348&gt;=4.25,"Critical",IF(T2348&gt;=3.5,"High",IF(T2348&gt;=2,"Medium","Low")))</f>
        <v/>
      </c>
    </row>
    <row r="2349">
      <c r="R2349">
        <f>IFERROR(XLOOKUP(XLOOKUP(D2349,tblReleaseChanges[Change_ID],tblReleaseChanges[Oracle_Severity],""),tblSeverityMap[Severity_Text],tblSeverityMap[Score],0),0)</f>
        <v/>
      </c>
      <c r="T2349">
        <f>ROUND((M2349*0.25)+(N2349*0.20)+(O2349*0.15)+(P2349*0.15)+(Q2349*0.10)+(R2349*0.10)+(S2349*0.05),2)</f>
        <v/>
      </c>
      <c r="U2349">
        <f>IF(T2349&gt;=4.25,"Critical",IF(T2349&gt;=3.5,"High",IF(T2349&gt;=2,"Medium","Low")))</f>
        <v/>
      </c>
    </row>
    <row r="2350">
      <c r="R2350">
        <f>IFERROR(XLOOKUP(XLOOKUP(D2350,tblReleaseChanges[Change_ID],tblReleaseChanges[Oracle_Severity],""),tblSeverityMap[Severity_Text],tblSeverityMap[Score],0),0)</f>
        <v/>
      </c>
      <c r="T2350">
        <f>ROUND((M2350*0.25)+(N2350*0.20)+(O2350*0.15)+(P2350*0.15)+(Q2350*0.10)+(R2350*0.10)+(S2350*0.05),2)</f>
        <v/>
      </c>
      <c r="U2350">
        <f>IF(T2350&gt;=4.25,"Critical",IF(T2350&gt;=3.5,"High",IF(T2350&gt;=2,"Medium","Low")))</f>
        <v/>
      </c>
    </row>
    <row r="2351">
      <c r="R2351">
        <f>IFERROR(XLOOKUP(XLOOKUP(D2351,tblReleaseChanges[Change_ID],tblReleaseChanges[Oracle_Severity],""),tblSeverityMap[Severity_Text],tblSeverityMap[Score],0),0)</f>
        <v/>
      </c>
      <c r="T2351">
        <f>ROUND((M2351*0.25)+(N2351*0.20)+(O2351*0.15)+(P2351*0.15)+(Q2351*0.10)+(R2351*0.10)+(S2351*0.05),2)</f>
        <v/>
      </c>
      <c r="U2351">
        <f>IF(T2351&gt;=4.25,"Critical",IF(T2351&gt;=3.5,"High",IF(T2351&gt;=2,"Medium","Low")))</f>
        <v/>
      </c>
    </row>
    <row r="2352">
      <c r="R2352">
        <f>IFERROR(XLOOKUP(XLOOKUP(D2352,tblReleaseChanges[Change_ID],tblReleaseChanges[Oracle_Severity],""),tblSeverityMap[Severity_Text],tblSeverityMap[Score],0),0)</f>
        <v/>
      </c>
      <c r="T2352">
        <f>ROUND((M2352*0.25)+(N2352*0.20)+(O2352*0.15)+(P2352*0.15)+(Q2352*0.10)+(R2352*0.10)+(S2352*0.05),2)</f>
        <v/>
      </c>
      <c r="U2352">
        <f>IF(T2352&gt;=4.25,"Critical",IF(T2352&gt;=3.5,"High",IF(T2352&gt;=2,"Medium","Low")))</f>
        <v/>
      </c>
    </row>
    <row r="2353">
      <c r="R2353">
        <f>IFERROR(XLOOKUP(XLOOKUP(D2353,tblReleaseChanges[Change_ID],tblReleaseChanges[Oracle_Severity],""),tblSeverityMap[Severity_Text],tblSeverityMap[Score],0),0)</f>
        <v/>
      </c>
      <c r="T2353">
        <f>ROUND((M2353*0.25)+(N2353*0.20)+(O2353*0.15)+(P2353*0.15)+(Q2353*0.10)+(R2353*0.10)+(S2353*0.05),2)</f>
        <v/>
      </c>
      <c r="U2353">
        <f>IF(T2353&gt;=4.25,"Critical",IF(T2353&gt;=3.5,"High",IF(T2353&gt;=2,"Medium","Low")))</f>
        <v/>
      </c>
    </row>
    <row r="2354">
      <c r="R2354">
        <f>IFERROR(XLOOKUP(XLOOKUP(D2354,tblReleaseChanges[Change_ID],tblReleaseChanges[Oracle_Severity],""),tblSeverityMap[Severity_Text],tblSeverityMap[Score],0),0)</f>
        <v/>
      </c>
      <c r="T2354">
        <f>ROUND((M2354*0.25)+(N2354*0.20)+(O2354*0.15)+(P2354*0.15)+(Q2354*0.10)+(R2354*0.10)+(S2354*0.05),2)</f>
        <v/>
      </c>
      <c r="U2354">
        <f>IF(T2354&gt;=4.25,"Critical",IF(T2354&gt;=3.5,"High",IF(T2354&gt;=2,"Medium","Low")))</f>
        <v/>
      </c>
    </row>
    <row r="2355">
      <c r="R2355">
        <f>IFERROR(XLOOKUP(XLOOKUP(D2355,tblReleaseChanges[Change_ID],tblReleaseChanges[Oracle_Severity],""),tblSeverityMap[Severity_Text],tblSeverityMap[Score],0),0)</f>
        <v/>
      </c>
      <c r="T2355">
        <f>ROUND((M2355*0.25)+(N2355*0.20)+(O2355*0.15)+(P2355*0.15)+(Q2355*0.10)+(R2355*0.10)+(S2355*0.05),2)</f>
        <v/>
      </c>
      <c r="U2355">
        <f>IF(T2355&gt;=4.25,"Critical",IF(T2355&gt;=3.5,"High",IF(T2355&gt;=2,"Medium","Low")))</f>
        <v/>
      </c>
    </row>
    <row r="2356">
      <c r="R2356">
        <f>IFERROR(XLOOKUP(XLOOKUP(D2356,tblReleaseChanges[Change_ID],tblReleaseChanges[Oracle_Severity],""),tblSeverityMap[Severity_Text],tblSeverityMap[Score],0),0)</f>
        <v/>
      </c>
      <c r="T2356">
        <f>ROUND((M2356*0.25)+(N2356*0.20)+(O2356*0.15)+(P2356*0.15)+(Q2356*0.10)+(R2356*0.10)+(S2356*0.05),2)</f>
        <v/>
      </c>
      <c r="U2356">
        <f>IF(T2356&gt;=4.25,"Critical",IF(T2356&gt;=3.5,"High",IF(T2356&gt;=2,"Medium","Low")))</f>
        <v/>
      </c>
    </row>
    <row r="2357">
      <c r="R2357">
        <f>IFERROR(XLOOKUP(XLOOKUP(D2357,tblReleaseChanges[Change_ID],tblReleaseChanges[Oracle_Severity],""),tblSeverityMap[Severity_Text],tblSeverityMap[Score],0),0)</f>
        <v/>
      </c>
      <c r="T2357">
        <f>ROUND((M2357*0.25)+(N2357*0.20)+(O2357*0.15)+(P2357*0.15)+(Q2357*0.10)+(R2357*0.10)+(S2357*0.05),2)</f>
        <v/>
      </c>
      <c r="U2357">
        <f>IF(T2357&gt;=4.25,"Critical",IF(T2357&gt;=3.5,"High",IF(T2357&gt;=2,"Medium","Low")))</f>
        <v/>
      </c>
    </row>
    <row r="2358">
      <c r="R2358">
        <f>IFERROR(XLOOKUP(XLOOKUP(D2358,tblReleaseChanges[Change_ID],tblReleaseChanges[Oracle_Severity],""),tblSeverityMap[Severity_Text],tblSeverityMap[Score],0),0)</f>
        <v/>
      </c>
      <c r="T2358">
        <f>ROUND((M2358*0.25)+(N2358*0.20)+(O2358*0.15)+(P2358*0.15)+(Q2358*0.10)+(R2358*0.10)+(S2358*0.05),2)</f>
        <v/>
      </c>
      <c r="U2358">
        <f>IF(T2358&gt;=4.25,"Critical",IF(T2358&gt;=3.5,"High",IF(T2358&gt;=2,"Medium","Low")))</f>
        <v/>
      </c>
    </row>
    <row r="2359">
      <c r="R2359">
        <f>IFERROR(XLOOKUP(XLOOKUP(D2359,tblReleaseChanges[Change_ID],tblReleaseChanges[Oracle_Severity],""),tblSeverityMap[Severity_Text],tblSeverityMap[Score],0),0)</f>
        <v/>
      </c>
      <c r="T2359">
        <f>ROUND((M2359*0.25)+(N2359*0.20)+(O2359*0.15)+(P2359*0.15)+(Q2359*0.10)+(R2359*0.10)+(S2359*0.05),2)</f>
        <v/>
      </c>
      <c r="U2359">
        <f>IF(T2359&gt;=4.25,"Critical",IF(T2359&gt;=3.5,"High",IF(T2359&gt;=2,"Medium","Low")))</f>
        <v/>
      </c>
    </row>
    <row r="2360">
      <c r="R2360">
        <f>IFERROR(XLOOKUP(XLOOKUP(D2360,tblReleaseChanges[Change_ID],tblReleaseChanges[Oracle_Severity],""),tblSeverityMap[Severity_Text],tblSeverityMap[Score],0),0)</f>
        <v/>
      </c>
      <c r="T2360">
        <f>ROUND((M2360*0.25)+(N2360*0.20)+(O2360*0.15)+(P2360*0.15)+(Q2360*0.10)+(R2360*0.10)+(S2360*0.05),2)</f>
        <v/>
      </c>
      <c r="U2360">
        <f>IF(T2360&gt;=4.25,"Critical",IF(T2360&gt;=3.5,"High",IF(T2360&gt;=2,"Medium","Low")))</f>
        <v/>
      </c>
    </row>
    <row r="2361">
      <c r="R2361">
        <f>IFERROR(XLOOKUP(XLOOKUP(D2361,tblReleaseChanges[Change_ID],tblReleaseChanges[Oracle_Severity],""),tblSeverityMap[Severity_Text],tblSeverityMap[Score],0),0)</f>
        <v/>
      </c>
      <c r="T2361">
        <f>ROUND((M2361*0.25)+(N2361*0.20)+(O2361*0.15)+(P2361*0.15)+(Q2361*0.10)+(R2361*0.10)+(S2361*0.05),2)</f>
        <v/>
      </c>
      <c r="U2361">
        <f>IF(T2361&gt;=4.25,"Critical",IF(T2361&gt;=3.5,"High",IF(T2361&gt;=2,"Medium","Low")))</f>
        <v/>
      </c>
    </row>
    <row r="2362">
      <c r="R2362">
        <f>IFERROR(XLOOKUP(XLOOKUP(D2362,tblReleaseChanges[Change_ID],tblReleaseChanges[Oracle_Severity],""),tblSeverityMap[Severity_Text],tblSeverityMap[Score],0),0)</f>
        <v/>
      </c>
      <c r="T2362">
        <f>ROUND((M2362*0.25)+(N2362*0.20)+(O2362*0.15)+(P2362*0.15)+(Q2362*0.10)+(R2362*0.10)+(S2362*0.05),2)</f>
        <v/>
      </c>
      <c r="U2362">
        <f>IF(T2362&gt;=4.25,"Critical",IF(T2362&gt;=3.5,"High",IF(T2362&gt;=2,"Medium","Low")))</f>
        <v/>
      </c>
    </row>
    <row r="2363">
      <c r="R2363">
        <f>IFERROR(XLOOKUP(XLOOKUP(D2363,tblReleaseChanges[Change_ID],tblReleaseChanges[Oracle_Severity],""),tblSeverityMap[Severity_Text],tblSeverityMap[Score],0),0)</f>
        <v/>
      </c>
      <c r="T2363">
        <f>ROUND((M2363*0.25)+(N2363*0.20)+(O2363*0.15)+(P2363*0.15)+(Q2363*0.10)+(R2363*0.10)+(S2363*0.05),2)</f>
        <v/>
      </c>
      <c r="U2363">
        <f>IF(T2363&gt;=4.25,"Critical",IF(T2363&gt;=3.5,"High",IF(T2363&gt;=2,"Medium","Low")))</f>
        <v/>
      </c>
    </row>
    <row r="2364">
      <c r="R2364">
        <f>IFERROR(XLOOKUP(XLOOKUP(D2364,tblReleaseChanges[Change_ID],tblReleaseChanges[Oracle_Severity],""),tblSeverityMap[Severity_Text],tblSeverityMap[Score],0),0)</f>
        <v/>
      </c>
      <c r="T2364">
        <f>ROUND((M2364*0.25)+(N2364*0.20)+(O2364*0.15)+(P2364*0.15)+(Q2364*0.10)+(R2364*0.10)+(S2364*0.05),2)</f>
        <v/>
      </c>
      <c r="U2364">
        <f>IF(T2364&gt;=4.25,"Critical",IF(T2364&gt;=3.5,"High",IF(T2364&gt;=2,"Medium","Low")))</f>
        <v/>
      </c>
    </row>
    <row r="2365">
      <c r="R2365">
        <f>IFERROR(XLOOKUP(XLOOKUP(D2365,tblReleaseChanges[Change_ID],tblReleaseChanges[Oracle_Severity],""),tblSeverityMap[Severity_Text],tblSeverityMap[Score],0),0)</f>
        <v/>
      </c>
      <c r="T2365">
        <f>ROUND((M2365*0.25)+(N2365*0.20)+(O2365*0.15)+(P2365*0.15)+(Q2365*0.10)+(R2365*0.10)+(S2365*0.05),2)</f>
        <v/>
      </c>
      <c r="U2365">
        <f>IF(T2365&gt;=4.25,"Critical",IF(T2365&gt;=3.5,"High",IF(T2365&gt;=2,"Medium","Low")))</f>
        <v/>
      </c>
    </row>
    <row r="2366">
      <c r="R2366">
        <f>IFERROR(XLOOKUP(XLOOKUP(D2366,tblReleaseChanges[Change_ID],tblReleaseChanges[Oracle_Severity],""),tblSeverityMap[Severity_Text],tblSeverityMap[Score],0),0)</f>
        <v/>
      </c>
      <c r="T2366">
        <f>ROUND((M2366*0.25)+(N2366*0.20)+(O2366*0.15)+(P2366*0.15)+(Q2366*0.10)+(R2366*0.10)+(S2366*0.05),2)</f>
        <v/>
      </c>
      <c r="U2366">
        <f>IF(T2366&gt;=4.25,"Critical",IF(T2366&gt;=3.5,"High",IF(T2366&gt;=2,"Medium","Low")))</f>
        <v/>
      </c>
    </row>
    <row r="2367">
      <c r="R2367">
        <f>IFERROR(XLOOKUP(XLOOKUP(D2367,tblReleaseChanges[Change_ID],tblReleaseChanges[Oracle_Severity],""),tblSeverityMap[Severity_Text],tblSeverityMap[Score],0),0)</f>
        <v/>
      </c>
      <c r="T2367">
        <f>ROUND((M2367*0.25)+(N2367*0.20)+(O2367*0.15)+(P2367*0.15)+(Q2367*0.10)+(R2367*0.10)+(S2367*0.05),2)</f>
        <v/>
      </c>
      <c r="U2367">
        <f>IF(T2367&gt;=4.25,"Critical",IF(T2367&gt;=3.5,"High",IF(T2367&gt;=2,"Medium","Low")))</f>
        <v/>
      </c>
    </row>
    <row r="2368">
      <c r="R2368">
        <f>IFERROR(XLOOKUP(XLOOKUP(D2368,tblReleaseChanges[Change_ID],tblReleaseChanges[Oracle_Severity],""),tblSeverityMap[Severity_Text],tblSeverityMap[Score],0),0)</f>
        <v/>
      </c>
      <c r="T2368">
        <f>ROUND((M2368*0.25)+(N2368*0.20)+(O2368*0.15)+(P2368*0.15)+(Q2368*0.10)+(R2368*0.10)+(S2368*0.05),2)</f>
        <v/>
      </c>
      <c r="U2368">
        <f>IF(T2368&gt;=4.25,"Critical",IF(T2368&gt;=3.5,"High",IF(T2368&gt;=2,"Medium","Low")))</f>
        <v/>
      </c>
    </row>
    <row r="2369">
      <c r="R2369">
        <f>IFERROR(XLOOKUP(XLOOKUP(D2369,tblReleaseChanges[Change_ID],tblReleaseChanges[Oracle_Severity],""),tblSeverityMap[Severity_Text],tblSeverityMap[Score],0),0)</f>
        <v/>
      </c>
      <c r="T2369">
        <f>ROUND((M2369*0.25)+(N2369*0.20)+(O2369*0.15)+(P2369*0.15)+(Q2369*0.10)+(R2369*0.10)+(S2369*0.05),2)</f>
        <v/>
      </c>
      <c r="U2369">
        <f>IF(T2369&gt;=4.25,"Critical",IF(T2369&gt;=3.5,"High",IF(T2369&gt;=2,"Medium","Low")))</f>
        <v/>
      </c>
    </row>
    <row r="2370">
      <c r="R2370">
        <f>IFERROR(XLOOKUP(XLOOKUP(D2370,tblReleaseChanges[Change_ID],tblReleaseChanges[Oracle_Severity],""),tblSeverityMap[Severity_Text],tblSeverityMap[Score],0),0)</f>
        <v/>
      </c>
      <c r="T2370">
        <f>ROUND((M2370*0.25)+(N2370*0.20)+(O2370*0.15)+(P2370*0.15)+(Q2370*0.10)+(R2370*0.10)+(S2370*0.05),2)</f>
        <v/>
      </c>
      <c r="U2370">
        <f>IF(T2370&gt;=4.25,"Critical",IF(T2370&gt;=3.5,"High",IF(T2370&gt;=2,"Medium","Low")))</f>
        <v/>
      </c>
    </row>
    <row r="2371">
      <c r="R2371">
        <f>IFERROR(XLOOKUP(XLOOKUP(D2371,tblReleaseChanges[Change_ID],tblReleaseChanges[Oracle_Severity],""),tblSeverityMap[Severity_Text],tblSeverityMap[Score],0),0)</f>
        <v/>
      </c>
      <c r="T2371">
        <f>ROUND((M2371*0.25)+(N2371*0.20)+(O2371*0.15)+(P2371*0.15)+(Q2371*0.10)+(R2371*0.10)+(S2371*0.05),2)</f>
        <v/>
      </c>
      <c r="U2371">
        <f>IF(T2371&gt;=4.25,"Critical",IF(T2371&gt;=3.5,"High",IF(T2371&gt;=2,"Medium","Low")))</f>
        <v/>
      </c>
    </row>
    <row r="2372">
      <c r="R2372">
        <f>IFERROR(XLOOKUP(XLOOKUP(D2372,tblReleaseChanges[Change_ID],tblReleaseChanges[Oracle_Severity],""),tblSeverityMap[Severity_Text],tblSeverityMap[Score],0),0)</f>
        <v/>
      </c>
      <c r="T2372">
        <f>ROUND((M2372*0.25)+(N2372*0.20)+(O2372*0.15)+(P2372*0.15)+(Q2372*0.10)+(R2372*0.10)+(S2372*0.05),2)</f>
        <v/>
      </c>
      <c r="U2372">
        <f>IF(T2372&gt;=4.25,"Critical",IF(T2372&gt;=3.5,"High",IF(T2372&gt;=2,"Medium","Low")))</f>
        <v/>
      </c>
    </row>
    <row r="2373">
      <c r="R2373">
        <f>IFERROR(XLOOKUP(XLOOKUP(D2373,tblReleaseChanges[Change_ID],tblReleaseChanges[Oracle_Severity],""),tblSeverityMap[Severity_Text],tblSeverityMap[Score],0),0)</f>
        <v/>
      </c>
      <c r="T2373">
        <f>ROUND((M2373*0.25)+(N2373*0.20)+(O2373*0.15)+(P2373*0.15)+(Q2373*0.10)+(R2373*0.10)+(S2373*0.05),2)</f>
        <v/>
      </c>
      <c r="U2373">
        <f>IF(T2373&gt;=4.25,"Critical",IF(T2373&gt;=3.5,"High",IF(T2373&gt;=2,"Medium","Low")))</f>
        <v/>
      </c>
    </row>
    <row r="2374">
      <c r="R2374">
        <f>IFERROR(XLOOKUP(XLOOKUP(D2374,tblReleaseChanges[Change_ID],tblReleaseChanges[Oracle_Severity],""),tblSeverityMap[Severity_Text],tblSeverityMap[Score],0),0)</f>
        <v/>
      </c>
      <c r="T2374">
        <f>ROUND((M2374*0.25)+(N2374*0.20)+(O2374*0.15)+(P2374*0.15)+(Q2374*0.10)+(R2374*0.10)+(S2374*0.05),2)</f>
        <v/>
      </c>
      <c r="U2374">
        <f>IF(T2374&gt;=4.25,"Critical",IF(T2374&gt;=3.5,"High",IF(T2374&gt;=2,"Medium","Low")))</f>
        <v/>
      </c>
    </row>
    <row r="2375">
      <c r="R2375">
        <f>IFERROR(XLOOKUP(XLOOKUP(D2375,tblReleaseChanges[Change_ID],tblReleaseChanges[Oracle_Severity],""),tblSeverityMap[Severity_Text],tblSeverityMap[Score],0),0)</f>
        <v/>
      </c>
      <c r="T2375">
        <f>ROUND((M2375*0.25)+(N2375*0.20)+(O2375*0.15)+(P2375*0.15)+(Q2375*0.10)+(R2375*0.10)+(S2375*0.05),2)</f>
        <v/>
      </c>
      <c r="U2375">
        <f>IF(T2375&gt;=4.25,"Critical",IF(T2375&gt;=3.5,"High",IF(T2375&gt;=2,"Medium","Low")))</f>
        <v/>
      </c>
    </row>
    <row r="2376">
      <c r="R2376">
        <f>IFERROR(XLOOKUP(XLOOKUP(D2376,tblReleaseChanges[Change_ID],tblReleaseChanges[Oracle_Severity],""),tblSeverityMap[Severity_Text],tblSeverityMap[Score],0),0)</f>
        <v/>
      </c>
      <c r="T2376">
        <f>ROUND((M2376*0.25)+(N2376*0.20)+(O2376*0.15)+(P2376*0.15)+(Q2376*0.10)+(R2376*0.10)+(S2376*0.05),2)</f>
        <v/>
      </c>
      <c r="U2376">
        <f>IF(T2376&gt;=4.25,"Critical",IF(T2376&gt;=3.5,"High",IF(T2376&gt;=2,"Medium","Low")))</f>
        <v/>
      </c>
    </row>
    <row r="2377">
      <c r="R2377">
        <f>IFERROR(XLOOKUP(XLOOKUP(D2377,tblReleaseChanges[Change_ID],tblReleaseChanges[Oracle_Severity],""),tblSeverityMap[Severity_Text],tblSeverityMap[Score],0),0)</f>
        <v/>
      </c>
      <c r="T2377">
        <f>ROUND((M2377*0.25)+(N2377*0.20)+(O2377*0.15)+(P2377*0.15)+(Q2377*0.10)+(R2377*0.10)+(S2377*0.05),2)</f>
        <v/>
      </c>
      <c r="U2377">
        <f>IF(T2377&gt;=4.25,"Critical",IF(T2377&gt;=3.5,"High",IF(T2377&gt;=2,"Medium","Low")))</f>
        <v/>
      </c>
    </row>
    <row r="2378">
      <c r="R2378">
        <f>IFERROR(XLOOKUP(XLOOKUP(D2378,tblReleaseChanges[Change_ID],tblReleaseChanges[Oracle_Severity],""),tblSeverityMap[Severity_Text],tblSeverityMap[Score],0),0)</f>
        <v/>
      </c>
      <c r="T2378">
        <f>ROUND((M2378*0.25)+(N2378*0.20)+(O2378*0.15)+(P2378*0.15)+(Q2378*0.10)+(R2378*0.10)+(S2378*0.05),2)</f>
        <v/>
      </c>
      <c r="U2378">
        <f>IF(T2378&gt;=4.25,"Critical",IF(T2378&gt;=3.5,"High",IF(T2378&gt;=2,"Medium","Low")))</f>
        <v/>
      </c>
    </row>
    <row r="2379">
      <c r="R2379">
        <f>IFERROR(XLOOKUP(XLOOKUP(D2379,tblReleaseChanges[Change_ID],tblReleaseChanges[Oracle_Severity],""),tblSeverityMap[Severity_Text],tblSeverityMap[Score],0),0)</f>
        <v/>
      </c>
      <c r="T2379">
        <f>ROUND((M2379*0.25)+(N2379*0.20)+(O2379*0.15)+(P2379*0.15)+(Q2379*0.10)+(R2379*0.10)+(S2379*0.05),2)</f>
        <v/>
      </c>
      <c r="U2379">
        <f>IF(T2379&gt;=4.25,"Critical",IF(T2379&gt;=3.5,"High",IF(T2379&gt;=2,"Medium","Low")))</f>
        <v/>
      </c>
    </row>
    <row r="2380">
      <c r="R2380">
        <f>IFERROR(XLOOKUP(XLOOKUP(D2380,tblReleaseChanges[Change_ID],tblReleaseChanges[Oracle_Severity],""),tblSeverityMap[Severity_Text],tblSeverityMap[Score],0),0)</f>
        <v/>
      </c>
      <c r="T2380">
        <f>ROUND((M2380*0.25)+(N2380*0.20)+(O2380*0.15)+(P2380*0.15)+(Q2380*0.10)+(R2380*0.10)+(S2380*0.05),2)</f>
        <v/>
      </c>
      <c r="U2380">
        <f>IF(T2380&gt;=4.25,"Critical",IF(T2380&gt;=3.5,"High",IF(T2380&gt;=2,"Medium","Low")))</f>
        <v/>
      </c>
    </row>
    <row r="2381">
      <c r="R2381">
        <f>IFERROR(XLOOKUP(XLOOKUP(D2381,tblReleaseChanges[Change_ID],tblReleaseChanges[Oracle_Severity],""),tblSeverityMap[Severity_Text],tblSeverityMap[Score],0),0)</f>
        <v/>
      </c>
      <c r="T2381">
        <f>ROUND((M2381*0.25)+(N2381*0.20)+(O2381*0.15)+(P2381*0.15)+(Q2381*0.10)+(R2381*0.10)+(S2381*0.05),2)</f>
        <v/>
      </c>
      <c r="U2381">
        <f>IF(T2381&gt;=4.25,"Critical",IF(T2381&gt;=3.5,"High",IF(T2381&gt;=2,"Medium","Low")))</f>
        <v/>
      </c>
    </row>
    <row r="2382">
      <c r="R2382">
        <f>IFERROR(XLOOKUP(XLOOKUP(D2382,tblReleaseChanges[Change_ID],tblReleaseChanges[Oracle_Severity],""),tblSeverityMap[Severity_Text],tblSeverityMap[Score],0),0)</f>
        <v/>
      </c>
      <c r="T2382">
        <f>ROUND((M2382*0.25)+(N2382*0.20)+(O2382*0.15)+(P2382*0.15)+(Q2382*0.10)+(R2382*0.10)+(S2382*0.05),2)</f>
        <v/>
      </c>
      <c r="U2382">
        <f>IF(T2382&gt;=4.25,"Critical",IF(T2382&gt;=3.5,"High",IF(T2382&gt;=2,"Medium","Low")))</f>
        <v/>
      </c>
    </row>
    <row r="2383">
      <c r="R2383">
        <f>IFERROR(XLOOKUP(XLOOKUP(D2383,tblReleaseChanges[Change_ID],tblReleaseChanges[Oracle_Severity],""),tblSeverityMap[Severity_Text],tblSeverityMap[Score],0),0)</f>
        <v/>
      </c>
      <c r="T2383">
        <f>ROUND((M2383*0.25)+(N2383*0.20)+(O2383*0.15)+(P2383*0.15)+(Q2383*0.10)+(R2383*0.10)+(S2383*0.05),2)</f>
        <v/>
      </c>
      <c r="U2383">
        <f>IF(T2383&gt;=4.25,"Critical",IF(T2383&gt;=3.5,"High",IF(T2383&gt;=2,"Medium","Low")))</f>
        <v/>
      </c>
    </row>
    <row r="2384">
      <c r="R2384">
        <f>IFERROR(XLOOKUP(XLOOKUP(D2384,tblReleaseChanges[Change_ID],tblReleaseChanges[Oracle_Severity],""),tblSeverityMap[Severity_Text],tblSeverityMap[Score],0),0)</f>
        <v/>
      </c>
      <c r="T2384">
        <f>ROUND((M2384*0.25)+(N2384*0.20)+(O2384*0.15)+(P2384*0.15)+(Q2384*0.10)+(R2384*0.10)+(S2384*0.05),2)</f>
        <v/>
      </c>
      <c r="U2384">
        <f>IF(T2384&gt;=4.25,"Critical",IF(T2384&gt;=3.5,"High",IF(T2384&gt;=2,"Medium","Low")))</f>
        <v/>
      </c>
    </row>
    <row r="2385">
      <c r="R2385">
        <f>IFERROR(XLOOKUP(XLOOKUP(D2385,tblReleaseChanges[Change_ID],tblReleaseChanges[Oracle_Severity],""),tblSeverityMap[Severity_Text],tblSeverityMap[Score],0),0)</f>
        <v/>
      </c>
      <c r="T2385">
        <f>ROUND((M2385*0.25)+(N2385*0.20)+(O2385*0.15)+(P2385*0.15)+(Q2385*0.10)+(R2385*0.10)+(S2385*0.05),2)</f>
        <v/>
      </c>
      <c r="U2385">
        <f>IF(T2385&gt;=4.25,"Critical",IF(T2385&gt;=3.5,"High",IF(T2385&gt;=2,"Medium","Low")))</f>
        <v/>
      </c>
    </row>
    <row r="2386">
      <c r="R2386">
        <f>IFERROR(XLOOKUP(XLOOKUP(D2386,tblReleaseChanges[Change_ID],tblReleaseChanges[Oracle_Severity],""),tblSeverityMap[Severity_Text],tblSeverityMap[Score],0),0)</f>
        <v/>
      </c>
      <c r="T2386">
        <f>ROUND((M2386*0.25)+(N2386*0.20)+(O2386*0.15)+(P2386*0.15)+(Q2386*0.10)+(R2386*0.10)+(S2386*0.05),2)</f>
        <v/>
      </c>
      <c r="U2386">
        <f>IF(T2386&gt;=4.25,"Critical",IF(T2386&gt;=3.5,"High",IF(T2386&gt;=2,"Medium","Low")))</f>
        <v/>
      </c>
    </row>
    <row r="2387">
      <c r="R2387">
        <f>IFERROR(XLOOKUP(XLOOKUP(D2387,tblReleaseChanges[Change_ID],tblReleaseChanges[Oracle_Severity],""),tblSeverityMap[Severity_Text],tblSeverityMap[Score],0),0)</f>
        <v/>
      </c>
      <c r="T2387">
        <f>ROUND((M2387*0.25)+(N2387*0.20)+(O2387*0.15)+(P2387*0.15)+(Q2387*0.10)+(R2387*0.10)+(S2387*0.05),2)</f>
        <v/>
      </c>
      <c r="U2387">
        <f>IF(T2387&gt;=4.25,"Critical",IF(T2387&gt;=3.5,"High",IF(T2387&gt;=2,"Medium","Low")))</f>
        <v/>
      </c>
    </row>
    <row r="2388">
      <c r="R2388">
        <f>IFERROR(XLOOKUP(XLOOKUP(D2388,tblReleaseChanges[Change_ID],tblReleaseChanges[Oracle_Severity],""),tblSeverityMap[Severity_Text],tblSeverityMap[Score],0),0)</f>
        <v/>
      </c>
      <c r="T2388">
        <f>ROUND((M2388*0.25)+(N2388*0.20)+(O2388*0.15)+(P2388*0.15)+(Q2388*0.10)+(R2388*0.10)+(S2388*0.05),2)</f>
        <v/>
      </c>
      <c r="U2388">
        <f>IF(T2388&gt;=4.25,"Critical",IF(T2388&gt;=3.5,"High",IF(T2388&gt;=2,"Medium","Low")))</f>
        <v/>
      </c>
    </row>
    <row r="2389">
      <c r="R2389">
        <f>IFERROR(XLOOKUP(XLOOKUP(D2389,tblReleaseChanges[Change_ID],tblReleaseChanges[Oracle_Severity],""),tblSeverityMap[Severity_Text],tblSeverityMap[Score],0),0)</f>
        <v/>
      </c>
      <c r="T2389">
        <f>ROUND((M2389*0.25)+(N2389*0.20)+(O2389*0.15)+(P2389*0.15)+(Q2389*0.10)+(R2389*0.10)+(S2389*0.05),2)</f>
        <v/>
      </c>
      <c r="U2389">
        <f>IF(T2389&gt;=4.25,"Critical",IF(T2389&gt;=3.5,"High",IF(T2389&gt;=2,"Medium","Low")))</f>
        <v/>
      </c>
    </row>
    <row r="2390">
      <c r="R2390">
        <f>IFERROR(XLOOKUP(XLOOKUP(D2390,tblReleaseChanges[Change_ID],tblReleaseChanges[Oracle_Severity],""),tblSeverityMap[Severity_Text],tblSeverityMap[Score],0),0)</f>
        <v/>
      </c>
      <c r="T2390">
        <f>ROUND((M2390*0.25)+(N2390*0.20)+(O2390*0.15)+(P2390*0.15)+(Q2390*0.10)+(R2390*0.10)+(S2390*0.05),2)</f>
        <v/>
      </c>
      <c r="U2390">
        <f>IF(T2390&gt;=4.25,"Critical",IF(T2390&gt;=3.5,"High",IF(T2390&gt;=2,"Medium","Low")))</f>
        <v/>
      </c>
    </row>
    <row r="2391">
      <c r="R2391">
        <f>IFERROR(XLOOKUP(XLOOKUP(D2391,tblReleaseChanges[Change_ID],tblReleaseChanges[Oracle_Severity],""),tblSeverityMap[Severity_Text],tblSeverityMap[Score],0),0)</f>
        <v/>
      </c>
      <c r="T2391">
        <f>ROUND((M2391*0.25)+(N2391*0.20)+(O2391*0.15)+(P2391*0.15)+(Q2391*0.10)+(R2391*0.10)+(S2391*0.05),2)</f>
        <v/>
      </c>
      <c r="U2391">
        <f>IF(T2391&gt;=4.25,"Critical",IF(T2391&gt;=3.5,"High",IF(T2391&gt;=2,"Medium","Low")))</f>
        <v/>
      </c>
    </row>
    <row r="2392">
      <c r="R2392">
        <f>IFERROR(XLOOKUP(XLOOKUP(D2392,tblReleaseChanges[Change_ID],tblReleaseChanges[Oracle_Severity],""),tblSeverityMap[Severity_Text],tblSeverityMap[Score],0),0)</f>
        <v/>
      </c>
      <c r="T2392">
        <f>ROUND((M2392*0.25)+(N2392*0.20)+(O2392*0.15)+(P2392*0.15)+(Q2392*0.10)+(R2392*0.10)+(S2392*0.05),2)</f>
        <v/>
      </c>
      <c r="U2392">
        <f>IF(T2392&gt;=4.25,"Critical",IF(T2392&gt;=3.5,"High",IF(T2392&gt;=2,"Medium","Low")))</f>
        <v/>
      </c>
    </row>
    <row r="2393">
      <c r="R2393">
        <f>IFERROR(XLOOKUP(XLOOKUP(D2393,tblReleaseChanges[Change_ID],tblReleaseChanges[Oracle_Severity],""),tblSeverityMap[Severity_Text],tblSeverityMap[Score],0),0)</f>
        <v/>
      </c>
      <c r="T2393">
        <f>ROUND((M2393*0.25)+(N2393*0.20)+(O2393*0.15)+(P2393*0.15)+(Q2393*0.10)+(R2393*0.10)+(S2393*0.05),2)</f>
        <v/>
      </c>
      <c r="U2393">
        <f>IF(T2393&gt;=4.25,"Critical",IF(T2393&gt;=3.5,"High",IF(T2393&gt;=2,"Medium","Low")))</f>
        <v/>
      </c>
    </row>
    <row r="2394">
      <c r="R2394">
        <f>IFERROR(XLOOKUP(XLOOKUP(D2394,tblReleaseChanges[Change_ID],tblReleaseChanges[Oracle_Severity],""),tblSeverityMap[Severity_Text],tblSeverityMap[Score],0),0)</f>
        <v/>
      </c>
      <c r="T2394">
        <f>ROUND((M2394*0.25)+(N2394*0.20)+(O2394*0.15)+(P2394*0.15)+(Q2394*0.10)+(R2394*0.10)+(S2394*0.05),2)</f>
        <v/>
      </c>
      <c r="U2394">
        <f>IF(T2394&gt;=4.25,"Critical",IF(T2394&gt;=3.5,"High",IF(T2394&gt;=2,"Medium","Low")))</f>
        <v/>
      </c>
    </row>
    <row r="2395">
      <c r="R2395">
        <f>IFERROR(XLOOKUP(XLOOKUP(D2395,tblReleaseChanges[Change_ID],tblReleaseChanges[Oracle_Severity],""),tblSeverityMap[Severity_Text],tblSeverityMap[Score],0),0)</f>
        <v/>
      </c>
      <c r="T2395">
        <f>ROUND((M2395*0.25)+(N2395*0.20)+(O2395*0.15)+(P2395*0.15)+(Q2395*0.10)+(R2395*0.10)+(S2395*0.05),2)</f>
        <v/>
      </c>
      <c r="U2395">
        <f>IF(T2395&gt;=4.25,"Critical",IF(T2395&gt;=3.5,"High",IF(T2395&gt;=2,"Medium","Low")))</f>
        <v/>
      </c>
    </row>
    <row r="2396">
      <c r="R2396">
        <f>IFERROR(XLOOKUP(XLOOKUP(D2396,tblReleaseChanges[Change_ID],tblReleaseChanges[Oracle_Severity],""),tblSeverityMap[Severity_Text],tblSeverityMap[Score],0),0)</f>
        <v/>
      </c>
      <c r="T2396">
        <f>ROUND((M2396*0.25)+(N2396*0.20)+(O2396*0.15)+(P2396*0.15)+(Q2396*0.10)+(R2396*0.10)+(S2396*0.05),2)</f>
        <v/>
      </c>
      <c r="U2396">
        <f>IF(T2396&gt;=4.25,"Critical",IF(T2396&gt;=3.5,"High",IF(T2396&gt;=2,"Medium","Low")))</f>
        <v/>
      </c>
    </row>
    <row r="2397">
      <c r="R2397">
        <f>IFERROR(XLOOKUP(XLOOKUP(D2397,tblReleaseChanges[Change_ID],tblReleaseChanges[Oracle_Severity],""),tblSeverityMap[Severity_Text],tblSeverityMap[Score],0),0)</f>
        <v/>
      </c>
      <c r="T2397">
        <f>ROUND((M2397*0.25)+(N2397*0.20)+(O2397*0.15)+(P2397*0.15)+(Q2397*0.10)+(R2397*0.10)+(S2397*0.05),2)</f>
        <v/>
      </c>
      <c r="U2397">
        <f>IF(T2397&gt;=4.25,"Critical",IF(T2397&gt;=3.5,"High",IF(T2397&gt;=2,"Medium","Low")))</f>
        <v/>
      </c>
    </row>
    <row r="2398">
      <c r="R2398">
        <f>IFERROR(XLOOKUP(XLOOKUP(D2398,tblReleaseChanges[Change_ID],tblReleaseChanges[Oracle_Severity],""),tblSeverityMap[Severity_Text],tblSeverityMap[Score],0),0)</f>
        <v/>
      </c>
      <c r="T2398">
        <f>ROUND((M2398*0.25)+(N2398*0.20)+(O2398*0.15)+(P2398*0.15)+(Q2398*0.10)+(R2398*0.10)+(S2398*0.05),2)</f>
        <v/>
      </c>
      <c r="U2398">
        <f>IF(T2398&gt;=4.25,"Critical",IF(T2398&gt;=3.5,"High",IF(T2398&gt;=2,"Medium","Low")))</f>
        <v/>
      </c>
    </row>
    <row r="2399">
      <c r="R2399">
        <f>IFERROR(XLOOKUP(XLOOKUP(D2399,tblReleaseChanges[Change_ID],tblReleaseChanges[Oracle_Severity],""),tblSeverityMap[Severity_Text],tblSeverityMap[Score],0),0)</f>
        <v/>
      </c>
      <c r="T2399">
        <f>ROUND((M2399*0.25)+(N2399*0.20)+(O2399*0.15)+(P2399*0.15)+(Q2399*0.10)+(R2399*0.10)+(S2399*0.05),2)</f>
        <v/>
      </c>
      <c r="U2399">
        <f>IF(T2399&gt;=4.25,"Critical",IF(T2399&gt;=3.5,"High",IF(T2399&gt;=2,"Medium","Low")))</f>
        <v/>
      </c>
    </row>
    <row r="2400">
      <c r="R2400">
        <f>IFERROR(XLOOKUP(XLOOKUP(D2400,tblReleaseChanges[Change_ID],tblReleaseChanges[Oracle_Severity],""),tblSeverityMap[Severity_Text],tblSeverityMap[Score],0),0)</f>
        <v/>
      </c>
      <c r="T2400">
        <f>ROUND((M2400*0.25)+(N2400*0.20)+(O2400*0.15)+(P2400*0.15)+(Q2400*0.10)+(R2400*0.10)+(S2400*0.05),2)</f>
        <v/>
      </c>
      <c r="U2400">
        <f>IF(T2400&gt;=4.25,"Critical",IF(T2400&gt;=3.5,"High",IF(T2400&gt;=2,"Medium","Low")))</f>
        <v/>
      </c>
    </row>
    <row r="2401">
      <c r="R2401">
        <f>IFERROR(XLOOKUP(XLOOKUP(D2401,tblReleaseChanges[Change_ID],tblReleaseChanges[Oracle_Severity],""),tblSeverityMap[Severity_Text],tblSeverityMap[Score],0),0)</f>
        <v/>
      </c>
      <c r="T2401">
        <f>ROUND((M2401*0.25)+(N2401*0.20)+(O2401*0.15)+(P2401*0.15)+(Q2401*0.10)+(R2401*0.10)+(S2401*0.05),2)</f>
        <v/>
      </c>
      <c r="U2401">
        <f>IF(T2401&gt;=4.25,"Critical",IF(T2401&gt;=3.5,"High",IF(T2401&gt;=2,"Medium","Low")))</f>
        <v/>
      </c>
    </row>
    <row r="2402">
      <c r="R2402">
        <f>IFERROR(XLOOKUP(XLOOKUP(D2402,tblReleaseChanges[Change_ID],tblReleaseChanges[Oracle_Severity],""),tblSeverityMap[Severity_Text],tblSeverityMap[Score],0),0)</f>
        <v/>
      </c>
      <c r="T2402">
        <f>ROUND((M2402*0.25)+(N2402*0.20)+(O2402*0.15)+(P2402*0.15)+(Q2402*0.10)+(R2402*0.10)+(S2402*0.05),2)</f>
        <v/>
      </c>
      <c r="U2402">
        <f>IF(T2402&gt;=4.25,"Critical",IF(T2402&gt;=3.5,"High",IF(T2402&gt;=2,"Medium","Low")))</f>
        <v/>
      </c>
    </row>
    <row r="2403">
      <c r="R2403">
        <f>IFERROR(XLOOKUP(XLOOKUP(D2403,tblReleaseChanges[Change_ID],tblReleaseChanges[Oracle_Severity],""),tblSeverityMap[Severity_Text],tblSeverityMap[Score],0),0)</f>
        <v/>
      </c>
      <c r="T2403">
        <f>ROUND((M2403*0.25)+(N2403*0.20)+(O2403*0.15)+(P2403*0.15)+(Q2403*0.10)+(R2403*0.10)+(S2403*0.05),2)</f>
        <v/>
      </c>
      <c r="U2403">
        <f>IF(T2403&gt;=4.25,"Critical",IF(T2403&gt;=3.5,"High",IF(T2403&gt;=2,"Medium","Low")))</f>
        <v/>
      </c>
    </row>
    <row r="2404">
      <c r="R2404">
        <f>IFERROR(XLOOKUP(XLOOKUP(D2404,tblReleaseChanges[Change_ID],tblReleaseChanges[Oracle_Severity],""),tblSeverityMap[Severity_Text],tblSeverityMap[Score],0),0)</f>
        <v/>
      </c>
      <c r="T2404">
        <f>ROUND((M2404*0.25)+(N2404*0.20)+(O2404*0.15)+(P2404*0.15)+(Q2404*0.10)+(R2404*0.10)+(S2404*0.05),2)</f>
        <v/>
      </c>
      <c r="U2404">
        <f>IF(T2404&gt;=4.25,"Critical",IF(T2404&gt;=3.5,"High",IF(T2404&gt;=2,"Medium","Low")))</f>
        <v/>
      </c>
    </row>
    <row r="2405">
      <c r="R2405">
        <f>IFERROR(XLOOKUP(XLOOKUP(D2405,tblReleaseChanges[Change_ID],tblReleaseChanges[Oracle_Severity],""),tblSeverityMap[Severity_Text],tblSeverityMap[Score],0),0)</f>
        <v/>
      </c>
      <c r="T2405">
        <f>ROUND((M2405*0.25)+(N2405*0.20)+(O2405*0.15)+(P2405*0.15)+(Q2405*0.10)+(R2405*0.10)+(S2405*0.05),2)</f>
        <v/>
      </c>
      <c r="U2405">
        <f>IF(T2405&gt;=4.25,"Critical",IF(T2405&gt;=3.5,"High",IF(T2405&gt;=2,"Medium","Low")))</f>
        <v/>
      </c>
    </row>
    <row r="2406">
      <c r="R2406">
        <f>IFERROR(XLOOKUP(XLOOKUP(D2406,tblReleaseChanges[Change_ID],tblReleaseChanges[Oracle_Severity],""),tblSeverityMap[Severity_Text],tblSeverityMap[Score],0),0)</f>
        <v/>
      </c>
      <c r="T2406">
        <f>ROUND((M2406*0.25)+(N2406*0.20)+(O2406*0.15)+(P2406*0.15)+(Q2406*0.10)+(R2406*0.10)+(S2406*0.05),2)</f>
        <v/>
      </c>
      <c r="U2406">
        <f>IF(T2406&gt;=4.25,"Critical",IF(T2406&gt;=3.5,"High",IF(T2406&gt;=2,"Medium","Low")))</f>
        <v/>
      </c>
    </row>
    <row r="2407">
      <c r="R2407">
        <f>IFERROR(XLOOKUP(XLOOKUP(D2407,tblReleaseChanges[Change_ID],tblReleaseChanges[Oracle_Severity],""),tblSeverityMap[Severity_Text],tblSeverityMap[Score],0),0)</f>
        <v/>
      </c>
      <c r="T2407">
        <f>ROUND((M2407*0.25)+(N2407*0.20)+(O2407*0.15)+(P2407*0.15)+(Q2407*0.10)+(R2407*0.10)+(S2407*0.05),2)</f>
        <v/>
      </c>
      <c r="U2407">
        <f>IF(T2407&gt;=4.25,"Critical",IF(T2407&gt;=3.5,"High",IF(T2407&gt;=2,"Medium","Low")))</f>
        <v/>
      </c>
    </row>
    <row r="2408">
      <c r="R2408">
        <f>IFERROR(XLOOKUP(XLOOKUP(D2408,tblReleaseChanges[Change_ID],tblReleaseChanges[Oracle_Severity],""),tblSeverityMap[Severity_Text],tblSeverityMap[Score],0),0)</f>
        <v/>
      </c>
      <c r="T2408">
        <f>ROUND((M2408*0.25)+(N2408*0.20)+(O2408*0.15)+(P2408*0.15)+(Q2408*0.10)+(R2408*0.10)+(S2408*0.05),2)</f>
        <v/>
      </c>
      <c r="U2408">
        <f>IF(T2408&gt;=4.25,"Critical",IF(T2408&gt;=3.5,"High",IF(T2408&gt;=2,"Medium","Low")))</f>
        <v/>
      </c>
    </row>
    <row r="2409">
      <c r="R2409">
        <f>IFERROR(XLOOKUP(XLOOKUP(D2409,tblReleaseChanges[Change_ID],tblReleaseChanges[Oracle_Severity],""),tblSeverityMap[Severity_Text],tblSeverityMap[Score],0),0)</f>
        <v/>
      </c>
      <c r="T2409">
        <f>ROUND((M2409*0.25)+(N2409*0.20)+(O2409*0.15)+(P2409*0.15)+(Q2409*0.10)+(R2409*0.10)+(S2409*0.05),2)</f>
        <v/>
      </c>
      <c r="U2409">
        <f>IF(T2409&gt;=4.25,"Critical",IF(T2409&gt;=3.5,"High",IF(T2409&gt;=2,"Medium","Low")))</f>
        <v/>
      </c>
    </row>
    <row r="2410">
      <c r="R2410">
        <f>IFERROR(XLOOKUP(XLOOKUP(D2410,tblReleaseChanges[Change_ID],tblReleaseChanges[Oracle_Severity],""),tblSeverityMap[Severity_Text],tblSeverityMap[Score],0),0)</f>
        <v/>
      </c>
      <c r="T2410">
        <f>ROUND((M2410*0.25)+(N2410*0.20)+(O2410*0.15)+(P2410*0.15)+(Q2410*0.10)+(R2410*0.10)+(S2410*0.05),2)</f>
        <v/>
      </c>
      <c r="U2410">
        <f>IF(T2410&gt;=4.25,"Critical",IF(T2410&gt;=3.5,"High",IF(T2410&gt;=2,"Medium","Low")))</f>
        <v/>
      </c>
    </row>
    <row r="2411">
      <c r="R2411">
        <f>IFERROR(XLOOKUP(XLOOKUP(D2411,tblReleaseChanges[Change_ID],tblReleaseChanges[Oracle_Severity],""),tblSeverityMap[Severity_Text],tblSeverityMap[Score],0),0)</f>
        <v/>
      </c>
      <c r="T2411">
        <f>ROUND((M2411*0.25)+(N2411*0.20)+(O2411*0.15)+(P2411*0.15)+(Q2411*0.10)+(R2411*0.10)+(S2411*0.05),2)</f>
        <v/>
      </c>
      <c r="U2411">
        <f>IF(T2411&gt;=4.25,"Critical",IF(T2411&gt;=3.5,"High",IF(T2411&gt;=2,"Medium","Low")))</f>
        <v/>
      </c>
    </row>
    <row r="2412">
      <c r="R2412">
        <f>IFERROR(XLOOKUP(XLOOKUP(D2412,tblReleaseChanges[Change_ID],tblReleaseChanges[Oracle_Severity],""),tblSeverityMap[Severity_Text],tblSeverityMap[Score],0),0)</f>
        <v/>
      </c>
      <c r="T2412">
        <f>ROUND((M2412*0.25)+(N2412*0.20)+(O2412*0.15)+(P2412*0.15)+(Q2412*0.10)+(R2412*0.10)+(S2412*0.05),2)</f>
        <v/>
      </c>
      <c r="U2412">
        <f>IF(T2412&gt;=4.25,"Critical",IF(T2412&gt;=3.5,"High",IF(T2412&gt;=2,"Medium","Low")))</f>
        <v/>
      </c>
    </row>
    <row r="2413">
      <c r="R2413">
        <f>IFERROR(XLOOKUP(XLOOKUP(D2413,tblReleaseChanges[Change_ID],tblReleaseChanges[Oracle_Severity],""),tblSeverityMap[Severity_Text],tblSeverityMap[Score],0),0)</f>
        <v/>
      </c>
      <c r="T2413">
        <f>ROUND((M2413*0.25)+(N2413*0.20)+(O2413*0.15)+(P2413*0.15)+(Q2413*0.10)+(R2413*0.10)+(S2413*0.05),2)</f>
        <v/>
      </c>
      <c r="U2413">
        <f>IF(T2413&gt;=4.25,"Critical",IF(T2413&gt;=3.5,"High",IF(T2413&gt;=2,"Medium","Low")))</f>
        <v/>
      </c>
    </row>
    <row r="2414">
      <c r="R2414">
        <f>IFERROR(XLOOKUP(XLOOKUP(D2414,tblReleaseChanges[Change_ID],tblReleaseChanges[Oracle_Severity],""),tblSeverityMap[Severity_Text],tblSeverityMap[Score],0),0)</f>
        <v/>
      </c>
      <c r="T2414">
        <f>ROUND((M2414*0.25)+(N2414*0.20)+(O2414*0.15)+(P2414*0.15)+(Q2414*0.10)+(R2414*0.10)+(S2414*0.05),2)</f>
        <v/>
      </c>
      <c r="U2414">
        <f>IF(T2414&gt;=4.25,"Critical",IF(T2414&gt;=3.5,"High",IF(T2414&gt;=2,"Medium","Low")))</f>
        <v/>
      </c>
    </row>
    <row r="2415">
      <c r="R2415">
        <f>IFERROR(XLOOKUP(XLOOKUP(D2415,tblReleaseChanges[Change_ID],tblReleaseChanges[Oracle_Severity],""),tblSeverityMap[Severity_Text],tblSeverityMap[Score],0),0)</f>
        <v/>
      </c>
      <c r="T2415">
        <f>ROUND((M2415*0.25)+(N2415*0.20)+(O2415*0.15)+(P2415*0.15)+(Q2415*0.10)+(R2415*0.10)+(S2415*0.05),2)</f>
        <v/>
      </c>
      <c r="U2415">
        <f>IF(T2415&gt;=4.25,"Critical",IF(T2415&gt;=3.5,"High",IF(T2415&gt;=2,"Medium","Low")))</f>
        <v/>
      </c>
    </row>
    <row r="2416">
      <c r="R2416">
        <f>IFERROR(XLOOKUP(XLOOKUP(D2416,tblReleaseChanges[Change_ID],tblReleaseChanges[Oracle_Severity],""),tblSeverityMap[Severity_Text],tblSeverityMap[Score],0),0)</f>
        <v/>
      </c>
      <c r="T2416">
        <f>ROUND((M2416*0.25)+(N2416*0.20)+(O2416*0.15)+(P2416*0.15)+(Q2416*0.10)+(R2416*0.10)+(S2416*0.05),2)</f>
        <v/>
      </c>
      <c r="U2416">
        <f>IF(T2416&gt;=4.25,"Critical",IF(T2416&gt;=3.5,"High",IF(T2416&gt;=2,"Medium","Low")))</f>
        <v/>
      </c>
    </row>
    <row r="2417">
      <c r="R2417">
        <f>IFERROR(XLOOKUP(XLOOKUP(D2417,tblReleaseChanges[Change_ID],tblReleaseChanges[Oracle_Severity],""),tblSeverityMap[Severity_Text],tblSeverityMap[Score],0),0)</f>
        <v/>
      </c>
      <c r="T2417">
        <f>ROUND((M2417*0.25)+(N2417*0.20)+(O2417*0.15)+(P2417*0.15)+(Q2417*0.10)+(R2417*0.10)+(S2417*0.05),2)</f>
        <v/>
      </c>
      <c r="U2417">
        <f>IF(T2417&gt;=4.25,"Critical",IF(T2417&gt;=3.5,"High",IF(T2417&gt;=2,"Medium","Low")))</f>
        <v/>
      </c>
    </row>
    <row r="2418">
      <c r="R2418">
        <f>IFERROR(XLOOKUP(XLOOKUP(D2418,tblReleaseChanges[Change_ID],tblReleaseChanges[Oracle_Severity],""),tblSeverityMap[Severity_Text],tblSeverityMap[Score],0),0)</f>
        <v/>
      </c>
      <c r="T2418">
        <f>ROUND((M2418*0.25)+(N2418*0.20)+(O2418*0.15)+(P2418*0.15)+(Q2418*0.10)+(R2418*0.10)+(S2418*0.05),2)</f>
        <v/>
      </c>
      <c r="U2418">
        <f>IF(T2418&gt;=4.25,"Critical",IF(T2418&gt;=3.5,"High",IF(T2418&gt;=2,"Medium","Low")))</f>
        <v/>
      </c>
    </row>
    <row r="2419">
      <c r="R2419">
        <f>IFERROR(XLOOKUP(XLOOKUP(D2419,tblReleaseChanges[Change_ID],tblReleaseChanges[Oracle_Severity],""),tblSeverityMap[Severity_Text],tblSeverityMap[Score],0),0)</f>
        <v/>
      </c>
      <c r="T2419">
        <f>ROUND((M2419*0.25)+(N2419*0.20)+(O2419*0.15)+(P2419*0.15)+(Q2419*0.10)+(R2419*0.10)+(S2419*0.05),2)</f>
        <v/>
      </c>
      <c r="U2419">
        <f>IF(T2419&gt;=4.25,"Critical",IF(T2419&gt;=3.5,"High",IF(T2419&gt;=2,"Medium","Low")))</f>
        <v/>
      </c>
    </row>
    <row r="2420">
      <c r="R2420">
        <f>IFERROR(XLOOKUP(XLOOKUP(D2420,tblReleaseChanges[Change_ID],tblReleaseChanges[Oracle_Severity],""),tblSeverityMap[Severity_Text],tblSeverityMap[Score],0),0)</f>
        <v/>
      </c>
      <c r="T2420">
        <f>ROUND((M2420*0.25)+(N2420*0.20)+(O2420*0.15)+(P2420*0.15)+(Q2420*0.10)+(R2420*0.10)+(S2420*0.05),2)</f>
        <v/>
      </c>
      <c r="U2420">
        <f>IF(T2420&gt;=4.25,"Critical",IF(T2420&gt;=3.5,"High",IF(T2420&gt;=2,"Medium","Low")))</f>
        <v/>
      </c>
    </row>
    <row r="2421">
      <c r="R2421">
        <f>IFERROR(XLOOKUP(XLOOKUP(D2421,tblReleaseChanges[Change_ID],tblReleaseChanges[Oracle_Severity],""),tblSeverityMap[Severity_Text],tblSeverityMap[Score],0),0)</f>
        <v/>
      </c>
      <c r="T2421">
        <f>ROUND((M2421*0.25)+(N2421*0.20)+(O2421*0.15)+(P2421*0.15)+(Q2421*0.10)+(R2421*0.10)+(S2421*0.05),2)</f>
        <v/>
      </c>
      <c r="U2421">
        <f>IF(T2421&gt;=4.25,"Critical",IF(T2421&gt;=3.5,"High",IF(T2421&gt;=2,"Medium","Low")))</f>
        <v/>
      </c>
    </row>
    <row r="2422">
      <c r="R2422">
        <f>IFERROR(XLOOKUP(XLOOKUP(D2422,tblReleaseChanges[Change_ID],tblReleaseChanges[Oracle_Severity],""),tblSeverityMap[Severity_Text],tblSeverityMap[Score],0),0)</f>
        <v/>
      </c>
      <c r="T2422">
        <f>ROUND((M2422*0.25)+(N2422*0.20)+(O2422*0.15)+(P2422*0.15)+(Q2422*0.10)+(R2422*0.10)+(S2422*0.05),2)</f>
        <v/>
      </c>
      <c r="U2422">
        <f>IF(T2422&gt;=4.25,"Critical",IF(T2422&gt;=3.5,"High",IF(T2422&gt;=2,"Medium","Low")))</f>
        <v/>
      </c>
    </row>
    <row r="2423">
      <c r="R2423">
        <f>IFERROR(XLOOKUP(XLOOKUP(D2423,tblReleaseChanges[Change_ID],tblReleaseChanges[Oracle_Severity],""),tblSeverityMap[Severity_Text],tblSeverityMap[Score],0),0)</f>
        <v/>
      </c>
      <c r="T2423">
        <f>ROUND((M2423*0.25)+(N2423*0.20)+(O2423*0.15)+(P2423*0.15)+(Q2423*0.10)+(R2423*0.10)+(S2423*0.05),2)</f>
        <v/>
      </c>
      <c r="U2423">
        <f>IF(T2423&gt;=4.25,"Critical",IF(T2423&gt;=3.5,"High",IF(T2423&gt;=2,"Medium","Low")))</f>
        <v/>
      </c>
    </row>
    <row r="2424">
      <c r="R2424">
        <f>IFERROR(XLOOKUP(XLOOKUP(D2424,tblReleaseChanges[Change_ID],tblReleaseChanges[Oracle_Severity],""),tblSeverityMap[Severity_Text],tblSeverityMap[Score],0),0)</f>
        <v/>
      </c>
      <c r="T2424">
        <f>ROUND((M2424*0.25)+(N2424*0.20)+(O2424*0.15)+(P2424*0.15)+(Q2424*0.10)+(R2424*0.10)+(S2424*0.05),2)</f>
        <v/>
      </c>
      <c r="U2424">
        <f>IF(T2424&gt;=4.25,"Critical",IF(T2424&gt;=3.5,"High",IF(T2424&gt;=2,"Medium","Low")))</f>
        <v/>
      </c>
    </row>
    <row r="2425">
      <c r="R2425">
        <f>IFERROR(XLOOKUP(XLOOKUP(D2425,tblReleaseChanges[Change_ID],tblReleaseChanges[Oracle_Severity],""),tblSeverityMap[Severity_Text],tblSeverityMap[Score],0),0)</f>
        <v/>
      </c>
      <c r="T2425">
        <f>ROUND((M2425*0.25)+(N2425*0.20)+(O2425*0.15)+(P2425*0.15)+(Q2425*0.10)+(R2425*0.10)+(S2425*0.05),2)</f>
        <v/>
      </c>
      <c r="U2425">
        <f>IF(T2425&gt;=4.25,"Critical",IF(T2425&gt;=3.5,"High",IF(T2425&gt;=2,"Medium","Low")))</f>
        <v/>
      </c>
    </row>
    <row r="2426">
      <c r="R2426">
        <f>IFERROR(XLOOKUP(XLOOKUP(D2426,tblReleaseChanges[Change_ID],tblReleaseChanges[Oracle_Severity],""),tblSeverityMap[Severity_Text],tblSeverityMap[Score],0),0)</f>
        <v/>
      </c>
      <c r="T2426">
        <f>ROUND((M2426*0.25)+(N2426*0.20)+(O2426*0.15)+(P2426*0.15)+(Q2426*0.10)+(R2426*0.10)+(S2426*0.05),2)</f>
        <v/>
      </c>
      <c r="U2426">
        <f>IF(T2426&gt;=4.25,"Critical",IF(T2426&gt;=3.5,"High",IF(T2426&gt;=2,"Medium","Low")))</f>
        <v/>
      </c>
    </row>
    <row r="2427">
      <c r="R2427">
        <f>IFERROR(XLOOKUP(XLOOKUP(D2427,tblReleaseChanges[Change_ID],tblReleaseChanges[Oracle_Severity],""),tblSeverityMap[Severity_Text],tblSeverityMap[Score],0),0)</f>
        <v/>
      </c>
      <c r="T2427">
        <f>ROUND((M2427*0.25)+(N2427*0.20)+(O2427*0.15)+(P2427*0.15)+(Q2427*0.10)+(R2427*0.10)+(S2427*0.05),2)</f>
        <v/>
      </c>
      <c r="U2427">
        <f>IF(T2427&gt;=4.25,"Critical",IF(T2427&gt;=3.5,"High",IF(T2427&gt;=2,"Medium","Low")))</f>
        <v/>
      </c>
    </row>
    <row r="2428">
      <c r="R2428">
        <f>IFERROR(XLOOKUP(XLOOKUP(D2428,tblReleaseChanges[Change_ID],tblReleaseChanges[Oracle_Severity],""),tblSeverityMap[Severity_Text],tblSeverityMap[Score],0),0)</f>
        <v/>
      </c>
      <c r="T2428">
        <f>ROUND((M2428*0.25)+(N2428*0.20)+(O2428*0.15)+(P2428*0.15)+(Q2428*0.10)+(R2428*0.10)+(S2428*0.05),2)</f>
        <v/>
      </c>
      <c r="U2428">
        <f>IF(T2428&gt;=4.25,"Critical",IF(T2428&gt;=3.5,"High",IF(T2428&gt;=2,"Medium","Low")))</f>
        <v/>
      </c>
    </row>
    <row r="2429">
      <c r="R2429">
        <f>IFERROR(XLOOKUP(XLOOKUP(D2429,tblReleaseChanges[Change_ID],tblReleaseChanges[Oracle_Severity],""),tblSeverityMap[Severity_Text],tblSeverityMap[Score],0),0)</f>
        <v/>
      </c>
      <c r="T2429">
        <f>ROUND((M2429*0.25)+(N2429*0.20)+(O2429*0.15)+(P2429*0.15)+(Q2429*0.10)+(R2429*0.10)+(S2429*0.05),2)</f>
        <v/>
      </c>
      <c r="U2429">
        <f>IF(T2429&gt;=4.25,"Critical",IF(T2429&gt;=3.5,"High",IF(T2429&gt;=2,"Medium","Low")))</f>
        <v/>
      </c>
    </row>
    <row r="2430">
      <c r="R2430">
        <f>IFERROR(XLOOKUP(XLOOKUP(D2430,tblReleaseChanges[Change_ID],tblReleaseChanges[Oracle_Severity],""),tblSeverityMap[Severity_Text],tblSeverityMap[Score],0),0)</f>
        <v/>
      </c>
      <c r="T2430">
        <f>ROUND((M2430*0.25)+(N2430*0.20)+(O2430*0.15)+(P2430*0.15)+(Q2430*0.10)+(R2430*0.10)+(S2430*0.05),2)</f>
        <v/>
      </c>
      <c r="U2430">
        <f>IF(T2430&gt;=4.25,"Critical",IF(T2430&gt;=3.5,"High",IF(T2430&gt;=2,"Medium","Low")))</f>
        <v/>
      </c>
    </row>
    <row r="2431">
      <c r="R2431">
        <f>IFERROR(XLOOKUP(XLOOKUP(D2431,tblReleaseChanges[Change_ID],tblReleaseChanges[Oracle_Severity],""),tblSeverityMap[Severity_Text],tblSeverityMap[Score],0),0)</f>
        <v/>
      </c>
      <c r="T2431">
        <f>ROUND((M2431*0.25)+(N2431*0.20)+(O2431*0.15)+(P2431*0.15)+(Q2431*0.10)+(R2431*0.10)+(S2431*0.05),2)</f>
        <v/>
      </c>
      <c r="U2431">
        <f>IF(T2431&gt;=4.25,"Critical",IF(T2431&gt;=3.5,"High",IF(T2431&gt;=2,"Medium","Low")))</f>
        <v/>
      </c>
    </row>
    <row r="2432">
      <c r="R2432">
        <f>IFERROR(XLOOKUP(XLOOKUP(D2432,tblReleaseChanges[Change_ID],tblReleaseChanges[Oracle_Severity],""),tblSeverityMap[Severity_Text],tblSeverityMap[Score],0),0)</f>
        <v/>
      </c>
      <c r="T2432">
        <f>ROUND((M2432*0.25)+(N2432*0.20)+(O2432*0.15)+(P2432*0.15)+(Q2432*0.10)+(R2432*0.10)+(S2432*0.05),2)</f>
        <v/>
      </c>
      <c r="U2432">
        <f>IF(T2432&gt;=4.25,"Critical",IF(T2432&gt;=3.5,"High",IF(T2432&gt;=2,"Medium","Low")))</f>
        <v/>
      </c>
    </row>
    <row r="2433">
      <c r="R2433">
        <f>IFERROR(XLOOKUP(XLOOKUP(D2433,tblReleaseChanges[Change_ID],tblReleaseChanges[Oracle_Severity],""),tblSeverityMap[Severity_Text],tblSeverityMap[Score],0),0)</f>
        <v/>
      </c>
      <c r="T2433">
        <f>ROUND((M2433*0.25)+(N2433*0.20)+(O2433*0.15)+(P2433*0.15)+(Q2433*0.10)+(R2433*0.10)+(S2433*0.05),2)</f>
        <v/>
      </c>
      <c r="U2433">
        <f>IF(T2433&gt;=4.25,"Critical",IF(T2433&gt;=3.5,"High",IF(T2433&gt;=2,"Medium","Low")))</f>
        <v/>
      </c>
    </row>
    <row r="2434">
      <c r="R2434">
        <f>IFERROR(XLOOKUP(XLOOKUP(D2434,tblReleaseChanges[Change_ID],tblReleaseChanges[Oracle_Severity],""),tblSeverityMap[Severity_Text],tblSeverityMap[Score],0),0)</f>
        <v/>
      </c>
      <c r="T2434">
        <f>ROUND((M2434*0.25)+(N2434*0.20)+(O2434*0.15)+(P2434*0.15)+(Q2434*0.10)+(R2434*0.10)+(S2434*0.05),2)</f>
        <v/>
      </c>
      <c r="U2434">
        <f>IF(T2434&gt;=4.25,"Critical",IF(T2434&gt;=3.5,"High",IF(T2434&gt;=2,"Medium","Low")))</f>
        <v/>
      </c>
    </row>
    <row r="2435">
      <c r="R2435">
        <f>IFERROR(XLOOKUP(XLOOKUP(D2435,tblReleaseChanges[Change_ID],tblReleaseChanges[Oracle_Severity],""),tblSeverityMap[Severity_Text],tblSeverityMap[Score],0),0)</f>
        <v/>
      </c>
      <c r="T2435">
        <f>ROUND((M2435*0.25)+(N2435*0.20)+(O2435*0.15)+(P2435*0.15)+(Q2435*0.10)+(R2435*0.10)+(S2435*0.05),2)</f>
        <v/>
      </c>
      <c r="U2435">
        <f>IF(T2435&gt;=4.25,"Critical",IF(T2435&gt;=3.5,"High",IF(T2435&gt;=2,"Medium","Low")))</f>
        <v/>
      </c>
    </row>
    <row r="2436">
      <c r="R2436">
        <f>IFERROR(XLOOKUP(XLOOKUP(D2436,tblReleaseChanges[Change_ID],tblReleaseChanges[Oracle_Severity],""),tblSeverityMap[Severity_Text],tblSeverityMap[Score],0),0)</f>
        <v/>
      </c>
      <c r="T2436">
        <f>ROUND((M2436*0.25)+(N2436*0.20)+(O2436*0.15)+(P2436*0.15)+(Q2436*0.10)+(R2436*0.10)+(S2436*0.05),2)</f>
        <v/>
      </c>
      <c r="U2436">
        <f>IF(T2436&gt;=4.25,"Critical",IF(T2436&gt;=3.5,"High",IF(T2436&gt;=2,"Medium","Low")))</f>
        <v/>
      </c>
    </row>
    <row r="2437">
      <c r="R2437">
        <f>IFERROR(XLOOKUP(XLOOKUP(D2437,tblReleaseChanges[Change_ID],tblReleaseChanges[Oracle_Severity],""),tblSeverityMap[Severity_Text],tblSeverityMap[Score],0),0)</f>
        <v/>
      </c>
      <c r="T2437">
        <f>ROUND((M2437*0.25)+(N2437*0.20)+(O2437*0.15)+(P2437*0.15)+(Q2437*0.10)+(R2437*0.10)+(S2437*0.05),2)</f>
        <v/>
      </c>
      <c r="U2437">
        <f>IF(T2437&gt;=4.25,"Critical",IF(T2437&gt;=3.5,"High",IF(T2437&gt;=2,"Medium","Low")))</f>
        <v/>
      </c>
    </row>
    <row r="2438">
      <c r="R2438">
        <f>IFERROR(XLOOKUP(XLOOKUP(D2438,tblReleaseChanges[Change_ID],tblReleaseChanges[Oracle_Severity],""),tblSeverityMap[Severity_Text],tblSeverityMap[Score],0),0)</f>
        <v/>
      </c>
      <c r="T2438">
        <f>ROUND((M2438*0.25)+(N2438*0.20)+(O2438*0.15)+(P2438*0.15)+(Q2438*0.10)+(R2438*0.10)+(S2438*0.05),2)</f>
        <v/>
      </c>
      <c r="U2438">
        <f>IF(T2438&gt;=4.25,"Critical",IF(T2438&gt;=3.5,"High",IF(T2438&gt;=2,"Medium","Low")))</f>
        <v/>
      </c>
    </row>
    <row r="2439">
      <c r="R2439">
        <f>IFERROR(XLOOKUP(XLOOKUP(D2439,tblReleaseChanges[Change_ID],tblReleaseChanges[Oracle_Severity],""),tblSeverityMap[Severity_Text],tblSeverityMap[Score],0),0)</f>
        <v/>
      </c>
      <c r="T2439">
        <f>ROUND((M2439*0.25)+(N2439*0.20)+(O2439*0.15)+(P2439*0.15)+(Q2439*0.10)+(R2439*0.10)+(S2439*0.05),2)</f>
        <v/>
      </c>
      <c r="U2439">
        <f>IF(T2439&gt;=4.25,"Critical",IF(T2439&gt;=3.5,"High",IF(T2439&gt;=2,"Medium","Low")))</f>
        <v/>
      </c>
    </row>
    <row r="2440">
      <c r="R2440">
        <f>IFERROR(XLOOKUP(XLOOKUP(D2440,tblReleaseChanges[Change_ID],tblReleaseChanges[Oracle_Severity],""),tblSeverityMap[Severity_Text],tblSeverityMap[Score],0),0)</f>
        <v/>
      </c>
      <c r="T2440">
        <f>ROUND((M2440*0.25)+(N2440*0.20)+(O2440*0.15)+(P2440*0.15)+(Q2440*0.10)+(R2440*0.10)+(S2440*0.05),2)</f>
        <v/>
      </c>
      <c r="U2440">
        <f>IF(T2440&gt;=4.25,"Critical",IF(T2440&gt;=3.5,"High",IF(T2440&gt;=2,"Medium","Low")))</f>
        <v/>
      </c>
    </row>
    <row r="2441">
      <c r="R2441">
        <f>IFERROR(XLOOKUP(XLOOKUP(D2441,tblReleaseChanges[Change_ID],tblReleaseChanges[Oracle_Severity],""),tblSeverityMap[Severity_Text],tblSeverityMap[Score],0),0)</f>
        <v/>
      </c>
      <c r="T2441">
        <f>ROUND((M2441*0.25)+(N2441*0.20)+(O2441*0.15)+(P2441*0.15)+(Q2441*0.10)+(R2441*0.10)+(S2441*0.05),2)</f>
        <v/>
      </c>
      <c r="U2441">
        <f>IF(T2441&gt;=4.25,"Critical",IF(T2441&gt;=3.5,"High",IF(T2441&gt;=2,"Medium","Low")))</f>
        <v/>
      </c>
    </row>
    <row r="2442">
      <c r="R2442">
        <f>IFERROR(XLOOKUP(XLOOKUP(D2442,tblReleaseChanges[Change_ID],tblReleaseChanges[Oracle_Severity],""),tblSeverityMap[Severity_Text],tblSeverityMap[Score],0),0)</f>
        <v/>
      </c>
      <c r="T2442">
        <f>ROUND((M2442*0.25)+(N2442*0.20)+(O2442*0.15)+(P2442*0.15)+(Q2442*0.10)+(R2442*0.10)+(S2442*0.05),2)</f>
        <v/>
      </c>
      <c r="U2442">
        <f>IF(T2442&gt;=4.25,"Critical",IF(T2442&gt;=3.5,"High",IF(T2442&gt;=2,"Medium","Low")))</f>
        <v/>
      </c>
    </row>
    <row r="2443">
      <c r="R2443">
        <f>IFERROR(XLOOKUP(XLOOKUP(D2443,tblReleaseChanges[Change_ID],tblReleaseChanges[Oracle_Severity],""),tblSeverityMap[Severity_Text],tblSeverityMap[Score],0),0)</f>
        <v/>
      </c>
      <c r="T2443">
        <f>ROUND((M2443*0.25)+(N2443*0.20)+(O2443*0.15)+(P2443*0.15)+(Q2443*0.10)+(R2443*0.10)+(S2443*0.05),2)</f>
        <v/>
      </c>
      <c r="U2443">
        <f>IF(T2443&gt;=4.25,"Critical",IF(T2443&gt;=3.5,"High",IF(T2443&gt;=2,"Medium","Low")))</f>
        <v/>
      </c>
    </row>
    <row r="2444">
      <c r="R2444">
        <f>IFERROR(XLOOKUP(XLOOKUP(D2444,tblReleaseChanges[Change_ID],tblReleaseChanges[Oracle_Severity],""),tblSeverityMap[Severity_Text],tblSeverityMap[Score],0),0)</f>
        <v/>
      </c>
      <c r="T2444">
        <f>ROUND((M2444*0.25)+(N2444*0.20)+(O2444*0.15)+(P2444*0.15)+(Q2444*0.10)+(R2444*0.10)+(S2444*0.05),2)</f>
        <v/>
      </c>
      <c r="U2444">
        <f>IF(T2444&gt;=4.25,"Critical",IF(T2444&gt;=3.5,"High",IF(T2444&gt;=2,"Medium","Low")))</f>
        <v/>
      </c>
    </row>
    <row r="2445">
      <c r="R2445">
        <f>IFERROR(XLOOKUP(XLOOKUP(D2445,tblReleaseChanges[Change_ID],tblReleaseChanges[Oracle_Severity],""),tblSeverityMap[Severity_Text],tblSeverityMap[Score],0),0)</f>
        <v/>
      </c>
      <c r="T2445">
        <f>ROUND((M2445*0.25)+(N2445*0.20)+(O2445*0.15)+(P2445*0.15)+(Q2445*0.10)+(R2445*0.10)+(S2445*0.05),2)</f>
        <v/>
      </c>
      <c r="U2445">
        <f>IF(T2445&gt;=4.25,"Critical",IF(T2445&gt;=3.5,"High",IF(T2445&gt;=2,"Medium","Low")))</f>
        <v/>
      </c>
    </row>
    <row r="2446">
      <c r="R2446">
        <f>IFERROR(XLOOKUP(XLOOKUP(D2446,tblReleaseChanges[Change_ID],tblReleaseChanges[Oracle_Severity],""),tblSeverityMap[Severity_Text],tblSeverityMap[Score],0),0)</f>
        <v/>
      </c>
      <c r="T2446">
        <f>ROUND((M2446*0.25)+(N2446*0.20)+(O2446*0.15)+(P2446*0.15)+(Q2446*0.10)+(R2446*0.10)+(S2446*0.05),2)</f>
        <v/>
      </c>
      <c r="U2446">
        <f>IF(T2446&gt;=4.25,"Critical",IF(T2446&gt;=3.5,"High",IF(T2446&gt;=2,"Medium","Low")))</f>
        <v/>
      </c>
    </row>
    <row r="2447">
      <c r="R2447">
        <f>IFERROR(XLOOKUP(XLOOKUP(D2447,tblReleaseChanges[Change_ID],tblReleaseChanges[Oracle_Severity],""),tblSeverityMap[Severity_Text],tblSeverityMap[Score],0),0)</f>
        <v/>
      </c>
      <c r="T2447">
        <f>ROUND((M2447*0.25)+(N2447*0.20)+(O2447*0.15)+(P2447*0.15)+(Q2447*0.10)+(R2447*0.10)+(S2447*0.05),2)</f>
        <v/>
      </c>
      <c r="U2447">
        <f>IF(T2447&gt;=4.25,"Critical",IF(T2447&gt;=3.5,"High",IF(T2447&gt;=2,"Medium","Low")))</f>
        <v/>
      </c>
    </row>
    <row r="2448">
      <c r="R2448">
        <f>IFERROR(XLOOKUP(XLOOKUP(D2448,tblReleaseChanges[Change_ID],tblReleaseChanges[Oracle_Severity],""),tblSeverityMap[Severity_Text],tblSeverityMap[Score],0),0)</f>
        <v/>
      </c>
      <c r="T2448">
        <f>ROUND((M2448*0.25)+(N2448*0.20)+(O2448*0.15)+(P2448*0.15)+(Q2448*0.10)+(R2448*0.10)+(S2448*0.05),2)</f>
        <v/>
      </c>
      <c r="U2448">
        <f>IF(T2448&gt;=4.25,"Critical",IF(T2448&gt;=3.5,"High",IF(T2448&gt;=2,"Medium","Low")))</f>
        <v/>
      </c>
    </row>
    <row r="2449">
      <c r="R2449">
        <f>IFERROR(XLOOKUP(XLOOKUP(D2449,tblReleaseChanges[Change_ID],tblReleaseChanges[Oracle_Severity],""),tblSeverityMap[Severity_Text],tblSeverityMap[Score],0),0)</f>
        <v/>
      </c>
      <c r="T2449">
        <f>ROUND((M2449*0.25)+(N2449*0.20)+(O2449*0.15)+(P2449*0.15)+(Q2449*0.10)+(R2449*0.10)+(S2449*0.05),2)</f>
        <v/>
      </c>
      <c r="U2449">
        <f>IF(T2449&gt;=4.25,"Critical",IF(T2449&gt;=3.5,"High",IF(T2449&gt;=2,"Medium","Low")))</f>
        <v/>
      </c>
    </row>
    <row r="2450">
      <c r="R2450">
        <f>IFERROR(XLOOKUP(XLOOKUP(D2450,tblReleaseChanges[Change_ID],tblReleaseChanges[Oracle_Severity],""),tblSeverityMap[Severity_Text],tblSeverityMap[Score],0),0)</f>
        <v/>
      </c>
      <c r="T2450">
        <f>ROUND((M2450*0.25)+(N2450*0.20)+(O2450*0.15)+(P2450*0.15)+(Q2450*0.10)+(R2450*0.10)+(S2450*0.05),2)</f>
        <v/>
      </c>
      <c r="U2450">
        <f>IF(T2450&gt;=4.25,"Critical",IF(T2450&gt;=3.5,"High",IF(T2450&gt;=2,"Medium","Low")))</f>
        <v/>
      </c>
    </row>
    <row r="2451">
      <c r="R2451">
        <f>IFERROR(XLOOKUP(XLOOKUP(D2451,tblReleaseChanges[Change_ID],tblReleaseChanges[Oracle_Severity],""),tblSeverityMap[Severity_Text],tblSeverityMap[Score],0),0)</f>
        <v/>
      </c>
      <c r="T2451">
        <f>ROUND((M2451*0.25)+(N2451*0.20)+(O2451*0.15)+(P2451*0.15)+(Q2451*0.10)+(R2451*0.10)+(S2451*0.05),2)</f>
        <v/>
      </c>
      <c r="U2451">
        <f>IF(T2451&gt;=4.25,"Critical",IF(T2451&gt;=3.5,"High",IF(T2451&gt;=2,"Medium","Low")))</f>
        <v/>
      </c>
    </row>
    <row r="2452">
      <c r="R2452">
        <f>IFERROR(XLOOKUP(XLOOKUP(D2452,tblReleaseChanges[Change_ID],tblReleaseChanges[Oracle_Severity],""),tblSeverityMap[Severity_Text],tblSeverityMap[Score],0),0)</f>
        <v/>
      </c>
      <c r="T2452">
        <f>ROUND((M2452*0.25)+(N2452*0.20)+(O2452*0.15)+(P2452*0.15)+(Q2452*0.10)+(R2452*0.10)+(S2452*0.05),2)</f>
        <v/>
      </c>
      <c r="U2452">
        <f>IF(T2452&gt;=4.25,"Critical",IF(T2452&gt;=3.5,"High",IF(T2452&gt;=2,"Medium","Low")))</f>
        <v/>
      </c>
    </row>
    <row r="2453">
      <c r="R2453">
        <f>IFERROR(XLOOKUP(XLOOKUP(D2453,tblReleaseChanges[Change_ID],tblReleaseChanges[Oracle_Severity],""),tblSeverityMap[Severity_Text],tblSeverityMap[Score],0),0)</f>
        <v/>
      </c>
      <c r="T2453">
        <f>ROUND((M2453*0.25)+(N2453*0.20)+(O2453*0.15)+(P2453*0.15)+(Q2453*0.10)+(R2453*0.10)+(S2453*0.05),2)</f>
        <v/>
      </c>
      <c r="U2453">
        <f>IF(T2453&gt;=4.25,"Critical",IF(T2453&gt;=3.5,"High",IF(T2453&gt;=2,"Medium","Low")))</f>
        <v/>
      </c>
    </row>
    <row r="2454">
      <c r="R2454">
        <f>IFERROR(XLOOKUP(XLOOKUP(D2454,tblReleaseChanges[Change_ID],tblReleaseChanges[Oracle_Severity],""),tblSeverityMap[Severity_Text],tblSeverityMap[Score],0),0)</f>
        <v/>
      </c>
      <c r="T2454">
        <f>ROUND((M2454*0.25)+(N2454*0.20)+(O2454*0.15)+(P2454*0.15)+(Q2454*0.10)+(R2454*0.10)+(S2454*0.05),2)</f>
        <v/>
      </c>
      <c r="U2454">
        <f>IF(T2454&gt;=4.25,"Critical",IF(T2454&gt;=3.5,"High",IF(T2454&gt;=2,"Medium","Low")))</f>
        <v/>
      </c>
    </row>
    <row r="2455">
      <c r="R2455">
        <f>IFERROR(XLOOKUP(XLOOKUP(D2455,tblReleaseChanges[Change_ID],tblReleaseChanges[Oracle_Severity],""),tblSeverityMap[Severity_Text],tblSeverityMap[Score],0),0)</f>
        <v/>
      </c>
      <c r="T2455">
        <f>ROUND((M2455*0.25)+(N2455*0.20)+(O2455*0.15)+(P2455*0.15)+(Q2455*0.10)+(R2455*0.10)+(S2455*0.05),2)</f>
        <v/>
      </c>
      <c r="U2455">
        <f>IF(T2455&gt;=4.25,"Critical",IF(T2455&gt;=3.5,"High",IF(T2455&gt;=2,"Medium","Low")))</f>
        <v/>
      </c>
    </row>
    <row r="2456">
      <c r="R2456">
        <f>IFERROR(XLOOKUP(XLOOKUP(D2456,tblReleaseChanges[Change_ID],tblReleaseChanges[Oracle_Severity],""),tblSeverityMap[Severity_Text],tblSeverityMap[Score],0),0)</f>
        <v/>
      </c>
      <c r="T2456">
        <f>ROUND((M2456*0.25)+(N2456*0.20)+(O2456*0.15)+(P2456*0.15)+(Q2456*0.10)+(R2456*0.10)+(S2456*0.05),2)</f>
        <v/>
      </c>
      <c r="U2456">
        <f>IF(T2456&gt;=4.25,"Critical",IF(T2456&gt;=3.5,"High",IF(T2456&gt;=2,"Medium","Low")))</f>
        <v/>
      </c>
    </row>
    <row r="2457">
      <c r="R2457">
        <f>IFERROR(XLOOKUP(XLOOKUP(D2457,tblReleaseChanges[Change_ID],tblReleaseChanges[Oracle_Severity],""),tblSeverityMap[Severity_Text],tblSeverityMap[Score],0),0)</f>
        <v/>
      </c>
      <c r="T2457">
        <f>ROUND((M2457*0.25)+(N2457*0.20)+(O2457*0.15)+(P2457*0.15)+(Q2457*0.10)+(R2457*0.10)+(S2457*0.05),2)</f>
        <v/>
      </c>
      <c r="U2457">
        <f>IF(T2457&gt;=4.25,"Critical",IF(T2457&gt;=3.5,"High",IF(T2457&gt;=2,"Medium","Low")))</f>
        <v/>
      </c>
    </row>
    <row r="2458">
      <c r="R2458">
        <f>IFERROR(XLOOKUP(XLOOKUP(D2458,tblReleaseChanges[Change_ID],tblReleaseChanges[Oracle_Severity],""),tblSeverityMap[Severity_Text],tblSeverityMap[Score],0),0)</f>
        <v/>
      </c>
      <c r="T2458">
        <f>ROUND((M2458*0.25)+(N2458*0.20)+(O2458*0.15)+(P2458*0.15)+(Q2458*0.10)+(R2458*0.10)+(S2458*0.05),2)</f>
        <v/>
      </c>
      <c r="U2458">
        <f>IF(T2458&gt;=4.25,"Critical",IF(T2458&gt;=3.5,"High",IF(T2458&gt;=2,"Medium","Low")))</f>
        <v/>
      </c>
    </row>
    <row r="2459">
      <c r="R2459">
        <f>IFERROR(XLOOKUP(XLOOKUP(D2459,tblReleaseChanges[Change_ID],tblReleaseChanges[Oracle_Severity],""),tblSeverityMap[Severity_Text],tblSeverityMap[Score],0),0)</f>
        <v/>
      </c>
      <c r="T2459">
        <f>ROUND((M2459*0.25)+(N2459*0.20)+(O2459*0.15)+(P2459*0.15)+(Q2459*0.10)+(R2459*0.10)+(S2459*0.05),2)</f>
        <v/>
      </c>
      <c r="U2459">
        <f>IF(T2459&gt;=4.25,"Critical",IF(T2459&gt;=3.5,"High",IF(T2459&gt;=2,"Medium","Low")))</f>
        <v/>
      </c>
    </row>
    <row r="2460">
      <c r="R2460">
        <f>IFERROR(XLOOKUP(XLOOKUP(D2460,tblReleaseChanges[Change_ID],tblReleaseChanges[Oracle_Severity],""),tblSeverityMap[Severity_Text],tblSeverityMap[Score],0),0)</f>
        <v/>
      </c>
      <c r="T2460">
        <f>ROUND((M2460*0.25)+(N2460*0.20)+(O2460*0.15)+(P2460*0.15)+(Q2460*0.10)+(R2460*0.10)+(S2460*0.05),2)</f>
        <v/>
      </c>
      <c r="U2460">
        <f>IF(T2460&gt;=4.25,"Critical",IF(T2460&gt;=3.5,"High",IF(T2460&gt;=2,"Medium","Low")))</f>
        <v/>
      </c>
    </row>
    <row r="2461">
      <c r="R2461">
        <f>IFERROR(XLOOKUP(XLOOKUP(D2461,tblReleaseChanges[Change_ID],tblReleaseChanges[Oracle_Severity],""),tblSeverityMap[Severity_Text],tblSeverityMap[Score],0),0)</f>
        <v/>
      </c>
      <c r="T2461">
        <f>ROUND((M2461*0.25)+(N2461*0.20)+(O2461*0.15)+(P2461*0.15)+(Q2461*0.10)+(R2461*0.10)+(S2461*0.05),2)</f>
        <v/>
      </c>
      <c r="U2461">
        <f>IF(T2461&gt;=4.25,"Critical",IF(T2461&gt;=3.5,"High",IF(T2461&gt;=2,"Medium","Low")))</f>
        <v/>
      </c>
    </row>
    <row r="2462">
      <c r="R2462">
        <f>IFERROR(XLOOKUP(XLOOKUP(D2462,tblReleaseChanges[Change_ID],tblReleaseChanges[Oracle_Severity],""),tblSeverityMap[Severity_Text],tblSeverityMap[Score],0),0)</f>
        <v/>
      </c>
      <c r="T2462">
        <f>ROUND((M2462*0.25)+(N2462*0.20)+(O2462*0.15)+(P2462*0.15)+(Q2462*0.10)+(R2462*0.10)+(S2462*0.05),2)</f>
        <v/>
      </c>
      <c r="U2462">
        <f>IF(T2462&gt;=4.25,"Critical",IF(T2462&gt;=3.5,"High",IF(T2462&gt;=2,"Medium","Low")))</f>
        <v/>
      </c>
    </row>
    <row r="2463">
      <c r="R2463">
        <f>IFERROR(XLOOKUP(XLOOKUP(D2463,tblReleaseChanges[Change_ID],tblReleaseChanges[Oracle_Severity],""),tblSeverityMap[Severity_Text],tblSeverityMap[Score],0),0)</f>
        <v/>
      </c>
      <c r="T2463">
        <f>ROUND((M2463*0.25)+(N2463*0.20)+(O2463*0.15)+(P2463*0.15)+(Q2463*0.10)+(R2463*0.10)+(S2463*0.05),2)</f>
        <v/>
      </c>
      <c r="U2463">
        <f>IF(T2463&gt;=4.25,"Critical",IF(T2463&gt;=3.5,"High",IF(T2463&gt;=2,"Medium","Low")))</f>
        <v/>
      </c>
    </row>
    <row r="2464">
      <c r="R2464">
        <f>IFERROR(XLOOKUP(XLOOKUP(D2464,tblReleaseChanges[Change_ID],tblReleaseChanges[Oracle_Severity],""),tblSeverityMap[Severity_Text],tblSeverityMap[Score],0),0)</f>
        <v/>
      </c>
      <c r="T2464">
        <f>ROUND((M2464*0.25)+(N2464*0.20)+(O2464*0.15)+(P2464*0.15)+(Q2464*0.10)+(R2464*0.10)+(S2464*0.05),2)</f>
        <v/>
      </c>
      <c r="U2464">
        <f>IF(T2464&gt;=4.25,"Critical",IF(T2464&gt;=3.5,"High",IF(T2464&gt;=2,"Medium","Low")))</f>
        <v/>
      </c>
    </row>
    <row r="2465">
      <c r="R2465">
        <f>IFERROR(XLOOKUP(XLOOKUP(D2465,tblReleaseChanges[Change_ID],tblReleaseChanges[Oracle_Severity],""),tblSeverityMap[Severity_Text],tblSeverityMap[Score],0),0)</f>
        <v/>
      </c>
      <c r="T2465">
        <f>ROUND((M2465*0.25)+(N2465*0.20)+(O2465*0.15)+(P2465*0.15)+(Q2465*0.10)+(R2465*0.10)+(S2465*0.05),2)</f>
        <v/>
      </c>
      <c r="U2465">
        <f>IF(T2465&gt;=4.25,"Critical",IF(T2465&gt;=3.5,"High",IF(T2465&gt;=2,"Medium","Low")))</f>
        <v/>
      </c>
    </row>
    <row r="2466">
      <c r="R2466">
        <f>IFERROR(XLOOKUP(XLOOKUP(D2466,tblReleaseChanges[Change_ID],tblReleaseChanges[Oracle_Severity],""),tblSeverityMap[Severity_Text],tblSeverityMap[Score],0),0)</f>
        <v/>
      </c>
      <c r="T2466">
        <f>ROUND((M2466*0.25)+(N2466*0.20)+(O2466*0.15)+(P2466*0.15)+(Q2466*0.10)+(R2466*0.10)+(S2466*0.05),2)</f>
        <v/>
      </c>
      <c r="U2466">
        <f>IF(T2466&gt;=4.25,"Critical",IF(T2466&gt;=3.5,"High",IF(T2466&gt;=2,"Medium","Low")))</f>
        <v/>
      </c>
    </row>
    <row r="2467">
      <c r="R2467">
        <f>IFERROR(XLOOKUP(XLOOKUP(D2467,tblReleaseChanges[Change_ID],tblReleaseChanges[Oracle_Severity],""),tblSeverityMap[Severity_Text],tblSeverityMap[Score],0),0)</f>
        <v/>
      </c>
      <c r="T2467">
        <f>ROUND((M2467*0.25)+(N2467*0.20)+(O2467*0.15)+(P2467*0.15)+(Q2467*0.10)+(R2467*0.10)+(S2467*0.05),2)</f>
        <v/>
      </c>
      <c r="U2467">
        <f>IF(T2467&gt;=4.25,"Critical",IF(T2467&gt;=3.5,"High",IF(T2467&gt;=2,"Medium","Low")))</f>
        <v/>
      </c>
    </row>
    <row r="2468">
      <c r="R2468">
        <f>IFERROR(XLOOKUP(XLOOKUP(D2468,tblReleaseChanges[Change_ID],tblReleaseChanges[Oracle_Severity],""),tblSeverityMap[Severity_Text],tblSeverityMap[Score],0),0)</f>
        <v/>
      </c>
      <c r="T2468">
        <f>ROUND((M2468*0.25)+(N2468*0.20)+(O2468*0.15)+(P2468*0.15)+(Q2468*0.10)+(R2468*0.10)+(S2468*0.05),2)</f>
        <v/>
      </c>
      <c r="U2468">
        <f>IF(T2468&gt;=4.25,"Critical",IF(T2468&gt;=3.5,"High",IF(T2468&gt;=2,"Medium","Low")))</f>
        <v/>
      </c>
    </row>
    <row r="2469">
      <c r="R2469">
        <f>IFERROR(XLOOKUP(XLOOKUP(D2469,tblReleaseChanges[Change_ID],tblReleaseChanges[Oracle_Severity],""),tblSeverityMap[Severity_Text],tblSeverityMap[Score],0),0)</f>
        <v/>
      </c>
      <c r="T2469">
        <f>ROUND((M2469*0.25)+(N2469*0.20)+(O2469*0.15)+(P2469*0.15)+(Q2469*0.10)+(R2469*0.10)+(S2469*0.05),2)</f>
        <v/>
      </c>
      <c r="U2469">
        <f>IF(T2469&gt;=4.25,"Critical",IF(T2469&gt;=3.5,"High",IF(T2469&gt;=2,"Medium","Low")))</f>
        <v/>
      </c>
    </row>
    <row r="2470">
      <c r="R2470">
        <f>IFERROR(XLOOKUP(XLOOKUP(D2470,tblReleaseChanges[Change_ID],tblReleaseChanges[Oracle_Severity],""),tblSeverityMap[Severity_Text],tblSeverityMap[Score],0),0)</f>
        <v/>
      </c>
      <c r="T2470">
        <f>ROUND((M2470*0.25)+(N2470*0.20)+(O2470*0.15)+(P2470*0.15)+(Q2470*0.10)+(R2470*0.10)+(S2470*0.05),2)</f>
        <v/>
      </c>
      <c r="U2470">
        <f>IF(T2470&gt;=4.25,"Critical",IF(T2470&gt;=3.5,"High",IF(T2470&gt;=2,"Medium","Low")))</f>
        <v/>
      </c>
    </row>
    <row r="2471">
      <c r="R2471">
        <f>IFERROR(XLOOKUP(XLOOKUP(D2471,tblReleaseChanges[Change_ID],tblReleaseChanges[Oracle_Severity],""),tblSeverityMap[Severity_Text],tblSeverityMap[Score],0),0)</f>
        <v/>
      </c>
      <c r="T2471">
        <f>ROUND((M2471*0.25)+(N2471*0.20)+(O2471*0.15)+(P2471*0.15)+(Q2471*0.10)+(R2471*0.10)+(S2471*0.05),2)</f>
        <v/>
      </c>
      <c r="U2471">
        <f>IF(T2471&gt;=4.25,"Critical",IF(T2471&gt;=3.5,"High",IF(T2471&gt;=2,"Medium","Low")))</f>
        <v/>
      </c>
    </row>
    <row r="2472">
      <c r="R2472">
        <f>IFERROR(XLOOKUP(XLOOKUP(D2472,tblReleaseChanges[Change_ID],tblReleaseChanges[Oracle_Severity],""),tblSeverityMap[Severity_Text],tblSeverityMap[Score],0),0)</f>
        <v/>
      </c>
      <c r="T2472">
        <f>ROUND((M2472*0.25)+(N2472*0.20)+(O2472*0.15)+(P2472*0.15)+(Q2472*0.10)+(R2472*0.10)+(S2472*0.05),2)</f>
        <v/>
      </c>
      <c r="U2472">
        <f>IF(T2472&gt;=4.25,"Critical",IF(T2472&gt;=3.5,"High",IF(T2472&gt;=2,"Medium","Low")))</f>
        <v/>
      </c>
    </row>
    <row r="2473">
      <c r="R2473">
        <f>IFERROR(XLOOKUP(XLOOKUP(D2473,tblReleaseChanges[Change_ID],tblReleaseChanges[Oracle_Severity],""),tblSeverityMap[Severity_Text],tblSeverityMap[Score],0),0)</f>
        <v/>
      </c>
      <c r="T2473">
        <f>ROUND((M2473*0.25)+(N2473*0.20)+(O2473*0.15)+(P2473*0.15)+(Q2473*0.10)+(R2473*0.10)+(S2473*0.05),2)</f>
        <v/>
      </c>
      <c r="U2473">
        <f>IF(T2473&gt;=4.25,"Critical",IF(T2473&gt;=3.5,"High",IF(T2473&gt;=2,"Medium","Low")))</f>
        <v/>
      </c>
    </row>
    <row r="2474">
      <c r="R2474">
        <f>IFERROR(XLOOKUP(XLOOKUP(D2474,tblReleaseChanges[Change_ID],tblReleaseChanges[Oracle_Severity],""),tblSeverityMap[Severity_Text],tblSeverityMap[Score],0),0)</f>
        <v/>
      </c>
      <c r="T2474">
        <f>ROUND((M2474*0.25)+(N2474*0.20)+(O2474*0.15)+(P2474*0.15)+(Q2474*0.10)+(R2474*0.10)+(S2474*0.05),2)</f>
        <v/>
      </c>
      <c r="U2474">
        <f>IF(T2474&gt;=4.25,"Critical",IF(T2474&gt;=3.5,"High",IF(T2474&gt;=2,"Medium","Low")))</f>
        <v/>
      </c>
    </row>
    <row r="2475">
      <c r="R2475">
        <f>IFERROR(XLOOKUP(XLOOKUP(D2475,tblReleaseChanges[Change_ID],tblReleaseChanges[Oracle_Severity],""),tblSeverityMap[Severity_Text],tblSeverityMap[Score],0),0)</f>
        <v/>
      </c>
      <c r="T2475">
        <f>ROUND((M2475*0.25)+(N2475*0.20)+(O2475*0.15)+(P2475*0.15)+(Q2475*0.10)+(R2475*0.10)+(S2475*0.05),2)</f>
        <v/>
      </c>
      <c r="U2475">
        <f>IF(T2475&gt;=4.25,"Critical",IF(T2475&gt;=3.5,"High",IF(T2475&gt;=2,"Medium","Low")))</f>
        <v/>
      </c>
    </row>
    <row r="2476">
      <c r="R2476">
        <f>IFERROR(XLOOKUP(XLOOKUP(D2476,tblReleaseChanges[Change_ID],tblReleaseChanges[Oracle_Severity],""),tblSeverityMap[Severity_Text],tblSeverityMap[Score],0),0)</f>
        <v/>
      </c>
      <c r="T2476">
        <f>ROUND((M2476*0.25)+(N2476*0.20)+(O2476*0.15)+(P2476*0.15)+(Q2476*0.10)+(R2476*0.10)+(S2476*0.05),2)</f>
        <v/>
      </c>
      <c r="U2476">
        <f>IF(T2476&gt;=4.25,"Critical",IF(T2476&gt;=3.5,"High",IF(T2476&gt;=2,"Medium","Low")))</f>
        <v/>
      </c>
    </row>
    <row r="2477">
      <c r="R2477">
        <f>IFERROR(XLOOKUP(XLOOKUP(D2477,tblReleaseChanges[Change_ID],tblReleaseChanges[Oracle_Severity],""),tblSeverityMap[Severity_Text],tblSeverityMap[Score],0),0)</f>
        <v/>
      </c>
      <c r="T2477">
        <f>ROUND((M2477*0.25)+(N2477*0.20)+(O2477*0.15)+(P2477*0.15)+(Q2477*0.10)+(R2477*0.10)+(S2477*0.05),2)</f>
        <v/>
      </c>
      <c r="U2477">
        <f>IF(T2477&gt;=4.25,"Critical",IF(T2477&gt;=3.5,"High",IF(T2477&gt;=2,"Medium","Low")))</f>
        <v/>
      </c>
    </row>
    <row r="2478">
      <c r="R2478">
        <f>IFERROR(XLOOKUP(XLOOKUP(D2478,tblReleaseChanges[Change_ID],tblReleaseChanges[Oracle_Severity],""),tblSeverityMap[Severity_Text],tblSeverityMap[Score],0),0)</f>
        <v/>
      </c>
      <c r="T2478">
        <f>ROUND((M2478*0.25)+(N2478*0.20)+(O2478*0.15)+(P2478*0.15)+(Q2478*0.10)+(R2478*0.10)+(S2478*0.05),2)</f>
        <v/>
      </c>
      <c r="U2478">
        <f>IF(T2478&gt;=4.25,"Critical",IF(T2478&gt;=3.5,"High",IF(T2478&gt;=2,"Medium","Low")))</f>
        <v/>
      </c>
    </row>
    <row r="2479">
      <c r="R2479">
        <f>IFERROR(XLOOKUP(XLOOKUP(D2479,tblReleaseChanges[Change_ID],tblReleaseChanges[Oracle_Severity],""),tblSeverityMap[Severity_Text],tblSeverityMap[Score],0),0)</f>
        <v/>
      </c>
      <c r="T2479">
        <f>ROUND((M2479*0.25)+(N2479*0.20)+(O2479*0.15)+(P2479*0.15)+(Q2479*0.10)+(R2479*0.10)+(S2479*0.05),2)</f>
        <v/>
      </c>
      <c r="U2479">
        <f>IF(T2479&gt;=4.25,"Critical",IF(T2479&gt;=3.5,"High",IF(T2479&gt;=2,"Medium","Low")))</f>
        <v/>
      </c>
    </row>
    <row r="2480">
      <c r="R2480">
        <f>IFERROR(XLOOKUP(XLOOKUP(D2480,tblReleaseChanges[Change_ID],tblReleaseChanges[Oracle_Severity],""),tblSeverityMap[Severity_Text],tblSeverityMap[Score],0),0)</f>
        <v/>
      </c>
      <c r="T2480">
        <f>ROUND((M2480*0.25)+(N2480*0.20)+(O2480*0.15)+(P2480*0.15)+(Q2480*0.10)+(R2480*0.10)+(S2480*0.05),2)</f>
        <v/>
      </c>
      <c r="U2480">
        <f>IF(T2480&gt;=4.25,"Critical",IF(T2480&gt;=3.5,"High",IF(T2480&gt;=2,"Medium","Low")))</f>
        <v/>
      </c>
    </row>
    <row r="2481">
      <c r="R2481">
        <f>IFERROR(XLOOKUP(XLOOKUP(D2481,tblReleaseChanges[Change_ID],tblReleaseChanges[Oracle_Severity],""),tblSeverityMap[Severity_Text],tblSeverityMap[Score],0),0)</f>
        <v/>
      </c>
      <c r="T2481">
        <f>ROUND((M2481*0.25)+(N2481*0.20)+(O2481*0.15)+(P2481*0.15)+(Q2481*0.10)+(R2481*0.10)+(S2481*0.05),2)</f>
        <v/>
      </c>
      <c r="U2481">
        <f>IF(T2481&gt;=4.25,"Critical",IF(T2481&gt;=3.5,"High",IF(T2481&gt;=2,"Medium","Low")))</f>
        <v/>
      </c>
    </row>
    <row r="2482">
      <c r="R2482">
        <f>IFERROR(XLOOKUP(XLOOKUP(D2482,tblReleaseChanges[Change_ID],tblReleaseChanges[Oracle_Severity],""),tblSeverityMap[Severity_Text],tblSeverityMap[Score],0),0)</f>
        <v/>
      </c>
      <c r="T2482">
        <f>ROUND((M2482*0.25)+(N2482*0.20)+(O2482*0.15)+(P2482*0.15)+(Q2482*0.10)+(R2482*0.10)+(S2482*0.05),2)</f>
        <v/>
      </c>
      <c r="U2482">
        <f>IF(T2482&gt;=4.25,"Critical",IF(T2482&gt;=3.5,"High",IF(T2482&gt;=2,"Medium","Low")))</f>
        <v/>
      </c>
    </row>
    <row r="2483">
      <c r="R2483">
        <f>IFERROR(XLOOKUP(XLOOKUP(D2483,tblReleaseChanges[Change_ID],tblReleaseChanges[Oracle_Severity],""),tblSeverityMap[Severity_Text],tblSeverityMap[Score],0),0)</f>
        <v/>
      </c>
      <c r="T2483">
        <f>ROUND((M2483*0.25)+(N2483*0.20)+(O2483*0.15)+(P2483*0.15)+(Q2483*0.10)+(R2483*0.10)+(S2483*0.05),2)</f>
        <v/>
      </c>
      <c r="U2483">
        <f>IF(T2483&gt;=4.25,"Critical",IF(T2483&gt;=3.5,"High",IF(T2483&gt;=2,"Medium","Low")))</f>
        <v/>
      </c>
    </row>
    <row r="2484">
      <c r="R2484">
        <f>IFERROR(XLOOKUP(XLOOKUP(D2484,tblReleaseChanges[Change_ID],tblReleaseChanges[Oracle_Severity],""),tblSeverityMap[Severity_Text],tblSeverityMap[Score],0),0)</f>
        <v/>
      </c>
      <c r="T2484">
        <f>ROUND((M2484*0.25)+(N2484*0.20)+(O2484*0.15)+(P2484*0.15)+(Q2484*0.10)+(R2484*0.10)+(S2484*0.05),2)</f>
        <v/>
      </c>
      <c r="U2484">
        <f>IF(T2484&gt;=4.25,"Critical",IF(T2484&gt;=3.5,"High",IF(T2484&gt;=2,"Medium","Low")))</f>
        <v/>
      </c>
    </row>
    <row r="2485">
      <c r="R2485">
        <f>IFERROR(XLOOKUP(XLOOKUP(D2485,tblReleaseChanges[Change_ID],tblReleaseChanges[Oracle_Severity],""),tblSeverityMap[Severity_Text],tblSeverityMap[Score],0),0)</f>
        <v/>
      </c>
      <c r="T2485">
        <f>ROUND((M2485*0.25)+(N2485*0.20)+(O2485*0.15)+(P2485*0.15)+(Q2485*0.10)+(R2485*0.10)+(S2485*0.05),2)</f>
        <v/>
      </c>
      <c r="U2485">
        <f>IF(T2485&gt;=4.25,"Critical",IF(T2485&gt;=3.5,"High",IF(T2485&gt;=2,"Medium","Low")))</f>
        <v/>
      </c>
    </row>
    <row r="2486">
      <c r="R2486">
        <f>IFERROR(XLOOKUP(XLOOKUP(D2486,tblReleaseChanges[Change_ID],tblReleaseChanges[Oracle_Severity],""),tblSeverityMap[Severity_Text],tblSeverityMap[Score],0),0)</f>
        <v/>
      </c>
      <c r="T2486">
        <f>ROUND((M2486*0.25)+(N2486*0.20)+(O2486*0.15)+(P2486*0.15)+(Q2486*0.10)+(R2486*0.10)+(S2486*0.05),2)</f>
        <v/>
      </c>
      <c r="U2486">
        <f>IF(T2486&gt;=4.25,"Critical",IF(T2486&gt;=3.5,"High",IF(T2486&gt;=2,"Medium","Low")))</f>
        <v/>
      </c>
    </row>
    <row r="2487">
      <c r="R2487">
        <f>IFERROR(XLOOKUP(XLOOKUP(D2487,tblReleaseChanges[Change_ID],tblReleaseChanges[Oracle_Severity],""),tblSeverityMap[Severity_Text],tblSeverityMap[Score],0),0)</f>
        <v/>
      </c>
      <c r="T2487">
        <f>ROUND((M2487*0.25)+(N2487*0.20)+(O2487*0.15)+(P2487*0.15)+(Q2487*0.10)+(R2487*0.10)+(S2487*0.05),2)</f>
        <v/>
      </c>
      <c r="U2487">
        <f>IF(T2487&gt;=4.25,"Critical",IF(T2487&gt;=3.5,"High",IF(T2487&gt;=2,"Medium","Low")))</f>
        <v/>
      </c>
    </row>
    <row r="2488">
      <c r="R2488">
        <f>IFERROR(XLOOKUP(XLOOKUP(D2488,tblReleaseChanges[Change_ID],tblReleaseChanges[Oracle_Severity],""),tblSeverityMap[Severity_Text],tblSeverityMap[Score],0),0)</f>
        <v/>
      </c>
      <c r="T2488">
        <f>ROUND((M2488*0.25)+(N2488*0.20)+(O2488*0.15)+(P2488*0.15)+(Q2488*0.10)+(R2488*0.10)+(S2488*0.05),2)</f>
        <v/>
      </c>
      <c r="U2488">
        <f>IF(T2488&gt;=4.25,"Critical",IF(T2488&gt;=3.5,"High",IF(T2488&gt;=2,"Medium","Low")))</f>
        <v/>
      </c>
    </row>
    <row r="2489">
      <c r="R2489">
        <f>IFERROR(XLOOKUP(XLOOKUP(D2489,tblReleaseChanges[Change_ID],tblReleaseChanges[Oracle_Severity],""),tblSeverityMap[Severity_Text],tblSeverityMap[Score],0),0)</f>
        <v/>
      </c>
      <c r="T2489">
        <f>ROUND((M2489*0.25)+(N2489*0.20)+(O2489*0.15)+(P2489*0.15)+(Q2489*0.10)+(R2489*0.10)+(S2489*0.05),2)</f>
        <v/>
      </c>
      <c r="U2489">
        <f>IF(T2489&gt;=4.25,"Critical",IF(T2489&gt;=3.5,"High",IF(T2489&gt;=2,"Medium","Low")))</f>
        <v/>
      </c>
    </row>
    <row r="2490">
      <c r="R2490">
        <f>IFERROR(XLOOKUP(XLOOKUP(D2490,tblReleaseChanges[Change_ID],tblReleaseChanges[Oracle_Severity],""),tblSeverityMap[Severity_Text],tblSeverityMap[Score],0),0)</f>
        <v/>
      </c>
      <c r="T2490">
        <f>ROUND((M2490*0.25)+(N2490*0.20)+(O2490*0.15)+(P2490*0.15)+(Q2490*0.10)+(R2490*0.10)+(S2490*0.05),2)</f>
        <v/>
      </c>
      <c r="U2490">
        <f>IF(T2490&gt;=4.25,"Critical",IF(T2490&gt;=3.5,"High",IF(T2490&gt;=2,"Medium","Low")))</f>
        <v/>
      </c>
    </row>
    <row r="2491">
      <c r="R2491">
        <f>IFERROR(XLOOKUP(XLOOKUP(D2491,tblReleaseChanges[Change_ID],tblReleaseChanges[Oracle_Severity],""),tblSeverityMap[Severity_Text],tblSeverityMap[Score],0),0)</f>
        <v/>
      </c>
      <c r="T2491">
        <f>ROUND((M2491*0.25)+(N2491*0.20)+(O2491*0.15)+(P2491*0.15)+(Q2491*0.10)+(R2491*0.10)+(S2491*0.05),2)</f>
        <v/>
      </c>
      <c r="U2491">
        <f>IF(T2491&gt;=4.25,"Critical",IF(T2491&gt;=3.5,"High",IF(T2491&gt;=2,"Medium","Low")))</f>
        <v/>
      </c>
    </row>
    <row r="2492">
      <c r="R2492">
        <f>IFERROR(XLOOKUP(XLOOKUP(D2492,tblReleaseChanges[Change_ID],tblReleaseChanges[Oracle_Severity],""),tblSeverityMap[Severity_Text],tblSeverityMap[Score],0),0)</f>
        <v/>
      </c>
      <c r="T2492">
        <f>ROUND((M2492*0.25)+(N2492*0.20)+(O2492*0.15)+(P2492*0.15)+(Q2492*0.10)+(R2492*0.10)+(S2492*0.05),2)</f>
        <v/>
      </c>
      <c r="U2492">
        <f>IF(T2492&gt;=4.25,"Critical",IF(T2492&gt;=3.5,"High",IF(T2492&gt;=2,"Medium","Low")))</f>
        <v/>
      </c>
    </row>
    <row r="2493">
      <c r="R2493">
        <f>IFERROR(XLOOKUP(XLOOKUP(D2493,tblReleaseChanges[Change_ID],tblReleaseChanges[Oracle_Severity],""),tblSeverityMap[Severity_Text],tblSeverityMap[Score],0),0)</f>
        <v/>
      </c>
      <c r="T2493">
        <f>ROUND((M2493*0.25)+(N2493*0.20)+(O2493*0.15)+(P2493*0.15)+(Q2493*0.10)+(R2493*0.10)+(S2493*0.05),2)</f>
        <v/>
      </c>
      <c r="U2493">
        <f>IF(T2493&gt;=4.25,"Critical",IF(T2493&gt;=3.5,"High",IF(T2493&gt;=2,"Medium","Low")))</f>
        <v/>
      </c>
    </row>
    <row r="2494">
      <c r="R2494">
        <f>IFERROR(XLOOKUP(XLOOKUP(D2494,tblReleaseChanges[Change_ID],tblReleaseChanges[Oracle_Severity],""),tblSeverityMap[Severity_Text],tblSeverityMap[Score],0),0)</f>
        <v/>
      </c>
      <c r="T2494">
        <f>ROUND((M2494*0.25)+(N2494*0.20)+(O2494*0.15)+(P2494*0.15)+(Q2494*0.10)+(R2494*0.10)+(S2494*0.05),2)</f>
        <v/>
      </c>
      <c r="U2494">
        <f>IF(T2494&gt;=4.25,"Critical",IF(T2494&gt;=3.5,"High",IF(T2494&gt;=2,"Medium","Low")))</f>
        <v/>
      </c>
    </row>
    <row r="2495">
      <c r="R2495">
        <f>IFERROR(XLOOKUP(XLOOKUP(D2495,tblReleaseChanges[Change_ID],tblReleaseChanges[Oracle_Severity],""),tblSeverityMap[Severity_Text],tblSeverityMap[Score],0),0)</f>
        <v/>
      </c>
      <c r="T2495">
        <f>ROUND((M2495*0.25)+(N2495*0.20)+(O2495*0.15)+(P2495*0.15)+(Q2495*0.10)+(R2495*0.10)+(S2495*0.05),2)</f>
        <v/>
      </c>
      <c r="U2495">
        <f>IF(T2495&gt;=4.25,"Critical",IF(T2495&gt;=3.5,"High",IF(T2495&gt;=2,"Medium","Low")))</f>
        <v/>
      </c>
    </row>
    <row r="2496">
      <c r="R2496">
        <f>IFERROR(XLOOKUP(XLOOKUP(D2496,tblReleaseChanges[Change_ID],tblReleaseChanges[Oracle_Severity],""),tblSeverityMap[Severity_Text],tblSeverityMap[Score],0),0)</f>
        <v/>
      </c>
      <c r="T2496">
        <f>ROUND((M2496*0.25)+(N2496*0.20)+(O2496*0.15)+(P2496*0.15)+(Q2496*0.10)+(R2496*0.10)+(S2496*0.05),2)</f>
        <v/>
      </c>
      <c r="U2496">
        <f>IF(T2496&gt;=4.25,"Critical",IF(T2496&gt;=3.5,"High",IF(T2496&gt;=2,"Medium","Low")))</f>
        <v/>
      </c>
    </row>
    <row r="2497">
      <c r="R2497">
        <f>IFERROR(XLOOKUP(XLOOKUP(D2497,tblReleaseChanges[Change_ID],tblReleaseChanges[Oracle_Severity],""),tblSeverityMap[Severity_Text],tblSeverityMap[Score],0),0)</f>
        <v/>
      </c>
      <c r="T2497">
        <f>ROUND((M2497*0.25)+(N2497*0.20)+(O2497*0.15)+(P2497*0.15)+(Q2497*0.10)+(R2497*0.10)+(S2497*0.05),2)</f>
        <v/>
      </c>
      <c r="U2497">
        <f>IF(T2497&gt;=4.25,"Critical",IF(T2497&gt;=3.5,"High",IF(T2497&gt;=2,"Medium","Low")))</f>
        <v/>
      </c>
    </row>
    <row r="2498">
      <c r="R2498">
        <f>IFERROR(XLOOKUP(XLOOKUP(D2498,tblReleaseChanges[Change_ID],tblReleaseChanges[Oracle_Severity],""),tblSeverityMap[Severity_Text],tblSeverityMap[Score],0),0)</f>
        <v/>
      </c>
      <c r="T2498">
        <f>ROUND((M2498*0.25)+(N2498*0.20)+(O2498*0.15)+(P2498*0.15)+(Q2498*0.10)+(R2498*0.10)+(S2498*0.05),2)</f>
        <v/>
      </c>
      <c r="U2498">
        <f>IF(T2498&gt;=4.25,"Critical",IF(T2498&gt;=3.5,"High",IF(T2498&gt;=2,"Medium","Low")))</f>
        <v/>
      </c>
    </row>
    <row r="2499">
      <c r="R2499">
        <f>IFERROR(XLOOKUP(XLOOKUP(D2499,tblReleaseChanges[Change_ID],tblReleaseChanges[Oracle_Severity],""),tblSeverityMap[Severity_Text],tblSeverityMap[Score],0),0)</f>
        <v/>
      </c>
      <c r="T2499">
        <f>ROUND((M2499*0.25)+(N2499*0.20)+(O2499*0.15)+(P2499*0.15)+(Q2499*0.10)+(R2499*0.10)+(S2499*0.05),2)</f>
        <v/>
      </c>
      <c r="U2499">
        <f>IF(T2499&gt;=4.25,"Critical",IF(T2499&gt;=3.5,"High",IF(T2499&gt;=2,"Medium","Low")))</f>
        <v/>
      </c>
    </row>
    <row r="2500">
      <c r="R2500">
        <f>IFERROR(XLOOKUP(XLOOKUP(D2500,tblReleaseChanges[Change_ID],tblReleaseChanges[Oracle_Severity],""),tblSeverityMap[Severity_Text],tblSeverityMap[Score],0),0)</f>
        <v/>
      </c>
      <c r="T2500">
        <f>ROUND((M2500*0.25)+(N2500*0.20)+(O2500*0.15)+(P2500*0.15)+(Q2500*0.10)+(R2500*0.10)+(S2500*0.05),2)</f>
        <v/>
      </c>
      <c r="U2500">
        <f>IF(T2500&gt;=4.25,"Critical",IF(T2500&gt;=3.5,"High",IF(T2500&gt;=2,"Medium","Low")))</f>
        <v/>
      </c>
    </row>
    <row r="2501">
      <c r="R2501">
        <f>IFERROR(XLOOKUP(XLOOKUP(D2501,tblReleaseChanges[Change_ID],tblReleaseChanges[Oracle_Severity],""),tblSeverityMap[Severity_Text],tblSeverityMap[Score],0),0)</f>
        <v/>
      </c>
      <c r="T2501">
        <f>ROUND((M2501*0.25)+(N2501*0.20)+(O2501*0.15)+(P2501*0.15)+(Q2501*0.10)+(R2501*0.10)+(S2501*0.05),2)</f>
        <v/>
      </c>
      <c r="U2501">
        <f>IF(T2501&gt;=4.25,"Critical",IF(T2501&gt;=3.5,"High",IF(T2501&gt;=2,"Medium","Low")))</f>
        <v/>
      </c>
    </row>
    <row r="2502">
      <c r="R2502">
        <f>IFERROR(XLOOKUP(XLOOKUP(D2502,tblReleaseChanges[Change_ID],tblReleaseChanges[Oracle_Severity],""),tblSeverityMap[Severity_Text],tblSeverityMap[Score],0),0)</f>
        <v/>
      </c>
      <c r="T2502">
        <f>ROUND((M2502*0.25)+(N2502*0.20)+(O2502*0.15)+(P2502*0.15)+(Q2502*0.10)+(R2502*0.10)+(S2502*0.05),2)</f>
        <v/>
      </c>
      <c r="U2502">
        <f>IF(T2502&gt;=4.25,"Critical",IF(T2502&gt;=3.5,"High",IF(T2502&gt;=2,"Medium","Low")))</f>
        <v/>
      </c>
    </row>
    <row r="2503">
      <c r="R2503">
        <f>IFERROR(XLOOKUP(XLOOKUP(D2503,tblReleaseChanges[Change_ID],tblReleaseChanges[Oracle_Severity],""),tblSeverityMap[Severity_Text],tblSeverityMap[Score],0),0)</f>
        <v/>
      </c>
      <c r="T2503">
        <f>ROUND((M2503*0.25)+(N2503*0.20)+(O2503*0.15)+(P2503*0.15)+(Q2503*0.10)+(R2503*0.10)+(S2503*0.05),2)</f>
        <v/>
      </c>
      <c r="U2503">
        <f>IF(T2503&gt;=4.25,"Critical",IF(T2503&gt;=3.5,"High",IF(T2503&gt;=2,"Medium","Low")))</f>
        <v/>
      </c>
    </row>
    <row r="2504">
      <c r="R2504">
        <f>IFERROR(XLOOKUP(XLOOKUP(D2504,tblReleaseChanges[Change_ID],tblReleaseChanges[Oracle_Severity],""),tblSeverityMap[Severity_Text],tblSeverityMap[Score],0),0)</f>
        <v/>
      </c>
      <c r="T2504">
        <f>ROUND((M2504*0.25)+(N2504*0.20)+(O2504*0.15)+(P2504*0.15)+(Q2504*0.10)+(R2504*0.10)+(S2504*0.05),2)</f>
        <v/>
      </c>
      <c r="U2504">
        <f>IF(T2504&gt;=4.25,"Critical",IF(T2504&gt;=3.5,"High",IF(T2504&gt;=2,"Medium","Low")))</f>
        <v/>
      </c>
    </row>
    <row r="2505">
      <c r="R2505">
        <f>IFERROR(XLOOKUP(XLOOKUP(D2505,tblReleaseChanges[Change_ID],tblReleaseChanges[Oracle_Severity],""),tblSeverityMap[Severity_Text],tblSeverityMap[Score],0),0)</f>
        <v/>
      </c>
      <c r="T2505">
        <f>ROUND((M2505*0.25)+(N2505*0.20)+(O2505*0.15)+(P2505*0.15)+(Q2505*0.10)+(R2505*0.10)+(S2505*0.05),2)</f>
        <v/>
      </c>
      <c r="U2505">
        <f>IF(T2505&gt;=4.25,"Critical",IF(T2505&gt;=3.5,"High",IF(T2505&gt;=2,"Medium","Low")))</f>
        <v/>
      </c>
    </row>
    <row r="2506">
      <c r="R2506">
        <f>IFERROR(XLOOKUP(XLOOKUP(D2506,tblReleaseChanges[Change_ID],tblReleaseChanges[Oracle_Severity],""),tblSeverityMap[Severity_Text],tblSeverityMap[Score],0),0)</f>
        <v/>
      </c>
      <c r="T2506">
        <f>ROUND((M2506*0.25)+(N2506*0.20)+(O2506*0.15)+(P2506*0.15)+(Q2506*0.10)+(R2506*0.10)+(S2506*0.05),2)</f>
        <v/>
      </c>
      <c r="U2506">
        <f>IF(T2506&gt;=4.25,"Critical",IF(T2506&gt;=3.5,"High",IF(T2506&gt;=2,"Medium","Low")))</f>
        <v/>
      </c>
    </row>
    <row r="2507">
      <c r="R2507">
        <f>IFERROR(XLOOKUP(XLOOKUP(D2507,tblReleaseChanges[Change_ID],tblReleaseChanges[Oracle_Severity],""),tblSeverityMap[Severity_Text],tblSeverityMap[Score],0),0)</f>
        <v/>
      </c>
      <c r="T2507">
        <f>ROUND((M2507*0.25)+(N2507*0.20)+(O2507*0.15)+(P2507*0.15)+(Q2507*0.10)+(R2507*0.10)+(S2507*0.05),2)</f>
        <v/>
      </c>
      <c r="U2507">
        <f>IF(T2507&gt;=4.25,"Critical",IF(T2507&gt;=3.5,"High",IF(T2507&gt;=2,"Medium","Low")))</f>
        <v/>
      </c>
    </row>
    <row r="2508">
      <c r="R2508">
        <f>IFERROR(XLOOKUP(XLOOKUP(D2508,tblReleaseChanges[Change_ID],tblReleaseChanges[Oracle_Severity],""),tblSeverityMap[Severity_Text],tblSeverityMap[Score],0),0)</f>
        <v/>
      </c>
      <c r="T2508">
        <f>ROUND((M2508*0.25)+(N2508*0.20)+(O2508*0.15)+(P2508*0.15)+(Q2508*0.10)+(R2508*0.10)+(S2508*0.05),2)</f>
        <v/>
      </c>
      <c r="U2508">
        <f>IF(T2508&gt;=4.25,"Critical",IF(T2508&gt;=3.5,"High",IF(T2508&gt;=2,"Medium","Low")))</f>
        <v/>
      </c>
    </row>
    <row r="2509">
      <c r="R2509">
        <f>IFERROR(XLOOKUP(XLOOKUP(D2509,tblReleaseChanges[Change_ID],tblReleaseChanges[Oracle_Severity],""),tblSeverityMap[Severity_Text],tblSeverityMap[Score],0),0)</f>
        <v/>
      </c>
      <c r="T2509">
        <f>ROUND((M2509*0.25)+(N2509*0.20)+(O2509*0.15)+(P2509*0.15)+(Q2509*0.10)+(R2509*0.10)+(S2509*0.05),2)</f>
        <v/>
      </c>
      <c r="U2509">
        <f>IF(T2509&gt;=4.25,"Critical",IF(T2509&gt;=3.5,"High",IF(T2509&gt;=2,"Medium","Low")))</f>
        <v/>
      </c>
    </row>
    <row r="2510">
      <c r="R2510">
        <f>IFERROR(XLOOKUP(XLOOKUP(D2510,tblReleaseChanges[Change_ID],tblReleaseChanges[Oracle_Severity],""),tblSeverityMap[Severity_Text],tblSeverityMap[Score],0),0)</f>
        <v/>
      </c>
      <c r="T2510">
        <f>ROUND((M2510*0.25)+(N2510*0.20)+(O2510*0.15)+(P2510*0.15)+(Q2510*0.10)+(R2510*0.10)+(S2510*0.05),2)</f>
        <v/>
      </c>
      <c r="U2510">
        <f>IF(T2510&gt;=4.25,"Critical",IF(T2510&gt;=3.5,"High",IF(T2510&gt;=2,"Medium","Low")))</f>
        <v/>
      </c>
    </row>
    <row r="2511">
      <c r="R2511">
        <f>IFERROR(XLOOKUP(XLOOKUP(D2511,tblReleaseChanges[Change_ID],tblReleaseChanges[Oracle_Severity],""),tblSeverityMap[Severity_Text],tblSeverityMap[Score],0),0)</f>
        <v/>
      </c>
      <c r="T2511">
        <f>ROUND((M2511*0.25)+(N2511*0.20)+(O2511*0.15)+(P2511*0.15)+(Q2511*0.10)+(R2511*0.10)+(S2511*0.05),2)</f>
        <v/>
      </c>
      <c r="U2511">
        <f>IF(T2511&gt;=4.25,"Critical",IF(T2511&gt;=3.5,"High",IF(T2511&gt;=2,"Medium","Low")))</f>
        <v/>
      </c>
    </row>
    <row r="2512">
      <c r="R2512">
        <f>IFERROR(XLOOKUP(XLOOKUP(D2512,tblReleaseChanges[Change_ID],tblReleaseChanges[Oracle_Severity],""),tblSeverityMap[Severity_Text],tblSeverityMap[Score],0),0)</f>
        <v/>
      </c>
      <c r="T2512">
        <f>ROUND((M2512*0.25)+(N2512*0.20)+(O2512*0.15)+(P2512*0.15)+(Q2512*0.10)+(R2512*0.10)+(S2512*0.05),2)</f>
        <v/>
      </c>
      <c r="U2512">
        <f>IF(T2512&gt;=4.25,"Critical",IF(T2512&gt;=3.5,"High",IF(T2512&gt;=2,"Medium","Low")))</f>
        <v/>
      </c>
    </row>
    <row r="2513">
      <c r="R2513">
        <f>IFERROR(XLOOKUP(XLOOKUP(D2513,tblReleaseChanges[Change_ID],tblReleaseChanges[Oracle_Severity],""),tblSeverityMap[Severity_Text],tblSeverityMap[Score],0),0)</f>
        <v/>
      </c>
      <c r="T2513">
        <f>ROUND((M2513*0.25)+(N2513*0.20)+(O2513*0.15)+(P2513*0.15)+(Q2513*0.10)+(R2513*0.10)+(S2513*0.05),2)</f>
        <v/>
      </c>
      <c r="U2513">
        <f>IF(T2513&gt;=4.25,"Critical",IF(T2513&gt;=3.5,"High",IF(T2513&gt;=2,"Medium","Low")))</f>
        <v/>
      </c>
    </row>
    <row r="2514">
      <c r="R2514">
        <f>IFERROR(XLOOKUP(XLOOKUP(D2514,tblReleaseChanges[Change_ID],tblReleaseChanges[Oracle_Severity],""),tblSeverityMap[Severity_Text],tblSeverityMap[Score],0),0)</f>
        <v/>
      </c>
      <c r="T2514">
        <f>ROUND((M2514*0.25)+(N2514*0.20)+(O2514*0.15)+(P2514*0.15)+(Q2514*0.10)+(R2514*0.10)+(S2514*0.05),2)</f>
        <v/>
      </c>
      <c r="U2514">
        <f>IF(T2514&gt;=4.25,"Critical",IF(T2514&gt;=3.5,"High",IF(T2514&gt;=2,"Medium","Low")))</f>
        <v/>
      </c>
    </row>
    <row r="2515">
      <c r="R2515">
        <f>IFERROR(XLOOKUP(XLOOKUP(D2515,tblReleaseChanges[Change_ID],tblReleaseChanges[Oracle_Severity],""),tblSeverityMap[Severity_Text],tblSeverityMap[Score],0),0)</f>
        <v/>
      </c>
      <c r="T2515">
        <f>ROUND((M2515*0.25)+(N2515*0.20)+(O2515*0.15)+(P2515*0.15)+(Q2515*0.10)+(R2515*0.10)+(S2515*0.05),2)</f>
        <v/>
      </c>
      <c r="U2515">
        <f>IF(T2515&gt;=4.25,"Critical",IF(T2515&gt;=3.5,"High",IF(T2515&gt;=2,"Medium","Low")))</f>
        <v/>
      </c>
    </row>
    <row r="2516">
      <c r="R2516">
        <f>IFERROR(XLOOKUP(XLOOKUP(D2516,tblReleaseChanges[Change_ID],tblReleaseChanges[Oracle_Severity],""),tblSeverityMap[Severity_Text],tblSeverityMap[Score],0),0)</f>
        <v/>
      </c>
      <c r="T2516">
        <f>ROUND((M2516*0.25)+(N2516*0.20)+(O2516*0.15)+(P2516*0.15)+(Q2516*0.10)+(R2516*0.10)+(S2516*0.05),2)</f>
        <v/>
      </c>
      <c r="U2516">
        <f>IF(T2516&gt;=4.25,"Critical",IF(T2516&gt;=3.5,"High",IF(T2516&gt;=2,"Medium","Low")))</f>
        <v/>
      </c>
    </row>
    <row r="2517">
      <c r="R2517">
        <f>IFERROR(XLOOKUP(XLOOKUP(D2517,tblReleaseChanges[Change_ID],tblReleaseChanges[Oracle_Severity],""),tblSeverityMap[Severity_Text],tblSeverityMap[Score],0),0)</f>
        <v/>
      </c>
      <c r="T2517">
        <f>ROUND((M2517*0.25)+(N2517*0.20)+(O2517*0.15)+(P2517*0.15)+(Q2517*0.10)+(R2517*0.10)+(S2517*0.05),2)</f>
        <v/>
      </c>
      <c r="U2517">
        <f>IF(T2517&gt;=4.25,"Critical",IF(T2517&gt;=3.5,"High",IF(T2517&gt;=2,"Medium","Low")))</f>
        <v/>
      </c>
    </row>
    <row r="2518">
      <c r="R2518">
        <f>IFERROR(XLOOKUP(XLOOKUP(D2518,tblReleaseChanges[Change_ID],tblReleaseChanges[Oracle_Severity],""),tblSeverityMap[Severity_Text],tblSeverityMap[Score],0),0)</f>
        <v/>
      </c>
      <c r="T2518">
        <f>ROUND((M2518*0.25)+(N2518*0.20)+(O2518*0.15)+(P2518*0.15)+(Q2518*0.10)+(R2518*0.10)+(S2518*0.05),2)</f>
        <v/>
      </c>
      <c r="U2518">
        <f>IF(T2518&gt;=4.25,"Critical",IF(T2518&gt;=3.5,"High",IF(T2518&gt;=2,"Medium","Low")))</f>
        <v/>
      </c>
    </row>
    <row r="2519">
      <c r="R2519">
        <f>IFERROR(XLOOKUP(XLOOKUP(D2519,tblReleaseChanges[Change_ID],tblReleaseChanges[Oracle_Severity],""),tblSeverityMap[Severity_Text],tblSeverityMap[Score],0),0)</f>
        <v/>
      </c>
      <c r="T2519">
        <f>ROUND((M2519*0.25)+(N2519*0.20)+(O2519*0.15)+(P2519*0.15)+(Q2519*0.10)+(R2519*0.10)+(S2519*0.05),2)</f>
        <v/>
      </c>
      <c r="U2519">
        <f>IF(T2519&gt;=4.25,"Critical",IF(T2519&gt;=3.5,"High",IF(T2519&gt;=2,"Medium","Low")))</f>
        <v/>
      </c>
    </row>
    <row r="2520">
      <c r="R2520">
        <f>IFERROR(XLOOKUP(XLOOKUP(D2520,tblReleaseChanges[Change_ID],tblReleaseChanges[Oracle_Severity],""),tblSeverityMap[Severity_Text],tblSeverityMap[Score],0),0)</f>
        <v/>
      </c>
      <c r="T2520">
        <f>ROUND((M2520*0.25)+(N2520*0.20)+(O2520*0.15)+(P2520*0.15)+(Q2520*0.10)+(R2520*0.10)+(S2520*0.05),2)</f>
        <v/>
      </c>
      <c r="U2520">
        <f>IF(T2520&gt;=4.25,"Critical",IF(T2520&gt;=3.5,"High",IF(T2520&gt;=2,"Medium","Low")))</f>
        <v/>
      </c>
    </row>
    <row r="2521">
      <c r="R2521">
        <f>IFERROR(XLOOKUP(XLOOKUP(D2521,tblReleaseChanges[Change_ID],tblReleaseChanges[Oracle_Severity],""),tblSeverityMap[Severity_Text],tblSeverityMap[Score],0),0)</f>
        <v/>
      </c>
      <c r="T2521">
        <f>ROUND((M2521*0.25)+(N2521*0.20)+(O2521*0.15)+(P2521*0.15)+(Q2521*0.10)+(R2521*0.10)+(S2521*0.05),2)</f>
        <v/>
      </c>
      <c r="U2521">
        <f>IF(T2521&gt;=4.25,"Critical",IF(T2521&gt;=3.5,"High",IF(T2521&gt;=2,"Medium","Low")))</f>
        <v/>
      </c>
    </row>
    <row r="2522">
      <c r="R2522">
        <f>IFERROR(XLOOKUP(XLOOKUP(D2522,tblReleaseChanges[Change_ID],tblReleaseChanges[Oracle_Severity],""),tblSeverityMap[Severity_Text],tblSeverityMap[Score],0),0)</f>
        <v/>
      </c>
      <c r="T2522">
        <f>ROUND((M2522*0.25)+(N2522*0.20)+(O2522*0.15)+(P2522*0.15)+(Q2522*0.10)+(R2522*0.10)+(S2522*0.05),2)</f>
        <v/>
      </c>
      <c r="U2522">
        <f>IF(T2522&gt;=4.25,"Critical",IF(T2522&gt;=3.5,"High",IF(T2522&gt;=2,"Medium","Low")))</f>
        <v/>
      </c>
    </row>
    <row r="2523">
      <c r="R2523">
        <f>IFERROR(XLOOKUP(XLOOKUP(D2523,tblReleaseChanges[Change_ID],tblReleaseChanges[Oracle_Severity],""),tblSeverityMap[Severity_Text],tblSeverityMap[Score],0),0)</f>
        <v/>
      </c>
      <c r="T2523">
        <f>ROUND((M2523*0.25)+(N2523*0.20)+(O2523*0.15)+(P2523*0.15)+(Q2523*0.10)+(R2523*0.10)+(S2523*0.05),2)</f>
        <v/>
      </c>
      <c r="U2523">
        <f>IF(T2523&gt;=4.25,"Critical",IF(T2523&gt;=3.5,"High",IF(T2523&gt;=2,"Medium","Low")))</f>
        <v/>
      </c>
    </row>
    <row r="2524">
      <c r="R2524">
        <f>IFERROR(XLOOKUP(XLOOKUP(D2524,tblReleaseChanges[Change_ID],tblReleaseChanges[Oracle_Severity],""),tblSeverityMap[Severity_Text],tblSeverityMap[Score],0),0)</f>
        <v/>
      </c>
      <c r="T2524">
        <f>ROUND((M2524*0.25)+(N2524*0.20)+(O2524*0.15)+(P2524*0.15)+(Q2524*0.10)+(R2524*0.10)+(S2524*0.05),2)</f>
        <v/>
      </c>
      <c r="U2524">
        <f>IF(T2524&gt;=4.25,"Critical",IF(T2524&gt;=3.5,"High",IF(T2524&gt;=2,"Medium","Low")))</f>
        <v/>
      </c>
    </row>
    <row r="2525">
      <c r="R2525">
        <f>IFERROR(XLOOKUP(XLOOKUP(D2525,tblReleaseChanges[Change_ID],tblReleaseChanges[Oracle_Severity],""),tblSeverityMap[Severity_Text],tblSeverityMap[Score],0),0)</f>
        <v/>
      </c>
      <c r="T2525">
        <f>ROUND((M2525*0.25)+(N2525*0.20)+(O2525*0.15)+(P2525*0.15)+(Q2525*0.10)+(R2525*0.10)+(S2525*0.05),2)</f>
        <v/>
      </c>
      <c r="U2525">
        <f>IF(T2525&gt;=4.25,"Critical",IF(T2525&gt;=3.5,"High",IF(T2525&gt;=2,"Medium","Low")))</f>
        <v/>
      </c>
    </row>
    <row r="2526">
      <c r="R2526">
        <f>IFERROR(XLOOKUP(XLOOKUP(D2526,tblReleaseChanges[Change_ID],tblReleaseChanges[Oracle_Severity],""),tblSeverityMap[Severity_Text],tblSeverityMap[Score],0),0)</f>
        <v/>
      </c>
      <c r="T2526">
        <f>ROUND((M2526*0.25)+(N2526*0.20)+(O2526*0.15)+(P2526*0.15)+(Q2526*0.10)+(R2526*0.10)+(S2526*0.05),2)</f>
        <v/>
      </c>
      <c r="U2526">
        <f>IF(T2526&gt;=4.25,"Critical",IF(T2526&gt;=3.5,"High",IF(T2526&gt;=2,"Medium","Low")))</f>
        <v/>
      </c>
    </row>
    <row r="2527">
      <c r="R2527">
        <f>IFERROR(XLOOKUP(XLOOKUP(D2527,tblReleaseChanges[Change_ID],tblReleaseChanges[Oracle_Severity],""),tblSeverityMap[Severity_Text],tblSeverityMap[Score],0),0)</f>
        <v/>
      </c>
      <c r="T2527">
        <f>ROUND((M2527*0.25)+(N2527*0.20)+(O2527*0.15)+(P2527*0.15)+(Q2527*0.10)+(R2527*0.10)+(S2527*0.05),2)</f>
        <v/>
      </c>
      <c r="U2527">
        <f>IF(T2527&gt;=4.25,"Critical",IF(T2527&gt;=3.5,"High",IF(T2527&gt;=2,"Medium","Low")))</f>
        <v/>
      </c>
    </row>
    <row r="2528">
      <c r="R2528">
        <f>IFERROR(XLOOKUP(XLOOKUP(D2528,tblReleaseChanges[Change_ID],tblReleaseChanges[Oracle_Severity],""),tblSeverityMap[Severity_Text],tblSeverityMap[Score],0),0)</f>
        <v/>
      </c>
      <c r="T2528">
        <f>ROUND((M2528*0.25)+(N2528*0.20)+(O2528*0.15)+(P2528*0.15)+(Q2528*0.10)+(R2528*0.10)+(S2528*0.05),2)</f>
        <v/>
      </c>
      <c r="U2528">
        <f>IF(T2528&gt;=4.25,"Critical",IF(T2528&gt;=3.5,"High",IF(T2528&gt;=2,"Medium","Low")))</f>
        <v/>
      </c>
    </row>
    <row r="2529">
      <c r="R2529">
        <f>IFERROR(XLOOKUP(XLOOKUP(D2529,tblReleaseChanges[Change_ID],tblReleaseChanges[Oracle_Severity],""),tblSeverityMap[Severity_Text],tblSeverityMap[Score],0),0)</f>
        <v/>
      </c>
      <c r="T2529">
        <f>ROUND((M2529*0.25)+(N2529*0.20)+(O2529*0.15)+(P2529*0.15)+(Q2529*0.10)+(R2529*0.10)+(S2529*0.05),2)</f>
        <v/>
      </c>
      <c r="U2529">
        <f>IF(T2529&gt;=4.25,"Critical",IF(T2529&gt;=3.5,"High",IF(T2529&gt;=2,"Medium","Low")))</f>
        <v/>
      </c>
    </row>
    <row r="2530">
      <c r="R2530">
        <f>IFERROR(XLOOKUP(XLOOKUP(D2530,tblReleaseChanges[Change_ID],tblReleaseChanges[Oracle_Severity],""),tblSeverityMap[Severity_Text],tblSeverityMap[Score],0),0)</f>
        <v/>
      </c>
      <c r="T2530">
        <f>ROUND((M2530*0.25)+(N2530*0.20)+(O2530*0.15)+(P2530*0.15)+(Q2530*0.10)+(R2530*0.10)+(S2530*0.05),2)</f>
        <v/>
      </c>
      <c r="U2530">
        <f>IF(T2530&gt;=4.25,"Critical",IF(T2530&gt;=3.5,"High",IF(T2530&gt;=2,"Medium","Low")))</f>
        <v/>
      </c>
    </row>
    <row r="2531">
      <c r="R2531">
        <f>IFERROR(XLOOKUP(XLOOKUP(D2531,tblReleaseChanges[Change_ID],tblReleaseChanges[Oracle_Severity],""),tblSeverityMap[Severity_Text],tblSeverityMap[Score],0),0)</f>
        <v/>
      </c>
      <c r="T2531">
        <f>ROUND((M2531*0.25)+(N2531*0.20)+(O2531*0.15)+(P2531*0.15)+(Q2531*0.10)+(R2531*0.10)+(S2531*0.05),2)</f>
        <v/>
      </c>
      <c r="U2531">
        <f>IF(T2531&gt;=4.25,"Critical",IF(T2531&gt;=3.5,"High",IF(T2531&gt;=2,"Medium","Low")))</f>
        <v/>
      </c>
    </row>
    <row r="2532">
      <c r="R2532">
        <f>IFERROR(XLOOKUP(XLOOKUP(D2532,tblReleaseChanges[Change_ID],tblReleaseChanges[Oracle_Severity],""),tblSeverityMap[Severity_Text],tblSeverityMap[Score],0),0)</f>
        <v/>
      </c>
      <c r="T2532">
        <f>ROUND((M2532*0.25)+(N2532*0.20)+(O2532*0.15)+(P2532*0.15)+(Q2532*0.10)+(R2532*0.10)+(S2532*0.05),2)</f>
        <v/>
      </c>
      <c r="U2532">
        <f>IF(T2532&gt;=4.25,"Critical",IF(T2532&gt;=3.5,"High",IF(T2532&gt;=2,"Medium","Low")))</f>
        <v/>
      </c>
    </row>
    <row r="2533">
      <c r="R2533">
        <f>IFERROR(XLOOKUP(XLOOKUP(D2533,tblReleaseChanges[Change_ID],tblReleaseChanges[Oracle_Severity],""),tblSeverityMap[Severity_Text],tblSeverityMap[Score],0),0)</f>
        <v/>
      </c>
      <c r="T2533">
        <f>ROUND((M2533*0.25)+(N2533*0.20)+(O2533*0.15)+(P2533*0.15)+(Q2533*0.10)+(R2533*0.10)+(S2533*0.05),2)</f>
        <v/>
      </c>
      <c r="U2533">
        <f>IF(T2533&gt;=4.25,"Critical",IF(T2533&gt;=3.5,"High",IF(T2533&gt;=2,"Medium","Low")))</f>
        <v/>
      </c>
    </row>
    <row r="2534">
      <c r="R2534">
        <f>IFERROR(XLOOKUP(XLOOKUP(D2534,tblReleaseChanges[Change_ID],tblReleaseChanges[Oracle_Severity],""),tblSeverityMap[Severity_Text],tblSeverityMap[Score],0),0)</f>
        <v/>
      </c>
      <c r="T2534">
        <f>ROUND((M2534*0.25)+(N2534*0.20)+(O2534*0.15)+(P2534*0.15)+(Q2534*0.10)+(R2534*0.10)+(S2534*0.05),2)</f>
        <v/>
      </c>
      <c r="U2534">
        <f>IF(T2534&gt;=4.25,"Critical",IF(T2534&gt;=3.5,"High",IF(T2534&gt;=2,"Medium","Low")))</f>
        <v/>
      </c>
    </row>
    <row r="2535">
      <c r="R2535">
        <f>IFERROR(XLOOKUP(XLOOKUP(D2535,tblReleaseChanges[Change_ID],tblReleaseChanges[Oracle_Severity],""),tblSeverityMap[Severity_Text],tblSeverityMap[Score],0),0)</f>
        <v/>
      </c>
      <c r="T2535">
        <f>ROUND((M2535*0.25)+(N2535*0.20)+(O2535*0.15)+(P2535*0.15)+(Q2535*0.10)+(R2535*0.10)+(S2535*0.05),2)</f>
        <v/>
      </c>
      <c r="U2535">
        <f>IF(T2535&gt;=4.25,"Critical",IF(T2535&gt;=3.5,"High",IF(T2535&gt;=2,"Medium","Low")))</f>
        <v/>
      </c>
    </row>
    <row r="2536">
      <c r="R2536">
        <f>IFERROR(XLOOKUP(XLOOKUP(D2536,tblReleaseChanges[Change_ID],tblReleaseChanges[Oracle_Severity],""),tblSeverityMap[Severity_Text],tblSeverityMap[Score],0),0)</f>
        <v/>
      </c>
      <c r="T2536">
        <f>ROUND((M2536*0.25)+(N2536*0.20)+(O2536*0.15)+(P2536*0.15)+(Q2536*0.10)+(R2536*0.10)+(S2536*0.05),2)</f>
        <v/>
      </c>
      <c r="U2536">
        <f>IF(T2536&gt;=4.25,"Critical",IF(T2536&gt;=3.5,"High",IF(T2536&gt;=2,"Medium","Low")))</f>
        <v/>
      </c>
    </row>
    <row r="2537">
      <c r="R2537">
        <f>IFERROR(XLOOKUP(XLOOKUP(D2537,tblReleaseChanges[Change_ID],tblReleaseChanges[Oracle_Severity],""),tblSeverityMap[Severity_Text],tblSeverityMap[Score],0),0)</f>
        <v/>
      </c>
      <c r="T2537">
        <f>ROUND((M2537*0.25)+(N2537*0.20)+(O2537*0.15)+(P2537*0.15)+(Q2537*0.10)+(R2537*0.10)+(S2537*0.05),2)</f>
        <v/>
      </c>
      <c r="U2537">
        <f>IF(T2537&gt;=4.25,"Critical",IF(T2537&gt;=3.5,"High",IF(T2537&gt;=2,"Medium","Low")))</f>
        <v/>
      </c>
    </row>
    <row r="2538">
      <c r="R2538">
        <f>IFERROR(XLOOKUP(XLOOKUP(D2538,tblReleaseChanges[Change_ID],tblReleaseChanges[Oracle_Severity],""),tblSeverityMap[Severity_Text],tblSeverityMap[Score],0),0)</f>
        <v/>
      </c>
      <c r="T2538">
        <f>ROUND((M2538*0.25)+(N2538*0.20)+(O2538*0.15)+(P2538*0.15)+(Q2538*0.10)+(R2538*0.10)+(S2538*0.05),2)</f>
        <v/>
      </c>
      <c r="U2538">
        <f>IF(T2538&gt;=4.25,"Critical",IF(T2538&gt;=3.5,"High",IF(T2538&gt;=2,"Medium","Low")))</f>
        <v/>
      </c>
    </row>
    <row r="2539">
      <c r="R2539">
        <f>IFERROR(XLOOKUP(XLOOKUP(D2539,tblReleaseChanges[Change_ID],tblReleaseChanges[Oracle_Severity],""),tblSeverityMap[Severity_Text],tblSeverityMap[Score],0),0)</f>
        <v/>
      </c>
      <c r="T2539">
        <f>ROUND((M2539*0.25)+(N2539*0.20)+(O2539*0.15)+(P2539*0.15)+(Q2539*0.10)+(R2539*0.10)+(S2539*0.05),2)</f>
        <v/>
      </c>
      <c r="U2539">
        <f>IF(T2539&gt;=4.25,"Critical",IF(T2539&gt;=3.5,"High",IF(T2539&gt;=2,"Medium","Low")))</f>
        <v/>
      </c>
    </row>
    <row r="2540">
      <c r="R2540">
        <f>IFERROR(XLOOKUP(XLOOKUP(D2540,tblReleaseChanges[Change_ID],tblReleaseChanges[Oracle_Severity],""),tblSeverityMap[Severity_Text],tblSeverityMap[Score],0),0)</f>
        <v/>
      </c>
      <c r="T2540">
        <f>ROUND((M2540*0.25)+(N2540*0.20)+(O2540*0.15)+(P2540*0.15)+(Q2540*0.10)+(R2540*0.10)+(S2540*0.05),2)</f>
        <v/>
      </c>
      <c r="U2540">
        <f>IF(T2540&gt;=4.25,"Critical",IF(T2540&gt;=3.5,"High",IF(T2540&gt;=2,"Medium","Low")))</f>
        <v/>
      </c>
    </row>
    <row r="2541">
      <c r="R2541">
        <f>IFERROR(XLOOKUP(XLOOKUP(D2541,tblReleaseChanges[Change_ID],tblReleaseChanges[Oracle_Severity],""),tblSeverityMap[Severity_Text],tblSeverityMap[Score],0),0)</f>
        <v/>
      </c>
      <c r="T2541">
        <f>ROUND((M2541*0.25)+(N2541*0.20)+(O2541*0.15)+(P2541*0.15)+(Q2541*0.10)+(R2541*0.10)+(S2541*0.05),2)</f>
        <v/>
      </c>
      <c r="U2541">
        <f>IF(T2541&gt;=4.25,"Critical",IF(T2541&gt;=3.5,"High",IF(T2541&gt;=2,"Medium","Low")))</f>
        <v/>
      </c>
    </row>
    <row r="2542">
      <c r="R2542">
        <f>IFERROR(XLOOKUP(XLOOKUP(D2542,tblReleaseChanges[Change_ID],tblReleaseChanges[Oracle_Severity],""),tblSeverityMap[Severity_Text],tblSeverityMap[Score],0),0)</f>
        <v/>
      </c>
      <c r="T2542">
        <f>ROUND((M2542*0.25)+(N2542*0.20)+(O2542*0.15)+(P2542*0.15)+(Q2542*0.10)+(R2542*0.10)+(S2542*0.05),2)</f>
        <v/>
      </c>
      <c r="U2542">
        <f>IF(T2542&gt;=4.25,"Critical",IF(T2542&gt;=3.5,"High",IF(T2542&gt;=2,"Medium","Low")))</f>
        <v/>
      </c>
    </row>
    <row r="2543">
      <c r="R2543">
        <f>IFERROR(XLOOKUP(XLOOKUP(D2543,tblReleaseChanges[Change_ID],tblReleaseChanges[Oracle_Severity],""),tblSeverityMap[Severity_Text],tblSeverityMap[Score],0),0)</f>
        <v/>
      </c>
      <c r="T2543">
        <f>ROUND((M2543*0.25)+(N2543*0.20)+(O2543*0.15)+(P2543*0.15)+(Q2543*0.10)+(R2543*0.10)+(S2543*0.05),2)</f>
        <v/>
      </c>
      <c r="U2543">
        <f>IF(T2543&gt;=4.25,"Critical",IF(T2543&gt;=3.5,"High",IF(T2543&gt;=2,"Medium","Low")))</f>
        <v/>
      </c>
    </row>
    <row r="2544">
      <c r="R2544">
        <f>IFERROR(XLOOKUP(XLOOKUP(D2544,tblReleaseChanges[Change_ID],tblReleaseChanges[Oracle_Severity],""),tblSeverityMap[Severity_Text],tblSeverityMap[Score],0),0)</f>
        <v/>
      </c>
      <c r="T2544">
        <f>ROUND((M2544*0.25)+(N2544*0.20)+(O2544*0.15)+(P2544*0.15)+(Q2544*0.10)+(R2544*0.10)+(S2544*0.05),2)</f>
        <v/>
      </c>
      <c r="U2544">
        <f>IF(T2544&gt;=4.25,"Critical",IF(T2544&gt;=3.5,"High",IF(T2544&gt;=2,"Medium","Low")))</f>
        <v/>
      </c>
    </row>
    <row r="2545">
      <c r="R2545">
        <f>IFERROR(XLOOKUP(XLOOKUP(D2545,tblReleaseChanges[Change_ID],tblReleaseChanges[Oracle_Severity],""),tblSeverityMap[Severity_Text],tblSeverityMap[Score],0),0)</f>
        <v/>
      </c>
      <c r="T2545">
        <f>ROUND((M2545*0.25)+(N2545*0.20)+(O2545*0.15)+(P2545*0.15)+(Q2545*0.10)+(R2545*0.10)+(S2545*0.05),2)</f>
        <v/>
      </c>
      <c r="U2545">
        <f>IF(T2545&gt;=4.25,"Critical",IF(T2545&gt;=3.5,"High",IF(T2545&gt;=2,"Medium","Low")))</f>
        <v/>
      </c>
    </row>
    <row r="2546">
      <c r="R2546">
        <f>IFERROR(XLOOKUP(XLOOKUP(D2546,tblReleaseChanges[Change_ID],tblReleaseChanges[Oracle_Severity],""),tblSeverityMap[Severity_Text],tblSeverityMap[Score],0),0)</f>
        <v/>
      </c>
      <c r="T2546">
        <f>ROUND((M2546*0.25)+(N2546*0.20)+(O2546*0.15)+(P2546*0.15)+(Q2546*0.10)+(R2546*0.10)+(S2546*0.05),2)</f>
        <v/>
      </c>
      <c r="U2546">
        <f>IF(T2546&gt;=4.25,"Critical",IF(T2546&gt;=3.5,"High",IF(T2546&gt;=2,"Medium","Low")))</f>
        <v/>
      </c>
    </row>
    <row r="2547">
      <c r="R2547">
        <f>IFERROR(XLOOKUP(XLOOKUP(D2547,tblReleaseChanges[Change_ID],tblReleaseChanges[Oracle_Severity],""),tblSeverityMap[Severity_Text],tblSeverityMap[Score],0),0)</f>
        <v/>
      </c>
      <c r="T2547">
        <f>ROUND((M2547*0.25)+(N2547*0.20)+(O2547*0.15)+(P2547*0.15)+(Q2547*0.10)+(R2547*0.10)+(S2547*0.05),2)</f>
        <v/>
      </c>
      <c r="U2547">
        <f>IF(T2547&gt;=4.25,"Critical",IF(T2547&gt;=3.5,"High",IF(T2547&gt;=2,"Medium","Low")))</f>
        <v/>
      </c>
    </row>
    <row r="2548">
      <c r="R2548">
        <f>IFERROR(XLOOKUP(XLOOKUP(D2548,tblReleaseChanges[Change_ID],tblReleaseChanges[Oracle_Severity],""),tblSeverityMap[Severity_Text],tblSeverityMap[Score],0),0)</f>
        <v/>
      </c>
      <c r="T2548">
        <f>ROUND((M2548*0.25)+(N2548*0.20)+(O2548*0.15)+(P2548*0.15)+(Q2548*0.10)+(R2548*0.10)+(S2548*0.05),2)</f>
        <v/>
      </c>
      <c r="U2548">
        <f>IF(T2548&gt;=4.25,"Critical",IF(T2548&gt;=3.5,"High",IF(T2548&gt;=2,"Medium","Low")))</f>
        <v/>
      </c>
    </row>
    <row r="2549">
      <c r="R2549">
        <f>IFERROR(XLOOKUP(XLOOKUP(D2549,tblReleaseChanges[Change_ID],tblReleaseChanges[Oracle_Severity],""),tblSeverityMap[Severity_Text],tblSeverityMap[Score],0),0)</f>
        <v/>
      </c>
      <c r="T2549">
        <f>ROUND((M2549*0.25)+(N2549*0.20)+(O2549*0.15)+(P2549*0.15)+(Q2549*0.10)+(R2549*0.10)+(S2549*0.05),2)</f>
        <v/>
      </c>
      <c r="U2549">
        <f>IF(T2549&gt;=4.25,"Critical",IF(T2549&gt;=3.5,"High",IF(T2549&gt;=2,"Medium","Low")))</f>
        <v/>
      </c>
    </row>
    <row r="2550">
      <c r="R2550">
        <f>IFERROR(XLOOKUP(XLOOKUP(D2550,tblReleaseChanges[Change_ID],tblReleaseChanges[Oracle_Severity],""),tblSeverityMap[Severity_Text],tblSeverityMap[Score],0),0)</f>
        <v/>
      </c>
      <c r="T2550">
        <f>ROUND((M2550*0.25)+(N2550*0.20)+(O2550*0.15)+(P2550*0.15)+(Q2550*0.10)+(R2550*0.10)+(S2550*0.05),2)</f>
        <v/>
      </c>
      <c r="U2550">
        <f>IF(T2550&gt;=4.25,"Critical",IF(T2550&gt;=3.5,"High",IF(T2550&gt;=2,"Medium","Low")))</f>
        <v/>
      </c>
    </row>
    <row r="2551">
      <c r="R2551">
        <f>IFERROR(XLOOKUP(XLOOKUP(D2551,tblReleaseChanges[Change_ID],tblReleaseChanges[Oracle_Severity],""),tblSeverityMap[Severity_Text],tblSeverityMap[Score],0),0)</f>
        <v/>
      </c>
      <c r="T2551">
        <f>ROUND((M2551*0.25)+(N2551*0.20)+(O2551*0.15)+(P2551*0.15)+(Q2551*0.10)+(R2551*0.10)+(S2551*0.05),2)</f>
        <v/>
      </c>
      <c r="U2551">
        <f>IF(T2551&gt;=4.25,"Critical",IF(T2551&gt;=3.5,"High",IF(T2551&gt;=2,"Medium","Low")))</f>
        <v/>
      </c>
    </row>
    <row r="2552">
      <c r="R2552">
        <f>IFERROR(XLOOKUP(XLOOKUP(D2552,tblReleaseChanges[Change_ID],tblReleaseChanges[Oracle_Severity],""),tblSeverityMap[Severity_Text],tblSeverityMap[Score],0),0)</f>
        <v/>
      </c>
      <c r="T2552">
        <f>ROUND((M2552*0.25)+(N2552*0.20)+(O2552*0.15)+(P2552*0.15)+(Q2552*0.10)+(R2552*0.10)+(S2552*0.05),2)</f>
        <v/>
      </c>
      <c r="U2552">
        <f>IF(T2552&gt;=4.25,"Critical",IF(T2552&gt;=3.5,"High",IF(T2552&gt;=2,"Medium","Low")))</f>
        <v/>
      </c>
    </row>
    <row r="2553">
      <c r="R2553">
        <f>IFERROR(XLOOKUP(XLOOKUP(D2553,tblReleaseChanges[Change_ID],tblReleaseChanges[Oracle_Severity],""),tblSeverityMap[Severity_Text],tblSeverityMap[Score],0),0)</f>
        <v/>
      </c>
      <c r="T2553">
        <f>ROUND((M2553*0.25)+(N2553*0.20)+(O2553*0.15)+(P2553*0.15)+(Q2553*0.10)+(R2553*0.10)+(S2553*0.05),2)</f>
        <v/>
      </c>
      <c r="U2553">
        <f>IF(T2553&gt;=4.25,"Critical",IF(T2553&gt;=3.5,"High",IF(T2553&gt;=2,"Medium","Low")))</f>
        <v/>
      </c>
    </row>
    <row r="2554">
      <c r="R2554">
        <f>IFERROR(XLOOKUP(XLOOKUP(D2554,tblReleaseChanges[Change_ID],tblReleaseChanges[Oracle_Severity],""),tblSeverityMap[Severity_Text],tblSeverityMap[Score],0),0)</f>
        <v/>
      </c>
      <c r="T2554">
        <f>ROUND((M2554*0.25)+(N2554*0.20)+(O2554*0.15)+(P2554*0.15)+(Q2554*0.10)+(R2554*0.10)+(S2554*0.05),2)</f>
        <v/>
      </c>
      <c r="U2554">
        <f>IF(T2554&gt;=4.25,"Critical",IF(T2554&gt;=3.5,"High",IF(T2554&gt;=2,"Medium","Low")))</f>
        <v/>
      </c>
    </row>
    <row r="2555">
      <c r="R2555">
        <f>IFERROR(XLOOKUP(XLOOKUP(D2555,tblReleaseChanges[Change_ID],tblReleaseChanges[Oracle_Severity],""),tblSeverityMap[Severity_Text],tblSeverityMap[Score],0),0)</f>
        <v/>
      </c>
      <c r="T2555">
        <f>ROUND((M2555*0.25)+(N2555*0.20)+(O2555*0.15)+(P2555*0.15)+(Q2555*0.10)+(R2555*0.10)+(S2555*0.05),2)</f>
        <v/>
      </c>
      <c r="U2555">
        <f>IF(T2555&gt;=4.25,"Critical",IF(T2555&gt;=3.5,"High",IF(T2555&gt;=2,"Medium","Low")))</f>
        <v/>
      </c>
    </row>
    <row r="2556">
      <c r="R2556">
        <f>IFERROR(XLOOKUP(XLOOKUP(D2556,tblReleaseChanges[Change_ID],tblReleaseChanges[Oracle_Severity],""),tblSeverityMap[Severity_Text],tblSeverityMap[Score],0),0)</f>
        <v/>
      </c>
      <c r="T2556">
        <f>ROUND((M2556*0.25)+(N2556*0.20)+(O2556*0.15)+(P2556*0.15)+(Q2556*0.10)+(R2556*0.10)+(S2556*0.05),2)</f>
        <v/>
      </c>
      <c r="U2556">
        <f>IF(T2556&gt;=4.25,"Critical",IF(T2556&gt;=3.5,"High",IF(T2556&gt;=2,"Medium","Low")))</f>
        <v/>
      </c>
    </row>
    <row r="2557">
      <c r="R2557">
        <f>IFERROR(XLOOKUP(XLOOKUP(D2557,tblReleaseChanges[Change_ID],tblReleaseChanges[Oracle_Severity],""),tblSeverityMap[Severity_Text],tblSeverityMap[Score],0),0)</f>
        <v/>
      </c>
      <c r="T2557">
        <f>ROUND((M2557*0.25)+(N2557*0.20)+(O2557*0.15)+(P2557*0.15)+(Q2557*0.10)+(R2557*0.10)+(S2557*0.05),2)</f>
        <v/>
      </c>
      <c r="U2557">
        <f>IF(T2557&gt;=4.25,"Critical",IF(T2557&gt;=3.5,"High",IF(T2557&gt;=2,"Medium","Low")))</f>
        <v/>
      </c>
    </row>
    <row r="2558">
      <c r="R2558">
        <f>IFERROR(XLOOKUP(XLOOKUP(D2558,tblReleaseChanges[Change_ID],tblReleaseChanges[Oracle_Severity],""),tblSeverityMap[Severity_Text],tblSeverityMap[Score],0),0)</f>
        <v/>
      </c>
      <c r="T2558">
        <f>ROUND((M2558*0.25)+(N2558*0.20)+(O2558*0.15)+(P2558*0.15)+(Q2558*0.10)+(R2558*0.10)+(S2558*0.05),2)</f>
        <v/>
      </c>
      <c r="U2558">
        <f>IF(T2558&gt;=4.25,"Critical",IF(T2558&gt;=3.5,"High",IF(T2558&gt;=2,"Medium","Low")))</f>
        <v/>
      </c>
    </row>
    <row r="2559">
      <c r="R2559">
        <f>IFERROR(XLOOKUP(XLOOKUP(D2559,tblReleaseChanges[Change_ID],tblReleaseChanges[Oracle_Severity],""),tblSeverityMap[Severity_Text],tblSeverityMap[Score],0),0)</f>
        <v/>
      </c>
      <c r="T2559">
        <f>ROUND((M2559*0.25)+(N2559*0.20)+(O2559*0.15)+(P2559*0.15)+(Q2559*0.10)+(R2559*0.10)+(S2559*0.05),2)</f>
        <v/>
      </c>
      <c r="U2559">
        <f>IF(T2559&gt;=4.25,"Critical",IF(T2559&gt;=3.5,"High",IF(T2559&gt;=2,"Medium","Low")))</f>
        <v/>
      </c>
    </row>
    <row r="2560">
      <c r="R2560">
        <f>IFERROR(XLOOKUP(XLOOKUP(D2560,tblReleaseChanges[Change_ID],tblReleaseChanges[Oracle_Severity],""),tblSeverityMap[Severity_Text],tblSeverityMap[Score],0),0)</f>
        <v/>
      </c>
      <c r="T2560">
        <f>ROUND((M2560*0.25)+(N2560*0.20)+(O2560*0.15)+(P2560*0.15)+(Q2560*0.10)+(R2560*0.10)+(S2560*0.05),2)</f>
        <v/>
      </c>
      <c r="U2560">
        <f>IF(T2560&gt;=4.25,"Critical",IF(T2560&gt;=3.5,"High",IF(T2560&gt;=2,"Medium","Low")))</f>
        <v/>
      </c>
    </row>
    <row r="2561">
      <c r="R2561">
        <f>IFERROR(XLOOKUP(XLOOKUP(D2561,tblReleaseChanges[Change_ID],tblReleaseChanges[Oracle_Severity],""),tblSeverityMap[Severity_Text],tblSeverityMap[Score],0),0)</f>
        <v/>
      </c>
      <c r="T2561">
        <f>ROUND((M2561*0.25)+(N2561*0.20)+(O2561*0.15)+(P2561*0.15)+(Q2561*0.10)+(R2561*0.10)+(S2561*0.05),2)</f>
        <v/>
      </c>
      <c r="U2561">
        <f>IF(T2561&gt;=4.25,"Critical",IF(T2561&gt;=3.5,"High",IF(T2561&gt;=2,"Medium","Low")))</f>
        <v/>
      </c>
    </row>
    <row r="2562">
      <c r="R2562">
        <f>IFERROR(XLOOKUP(XLOOKUP(D2562,tblReleaseChanges[Change_ID],tblReleaseChanges[Oracle_Severity],""),tblSeverityMap[Severity_Text],tblSeverityMap[Score],0),0)</f>
        <v/>
      </c>
      <c r="T2562">
        <f>ROUND((M2562*0.25)+(N2562*0.20)+(O2562*0.15)+(P2562*0.15)+(Q2562*0.10)+(R2562*0.10)+(S2562*0.05),2)</f>
        <v/>
      </c>
      <c r="U2562">
        <f>IF(T2562&gt;=4.25,"Critical",IF(T2562&gt;=3.5,"High",IF(T2562&gt;=2,"Medium","Low")))</f>
        <v/>
      </c>
    </row>
    <row r="2563">
      <c r="R2563">
        <f>IFERROR(XLOOKUP(XLOOKUP(D2563,tblReleaseChanges[Change_ID],tblReleaseChanges[Oracle_Severity],""),tblSeverityMap[Severity_Text],tblSeverityMap[Score],0),0)</f>
        <v/>
      </c>
      <c r="T2563">
        <f>ROUND((M2563*0.25)+(N2563*0.20)+(O2563*0.15)+(P2563*0.15)+(Q2563*0.10)+(R2563*0.10)+(S2563*0.05),2)</f>
        <v/>
      </c>
      <c r="U2563">
        <f>IF(T2563&gt;=4.25,"Critical",IF(T2563&gt;=3.5,"High",IF(T2563&gt;=2,"Medium","Low")))</f>
        <v/>
      </c>
    </row>
    <row r="2564">
      <c r="R2564">
        <f>IFERROR(XLOOKUP(XLOOKUP(D2564,tblReleaseChanges[Change_ID],tblReleaseChanges[Oracle_Severity],""),tblSeverityMap[Severity_Text],tblSeverityMap[Score],0),0)</f>
        <v/>
      </c>
      <c r="T2564">
        <f>ROUND((M2564*0.25)+(N2564*0.20)+(O2564*0.15)+(P2564*0.15)+(Q2564*0.10)+(R2564*0.10)+(S2564*0.05),2)</f>
        <v/>
      </c>
      <c r="U2564">
        <f>IF(T2564&gt;=4.25,"Critical",IF(T2564&gt;=3.5,"High",IF(T2564&gt;=2,"Medium","Low")))</f>
        <v/>
      </c>
    </row>
    <row r="2565">
      <c r="R2565">
        <f>IFERROR(XLOOKUP(XLOOKUP(D2565,tblReleaseChanges[Change_ID],tblReleaseChanges[Oracle_Severity],""),tblSeverityMap[Severity_Text],tblSeverityMap[Score],0),0)</f>
        <v/>
      </c>
      <c r="T2565">
        <f>ROUND((M2565*0.25)+(N2565*0.20)+(O2565*0.15)+(P2565*0.15)+(Q2565*0.10)+(R2565*0.10)+(S2565*0.05),2)</f>
        <v/>
      </c>
      <c r="U2565">
        <f>IF(T2565&gt;=4.25,"Critical",IF(T2565&gt;=3.5,"High",IF(T2565&gt;=2,"Medium","Low")))</f>
        <v/>
      </c>
    </row>
    <row r="2566">
      <c r="R2566">
        <f>IFERROR(XLOOKUP(XLOOKUP(D2566,tblReleaseChanges[Change_ID],tblReleaseChanges[Oracle_Severity],""),tblSeverityMap[Severity_Text],tblSeverityMap[Score],0),0)</f>
        <v/>
      </c>
      <c r="T2566">
        <f>ROUND((M2566*0.25)+(N2566*0.20)+(O2566*0.15)+(P2566*0.15)+(Q2566*0.10)+(R2566*0.10)+(S2566*0.05),2)</f>
        <v/>
      </c>
      <c r="U2566">
        <f>IF(T2566&gt;=4.25,"Critical",IF(T2566&gt;=3.5,"High",IF(T2566&gt;=2,"Medium","Low")))</f>
        <v/>
      </c>
    </row>
    <row r="2567">
      <c r="R2567">
        <f>IFERROR(XLOOKUP(XLOOKUP(D2567,tblReleaseChanges[Change_ID],tblReleaseChanges[Oracle_Severity],""),tblSeverityMap[Severity_Text],tblSeverityMap[Score],0),0)</f>
        <v/>
      </c>
      <c r="T2567">
        <f>ROUND((M2567*0.25)+(N2567*0.20)+(O2567*0.15)+(P2567*0.15)+(Q2567*0.10)+(R2567*0.10)+(S2567*0.05),2)</f>
        <v/>
      </c>
      <c r="U2567">
        <f>IF(T2567&gt;=4.25,"Critical",IF(T2567&gt;=3.5,"High",IF(T2567&gt;=2,"Medium","Low")))</f>
        <v/>
      </c>
    </row>
    <row r="2568">
      <c r="R2568">
        <f>IFERROR(XLOOKUP(XLOOKUP(D2568,tblReleaseChanges[Change_ID],tblReleaseChanges[Oracle_Severity],""),tblSeverityMap[Severity_Text],tblSeverityMap[Score],0),0)</f>
        <v/>
      </c>
      <c r="T2568">
        <f>ROUND((M2568*0.25)+(N2568*0.20)+(O2568*0.15)+(P2568*0.15)+(Q2568*0.10)+(R2568*0.10)+(S2568*0.05),2)</f>
        <v/>
      </c>
      <c r="U2568">
        <f>IF(T2568&gt;=4.25,"Critical",IF(T2568&gt;=3.5,"High",IF(T2568&gt;=2,"Medium","Low")))</f>
        <v/>
      </c>
    </row>
    <row r="2569">
      <c r="R2569">
        <f>IFERROR(XLOOKUP(XLOOKUP(D2569,tblReleaseChanges[Change_ID],tblReleaseChanges[Oracle_Severity],""),tblSeverityMap[Severity_Text],tblSeverityMap[Score],0),0)</f>
        <v/>
      </c>
      <c r="T2569">
        <f>ROUND((M2569*0.25)+(N2569*0.20)+(O2569*0.15)+(P2569*0.15)+(Q2569*0.10)+(R2569*0.10)+(S2569*0.05),2)</f>
        <v/>
      </c>
      <c r="U2569">
        <f>IF(T2569&gt;=4.25,"Critical",IF(T2569&gt;=3.5,"High",IF(T2569&gt;=2,"Medium","Low")))</f>
        <v/>
      </c>
    </row>
    <row r="2570">
      <c r="R2570">
        <f>IFERROR(XLOOKUP(XLOOKUP(D2570,tblReleaseChanges[Change_ID],tblReleaseChanges[Oracle_Severity],""),tblSeverityMap[Severity_Text],tblSeverityMap[Score],0),0)</f>
        <v/>
      </c>
      <c r="T2570">
        <f>ROUND((M2570*0.25)+(N2570*0.20)+(O2570*0.15)+(P2570*0.15)+(Q2570*0.10)+(R2570*0.10)+(S2570*0.05),2)</f>
        <v/>
      </c>
      <c r="U2570">
        <f>IF(T2570&gt;=4.25,"Critical",IF(T2570&gt;=3.5,"High",IF(T2570&gt;=2,"Medium","Low")))</f>
        <v/>
      </c>
    </row>
    <row r="2571">
      <c r="R2571">
        <f>IFERROR(XLOOKUP(XLOOKUP(D2571,tblReleaseChanges[Change_ID],tblReleaseChanges[Oracle_Severity],""),tblSeverityMap[Severity_Text],tblSeverityMap[Score],0),0)</f>
        <v/>
      </c>
      <c r="T2571">
        <f>ROUND((M2571*0.25)+(N2571*0.20)+(O2571*0.15)+(P2571*0.15)+(Q2571*0.10)+(R2571*0.10)+(S2571*0.05),2)</f>
        <v/>
      </c>
      <c r="U2571">
        <f>IF(T2571&gt;=4.25,"Critical",IF(T2571&gt;=3.5,"High",IF(T2571&gt;=2,"Medium","Low")))</f>
        <v/>
      </c>
    </row>
    <row r="2572">
      <c r="R2572">
        <f>IFERROR(XLOOKUP(XLOOKUP(D2572,tblReleaseChanges[Change_ID],tblReleaseChanges[Oracle_Severity],""),tblSeverityMap[Severity_Text],tblSeverityMap[Score],0),0)</f>
        <v/>
      </c>
      <c r="T2572">
        <f>ROUND((M2572*0.25)+(N2572*0.20)+(O2572*0.15)+(P2572*0.15)+(Q2572*0.10)+(R2572*0.10)+(S2572*0.05),2)</f>
        <v/>
      </c>
      <c r="U2572">
        <f>IF(T2572&gt;=4.25,"Critical",IF(T2572&gt;=3.5,"High",IF(T2572&gt;=2,"Medium","Low")))</f>
        <v/>
      </c>
    </row>
    <row r="2573">
      <c r="R2573">
        <f>IFERROR(XLOOKUP(XLOOKUP(D2573,tblReleaseChanges[Change_ID],tblReleaseChanges[Oracle_Severity],""),tblSeverityMap[Severity_Text],tblSeverityMap[Score],0),0)</f>
        <v/>
      </c>
      <c r="T2573">
        <f>ROUND((M2573*0.25)+(N2573*0.20)+(O2573*0.15)+(P2573*0.15)+(Q2573*0.10)+(R2573*0.10)+(S2573*0.05),2)</f>
        <v/>
      </c>
      <c r="U2573">
        <f>IF(T2573&gt;=4.25,"Critical",IF(T2573&gt;=3.5,"High",IF(T2573&gt;=2,"Medium","Low")))</f>
        <v/>
      </c>
    </row>
    <row r="2574">
      <c r="R2574">
        <f>IFERROR(XLOOKUP(XLOOKUP(D2574,tblReleaseChanges[Change_ID],tblReleaseChanges[Oracle_Severity],""),tblSeverityMap[Severity_Text],tblSeverityMap[Score],0),0)</f>
        <v/>
      </c>
      <c r="T2574">
        <f>ROUND((M2574*0.25)+(N2574*0.20)+(O2574*0.15)+(P2574*0.15)+(Q2574*0.10)+(R2574*0.10)+(S2574*0.05),2)</f>
        <v/>
      </c>
      <c r="U2574">
        <f>IF(T2574&gt;=4.25,"Critical",IF(T2574&gt;=3.5,"High",IF(T2574&gt;=2,"Medium","Low")))</f>
        <v/>
      </c>
    </row>
    <row r="2575">
      <c r="R2575">
        <f>IFERROR(XLOOKUP(XLOOKUP(D2575,tblReleaseChanges[Change_ID],tblReleaseChanges[Oracle_Severity],""),tblSeverityMap[Severity_Text],tblSeverityMap[Score],0),0)</f>
        <v/>
      </c>
      <c r="T2575">
        <f>ROUND((M2575*0.25)+(N2575*0.20)+(O2575*0.15)+(P2575*0.15)+(Q2575*0.10)+(R2575*0.10)+(S2575*0.05),2)</f>
        <v/>
      </c>
      <c r="U2575">
        <f>IF(T2575&gt;=4.25,"Critical",IF(T2575&gt;=3.5,"High",IF(T2575&gt;=2,"Medium","Low")))</f>
        <v/>
      </c>
    </row>
    <row r="2576">
      <c r="R2576">
        <f>IFERROR(XLOOKUP(XLOOKUP(D2576,tblReleaseChanges[Change_ID],tblReleaseChanges[Oracle_Severity],""),tblSeverityMap[Severity_Text],tblSeverityMap[Score],0),0)</f>
        <v/>
      </c>
      <c r="T2576">
        <f>ROUND((M2576*0.25)+(N2576*0.20)+(O2576*0.15)+(P2576*0.15)+(Q2576*0.10)+(R2576*0.10)+(S2576*0.05),2)</f>
        <v/>
      </c>
      <c r="U2576">
        <f>IF(T2576&gt;=4.25,"Critical",IF(T2576&gt;=3.5,"High",IF(T2576&gt;=2,"Medium","Low")))</f>
        <v/>
      </c>
    </row>
    <row r="2577">
      <c r="R2577">
        <f>IFERROR(XLOOKUP(XLOOKUP(D2577,tblReleaseChanges[Change_ID],tblReleaseChanges[Oracle_Severity],""),tblSeverityMap[Severity_Text],tblSeverityMap[Score],0),0)</f>
        <v/>
      </c>
      <c r="T2577">
        <f>ROUND((M2577*0.25)+(N2577*0.20)+(O2577*0.15)+(P2577*0.15)+(Q2577*0.10)+(R2577*0.10)+(S2577*0.05),2)</f>
        <v/>
      </c>
      <c r="U2577">
        <f>IF(T2577&gt;=4.25,"Critical",IF(T2577&gt;=3.5,"High",IF(T2577&gt;=2,"Medium","Low")))</f>
        <v/>
      </c>
    </row>
    <row r="2578">
      <c r="R2578">
        <f>IFERROR(XLOOKUP(XLOOKUP(D2578,tblReleaseChanges[Change_ID],tblReleaseChanges[Oracle_Severity],""),tblSeverityMap[Severity_Text],tblSeverityMap[Score],0),0)</f>
        <v/>
      </c>
      <c r="T2578">
        <f>ROUND((M2578*0.25)+(N2578*0.20)+(O2578*0.15)+(P2578*0.15)+(Q2578*0.10)+(R2578*0.10)+(S2578*0.05),2)</f>
        <v/>
      </c>
      <c r="U2578">
        <f>IF(T2578&gt;=4.25,"Critical",IF(T2578&gt;=3.5,"High",IF(T2578&gt;=2,"Medium","Low")))</f>
        <v/>
      </c>
    </row>
    <row r="2579">
      <c r="R2579">
        <f>IFERROR(XLOOKUP(XLOOKUP(D2579,tblReleaseChanges[Change_ID],tblReleaseChanges[Oracle_Severity],""),tblSeverityMap[Severity_Text],tblSeverityMap[Score],0),0)</f>
        <v/>
      </c>
      <c r="T2579">
        <f>ROUND((M2579*0.25)+(N2579*0.20)+(O2579*0.15)+(P2579*0.15)+(Q2579*0.10)+(R2579*0.10)+(S2579*0.05),2)</f>
        <v/>
      </c>
      <c r="U2579">
        <f>IF(T2579&gt;=4.25,"Critical",IF(T2579&gt;=3.5,"High",IF(T2579&gt;=2,"Medium","Low")))</f>
        <v/>
      </c>
    </row>
    <row r="2580">
      <c r="R2580">
        <f>IFERROR(XLOOKUP(XLOOKUP(D2580,tblReleaseChanges[Change_ID],tblReleaseChanges[Oracle_Severity],""),tblSeverityMap[Severity_Text],tblSeverityMap[Score],0),0)</f>
        <v/>
      </c>
      <c r="T2580">
        <f>ROUND((M2580*0.25)+(N2580*0.20)+(O2580*0.15)+(P2580*0.15)+(Q2580*0.10)+(R2580*0.10)+(S2580*0.05),2)</f>
        <v/>
      </c>
      <c r="U2580">
        <f>IF(T2580&gt;=4.25,"Critical",IF(T2580&gt;=3.5,"High",IF(T2580&gt;=2,"Medium","Low")))</f>
        <v/>
      </c>
    </row>
    <row r="2581">
      <c r="R2581">
        <f>IFERROR(XLOOKUP(XLOOKUP(D2581,tblReleaseChanges[Change_ID],tblReleaseChanges[Oracle_Severity],""),tblSeverityMap[Severity_Text],tblSeverityMap[Score],0),0)</f>
        <v/>
      </c>
      <c r="T2581">
        <f>ROUND((M2581*0.25)+(N2581*0.20)+(O2581*0.15)+(P2581*0.15)+(Q2581*0.10)+(R2581*0.10)+(S2581*0.05),2)</f>
        <v/>
      </c>
      <c r="U2581">
        <f>IF(T2581&gt;=4.25,"Critical",IF(T2581&gt;=3.5,"High",IF(T2581&gt;=2,"Medium","Low")))</f>
        <v/>
      </c>
    </row>
    <row r="2582">
      <c r="R2582">
        <f>IFERROR(XLOOKUP(XLOOKUP(D2582,tblReleaseChanges[Change_ID],tblReleaseChanges[Oracle_Severity],""),tblSeverityMap[Severity_Text],tblSeverityMap[Score],0),0)</f>
        <v/>
      </c>
      <c r="T2582">
        <f>ROUND((M2582*0.25)+(N2582*0.20)+(O2582*0.15)+(P2582*0.15)+(Q2582*0.10)+(R2582*0.10)+(S2582*0.05),2)</f>
        <v/>
      </c>
      <c r="U2582">
        <f>IF(T2582&gt;=4.25,"Critical",IF(T2582&gt;=3.5,"High",IF(T2582&gt;=2,"Medium","Low")))</f>
        <v/>
      </c>
    </row>
    <row r="2583">
      <c r="R2583">
        <f>IFERROR(XLOOKUP(XLOOKUP(D2583,tblReleaseChanges[Change_ID],tblReleaseChanges[Oracle_Severity],""),tblSeverityMap[Severity_Text],tblSeverityMap[Score],0),0)</f>
        <v/>
      </c>
      <c r="T2583">
        <f>ROUND((M2583*0.25)+(N2583*0.20)+(O2583*0.15)+(P2583*0.15)+(Q2583*0.10)+(R2583*0.10)+(S2583*0.05),2)</f>
        <v/>
      </c>
      <c r="U2583">
        <f>IF(T2583&gt;=4.25,"Critical",IF(T2583&gt;=3.5,"High",IF(T2583&gt;=2,"Medium","Low")))</f>
        <v/>
      </c>
    </row>
    <row r="2584">
      <c r="R2584">
        <f>IFERROR(XLOOKUP(XLOOKUP(D2584,tblReleaseChanges[Change_ID],tblReleaseChanges[Oracle_Severity],""),tblSeverityMap[Severity_Text],tblSeverityMap[Score],0),0)</f>
        <v/>
      </c>
      <c r="T2584">
        <f>ROUND((M2584*0.25)+(N2584*0.20)+(O2584*0.15)+(P2584*0.15)+(Q2584*0.10)+(R2584*0.10)+(S2584*0.05),2)</f>
        <v/>
      </c>
      <c r="U2584">
        <f>IF(T2584&gt;=4.25,"Critical",IF(T2584&gt;=3.5,"High",IF(T2584&gt;=2,"Medium","Low")))</f>
        <v/>
      </c>
    </row>
    <row r="2585">
      <c r="R2585">
        <f>IFERROR(XLOOKUP(XLOOKUP(D2585,tblReleaseChanges[Change_ID],tblReleaseChanges[Oracle_Severity],""),tblSeverityMap[Severity_Text],tblSeverityMap[Score],0),0)</f>
        <v/>
      </c>
      <c r="T2585">
        <f>ROUND((M2585*0.25)+(N2585*0.20)+(O2585*0.15)+(P2585*0.15)+(Q2585*0.10)+(R2585*0.10)+(S2585*0.05),2)</f>
        <v/>
      </c>
      <c r="U2585">
        <f>IF(T2585&gt;=4.25,"Critical",IF(T2585&gt;=3.5,"High",IF(T2585&gt;=2,"Medium","Low")))</f>
        <v/>
      </c>
    </row>
    <row r="2586">
      <c r="R2586">
        <f>IFERROR(XLOOKUP(XLOOKUP(D2586,tblReleaseChanges[Change_ID],tblReleaseChanges[Oracle_Severity],""),tblSeverityMap[Severity_Text],tblSeverityMap[Score],0),0)</f>
        <v/>
      </c>
      <c r="T2586">
        <f>ROUND((M2586*0.25)+(N2586*0.20)+(O2586*0.15)+(P2586*0.15)+(Q2586*0.10)+(R2586*0.10)+(S2586*0.05),2)</f>
        <v/>
      </c>
      <c r="U2586">
        <f>IF(T2586&gt;=4.25,"Critical",IF(T2586&gt;=3.5,"High",IF(T2586&gt;=2,"Medium","Low")))</f>
        <v/>
      </c>
    </row>
    <row r="2587">
      <c r="R2587">
        <f>IFERROR(XLOOKUP(XLOOKUP(D2587,tblReleaseChanges[Change_ID],tblReleaseChanges[Oracle_Severity],""),tblSeverityMap[Severity_Text],tblSeverityMap[Score],0),0)</f>
        <v/>
      </c>
      <c r="T2587">
        <f>ROUND((M2587*0.25)+(N2587*0.20)+(O2587*0.15)+(P2587*0.15)+(Q2587*0.10)+(R2587*0.10)+(S2587*0.05),2)</f>
        <v/>
      </c>
      <c r="U2587">
        <f>IF(T2587&gt;=4.25,"Critical",IF(T2587&gt;=3.5,"High",IF(T2587&gt;=2,"Medium","Low")))</f>
        <v/>
      </c>
    </row>
    <row r="2588">
      <c r="R2588">
        <f>IFERROR(XLOOKUP(XLOOKUP(D2588,tblReleaseChanges[Change_ID],tblReleaseChanges[Oracle_Severity],""),tblSeverityMap[Severity_Text],tblSeverityMap[Score],0),0)</f>
        <v/>
      </c>
      <c r="T2588">
        <f>ROUND((M2588*0.25)+(N2588*0.20)+(O2588*0.15)+(P2588*0.15)+(Q2588*0.10)+(R2588*0.10)+(S2588*0.05),2)</f>
        <v/>
      </c>
      <c r="U2588">
        <f>IF(T2588&gt;=4.25,"Critical",IF(T2588&gt;=3.5,"High",IF(T2588&gt;=2,"Medium","Low")))</f>
        <v/>
      </c>
    </row>
    <row r="2589">
      <c r="R2589">
        <f>IFERROR(XLOOKUP(XLOOKUP(D2589,tblReleaseChanges[Change_ID],tblReleaseChanges[Oracle_Severity],""),tblSeverityMap[Severity_Text],tblSeverityMap[Score],0),0)</f>
        <v/>
      </c>
      <c r="T2589">
        <f>ROUND((M2589*0.25)+(N2589*0.20)+(O2589*0.15)+(P2589*0.15)+(Q2589*0.10)+(R2589*0.10)+(S2589*0.05),2)</f>
        <v/>
      </c>
      <c r="U2589">
        <f>IF(T2589&gt;=4.25,"Critical",IF(T2589&gt;=3.5,"High",IF(T2589&gt;=2,"Medium","Low")))</f>
        <v/>
      </c>
    </row>
    <row r="2590">
      <c r="R2590">
        <f>IFERROR(XLOOKUP(XLOOKUP(D2590,tblReleaseChanges[Change_ID],tblReleaseChanges[Oracle_Severity],""),tblSeverityMap[Severity_Text],tblSeverityMap[Score],0),0)</f>
        <v/>
      </c>
      <c r="T2590">
        <f>ROUND((M2590*0.25)+(N2590*0.20)+(O2590*0.15)+(P2590*0.15)+(Q2590*0.10)+(R2590*0.10)+(S2590*0.05),2)</f>
        <v/>
      </c>
      <c r="U2590">
        <f>IF(T2590&gt;=4.25,"Critical",IF(T2590&gt;=3.5,"High",IF(T2590&gt;=2,"Medium","Low")))</f>
        <v/>
      </c>
    </row>
    <row r="2591">
      <c r="R2591">
        <f>IFERROR(XLOOKUP(XLOOKUP(D2591,tblReleaseChanges[Change_ID],tblReleaseChanges[Oracle_Severity],""),tblSeverityMap[Severity_Text],tblSeverityMap[Score],0),0)</f>
        <v/>
      </c>
      <c r="T2591">
        <f>ROUND((M2591*0.25)+(N2591*0.20)+(O2591*0.15)+(P2591*0.15)+(Q2591*0.10)+(R2591*0.10)+(S2591*0.05),2)</f>
        <v/>
      </c>
      <c r="U2591">
        <f>IF(T2591&gt;=4.25,"Critical",IF(T2591&gt;=3.5,"High",IF(T2591&gt;=2,"Medium","Low")))</f>
        <v/>
      </c>
    </row>
    <row r="2592">
      <c r="R2592">
        <f>IFERROR(XLOOKUP(XLOOKUP(D2592,tblReleaseChanges[Change_ID],tblReleaseChanges[Oracle_Severity],""),tblSeverityMap[Severity_Text],tblSeverityMap[Score],0),0)</f>
        <v/>
      </c>
      <c r="T2592">
        <f>ROUND((M2592*0.25)+(N2592*0.20)+(O2592*0.15)+(P2592*0.15)+(Q2592*0.10)+(R2592*0.10)+(S2592*0.05),2)</f>
        <v/>
      </c>
      <c r="U2592">
        <f>IF(T2592&gt;=4.25,"Critical",IF(T2592&gt;=3.5,"High",IF(T2592&gt;=2,"Medium","Low")))</f>
        <v/>
      </c>
    </row>
    <row r="2593">
      <c r="R2593">
        <f>IFERROR(XLOOKUP(XLOOKUP(D2593,tblReleaseChanges[Change_ID],tblReleaseChanges[Oracle_Severity],""),tblSeverityMap[Severity_Text],tblSeverityMap[Score],0),0)</f>
        <v/>
      </c>
      <c r="T2593">
        <f>ROUND((M2593*0.25)+(N2593*0.20)+(O2593*0.15)+(P2593*0.15)+(Q2593*0.10)+(R2593*0.10)+(S2593*0.05),2)</f>
        <v/>
      </c>
      <c r="U2593">
        <f>IF(T2593&gt;=4.25,"Critical",IF(T2593&gt;=3.5,"High",IF(T2593&gt;=2,"Medium","Low")))</f>
        <v/>
      </c>
    </row>
    <row r="2594">
      <c r="R2594">
        <f>IFERROR(XLOOKUP(XLOOKUP(D2594,tblReleaseChanges[Change_ID],tblReleaseChanges[Oracle_Severity],""),tblSeverityMap[Severity_Text],tblSeverityMap[Score],0),0)</f>
        <v/>
      </c>
      <c r="T2594">
        <f>ROUND((M2594*0.25)+(N2594*0.20)+(O2594*0.15)+(P2594*0.15)+(Q2594*0.10)+(R2594*0.10)+(S2594*0.05),2)</f>
        <v/>
      </c>
      <c r="U2594">
        <f>IF(T2594&gt;=4.25,"Critical",IF(T2594&gt;=3.5,"High",IF(T2594&gt;=2,"Medium","Low")))</f>
        <v/>
      </c>
    </row>
    <row r="2595">
      <c r="R2595">
        <f>IFERROR(XLOOKUP(XLOOKUP(D2595,tblReleaseChanges[Change_ID],tblReleaseChanges[Oracle_Severity],""),tblSeverityMap[Severity_Text],tblSeverityMap[Score],0),0)</f>
        <v/>
      </c>
      <c r="T2595">
        <f>ROUND((M2595*0.25)+(N2595*0.20)+(O2595*0.15)+(P2595*0.15)+(Q2595*0.10)+(R2595*0.10)+(S2595*0.05),2)</f>
        <v/>
      </c>
      <c r="U2595">
        <f>IF(T2595&gt;=4.25,"Critical",IF(T2595&gt;=3.5,"High",IF(T2595&gt;=2,"Medium","Low")))</f>
        <v/>
      </c>
    </row>
    <row r="2596">
      <c r="R2596">
        <f>IFERROR(XLOOKUP(XLOOKUP(D2596,tblReleaseChanges[Change_ID],tblReleaseChanges[Oracle_Severity],""),tblSeverityMap[Severity_Text],tblSeverityMap[Score],0),0)</f>
        <v/>
      </c>
      <c r="T2596">
        <f>ROUND((M2596*0.25)+(N2596*0.20)+(O2596*0.15)+(P2596*0.15)+(Q2596*0.10)+(R2596*0.10)+(S2596*0.05),2)</f>
        <v/>
      </c>
      <c r="U2596">
        <f>IF(T2596&gt;=4.25,"Critical",IF(T2596&gt;=3.5,"High",IF(T2596&gt;=2,"Medium","Low")))</f>
        <v/>
      </c>
    </row>
    <row r="2597">
      <c r="R2597">
        <f>IFERROR(XLOOKUP(XLOOKUP(D2597,tblReleaseChanges[Change_ID],tblReleaseChanges[Oracle_Severity],""),tblSeverityMap[Severity_Text],tblSeverityMap[Score],0),0)</f>
        <v/>
      </c>
      <c r="T2597">
        <f>ROUND((M2597*0.25)+(N2597*0.20)+(O2597*0.15)+(P2597*0.15)+(Q2597*0.10)+(R2597*0.10)+(S2597*0.05),2)</f>
        <v/>
      </c>
      <c r="U2597">
        <f>IF(T2597&gt;=4.25,"Critical",IF(T2597&gt;=3.5,"High",IF(T2597&gt;=2,"Medium","Low")))</f>
        <v/>
      </c>
    </row>
    <row r="2598">
      <c r="R2598">
        <f>IFERROR(XLOOKUP(XLOOKUP(D2598,tblReleaseChanges[Change_ID],tblReleaseChanges[Oracle_Severity],""),tblSeverityMap[Severity_Text],tblSeverityMap[Score],0),0)</f>
        <v/>
      </c>
      <c r="T2598">
        <f>ROUND((M2598*0.25)+(N2598*0.20)+(O2598*0.15)+(P2598*0.15)+(Q2598*0.10)+(R2598*0.10)+(S2598*0.05),2)</f>
        <v/>
      </c>
      <c r="U2598">
        <f>IF(T2598&gt;=4.25,"Critical",IF(T2598&gt;=3.5,"High",IF(T2598&gt;=2,"Medium","Low")))</f>
        <v/>
      </c>
    </row>
    <row r="2599">
      <c r="R2599">
        <f>IFERROR(XLOOKUP(XLOOKUP(D2599,tblReleaseChanges[Change_ID],tblReleaseChanges[Oracle_Severity],""),tblSeverityMap[Severity_Text],tblSeverityMap[Score],0),0)</f>
        <v/>
      </c>
      <c r="T2599">
        <f>ROUND((M2599*0.25)+(N2599*0.20)+(O2599*0.15)+(P2599*0.15)+(Q2599*0.10)+(R2599*0.10)+(S2599*0.05),2)</f>
        <v/>
      </c>
      <c r="U2599">
        <f>IF(T2599&gt;=4.25,"Critical",IF(T2599&gt;=3.5,"High",IF(T2599&gt;=2,"Medium","Low")))</f>
        <v/>
      </c>
    </row>
    <row r="2600">
      <c r="R2600">
        <f>IFERROR(XLOOKUP(XLOOKUP(D2600,tblReleaseChanges[Change_ID],tblReleaseChanges[Oracle_Severity],""),tblSeverityMap[Severity_Text],tblSeverityMap[Score],0),0)</f>
        <v/>
      </c>
      <c r="T2600">
        <f>ROUND((M2600*0.25)+(N2600*0.20)+(O2600*0.15)+(P2600*0.15)+(Q2600*0.10)+(R2600*0.10)+(S2600*0.05),2)</f>
        <v/>
      </c>
      <c r="U2600">
        <f>IF(T2600&gt;=4.25,"Critical",IF(T2600&gt;=3.5,"High",IF(T2600&gt;=2,"Medium","Low")))</f>
        <v/>
      </c>
    </row>
    <row r="2601">
      <c r="R2601">
        <f>IFERROR(XLOOKUP(XLOOKUP(D2601,tblReleaseChanges[Change_ID],tblReleaseChanges[Oracle_Severity],""),tblSeverityMap[Severity_Text],tblSeverityMap[Score],0),0)</f>
        <v/>
      </c>
      <c r="T2601">
        <f>ROUND((M2601*0.25)+(N2601*0.20)+(O2601*0.15)+(P2601*0.15)+(Q2601*0.10)+(R2601*0.10)+(S2601*0.05),2)</f>
        <v/>
      </c>
      <c r="U2601">
        <f>IF(T2601&gt;=4.25,"Critical",IF(T2601&gt;=3.5,"High",IF(T2601&gt;=2,"Medium","Low")))</f>
        <v/>
      </c>
    </row>
    <row r="2602">
      <c r="R2602">
        <f>IFERROR(XLOOKUP(XLOOKUP(D2602,tblReleaseChanges[Change_ID],tblReleaseChanges[Oracle_Severity],""),tblSeverityMap[Severity_Text],tblSeverityMap[Score],0),0)</f>
        <v/>
      </c>
      <c r="T2602">
        <f>ROUND((M2602*0.25)+(N2602*0.20)+(O2602*0.15)+(P2602*0.15)+(Q2602*0.10)+(R2602*0.10)+(S2602*0.05),2)</f>
        <v/>
      </c>
      <c r="U2602">
        <f>IF(T2602&gt;=4.25,"Critical",IF(T2602&gt;=3.5,"High",IF(T2602&gt;=2,"Medium","Low")))</f>
        <v/>
      </c>
    </row>
    <row r="2603">
      <c r="R2603">
        <f>IFERROR(XLOOKUP(XLOOKUP(D2603,tblReleaseChanges[Change_ID],tblReleaseChanges[Oracle_Severity],""),tblSeverityMap[Severity_Text],tblSeverityMap[Score],0),0)</f>
        <v/>
      </c>
      <c r="T2603">
        <f>ROUND((M2603*0.25)+(N2603*0.20)+(O2603*0.15)+(P2603*0.15)+(Q2603*0.10)+(R2603*0.10)+(S2603*0.05),2)</f>
        <v/>
      </c>
      <c r="U2603">
        <f>IF(T2603&gt;=4.25,"Critical",IF(T2603&gt;=3.5,"High",IF(T2603&gt;=2,"Medium","Low")))</f>
        <v/>
      </c>
    </row>
    <row r="2604">
      <c r="R2604">
        <f>IFERROR(XLOOKUP(XLOOKUP(D2604,tblReleaseChanges[Change_ID],tblReleaseChanges[Oracle_Severity],""),tblSeverityMap[Severity_Text],tblSeverityMap[Score],0),0)</f>
        <v/>
      </c>
      <c r="T2604">
        <f>ROUND((M2604*0.25)+(N2604*0.20)+(O2604*0.15)+(P2604*0.15)+(Q2604*0.10)+(R2604*0.10)+(S2604*0.05),2)</f>
        <v/>
      </c>
      <c r="U2604">
        <f>IF(T2604&gt;=4.25,"Critical",IF(T2604&gt;=3.5,"High",IF(T2604&gt;=2,"Medium","Low")))</f>
        <v/>
      </c>
    </row>
    <row r="2605">
      <c r="R2605">
        <f>IFERROR(XLOOKUP(XLOOKUP(D2605,tblReleaseChanges[Change_ID],tblReleaseChanges[Oracle_Severity],""),tblSeverityMap[Severity_Text],tblSeverityMap[Score],0),0)</f>
        <v/>
      </c>
      <c r="T2605">
        <f>ROUND((M2605*0.25)+(N2605*0.20)+(O2605*0.15)+(P2605*0.15)+(Q2605*0.10)+(R2605*0.10)+(S2605*0.05),2)</f>
        <v/>
      </c>
      <c r="U2605">
        <f>IF(T2605&gt;=4.25,"Critical",IF(T2605&gt;=3.5,"High",IF(T2605&gt;=2,"Medium","Low")))</f>
        <v/>
      </c>
    </row>
    <row r="2606">
      <c r="R2606">
        <f>IFERROR(XLOOKUP(XLOOKUP(D2606,tblReleaseChanges[Change_ID],tblReleaseChanges[Oracle_Severity],""),tblSeverityMap[Severity_Text],tblSeverityMap[Score],0),0)</f>
        <v/>
      </c>
      <c r="T2606">
        <f>ROUND((M2606*0.25)+(N2606*0.20)+(O2606*0.15)+(P2606*0.15)+(Q2606*0.10)+(R2606*0.10)+(S2606*0.05),2)</f>
        <v/>
      </c>
      <c r="U2606">
        <f>IF(T2606&gt;=4.25,"Critical",IF(T2606&gt;=3.5,"High",IF(T2606&gt;=2,"Medium","Low")))</f>
        <v/>
      </c>
    </row>
    <row r="2607">
      <c r="R2607">
        <f>IFERROR(XLOOKUP(XLOOKUP(D2607,tblReleaseChanges[Change_ID],tblReleaseChanges[Oracle_Severity],""),tblSeverityMap[Severity_Text],tblSeverityMap[Score],0),0)</f>
        <v/>
      </c>
      <c r="T2607">
        <f>ROUND((M2607*0.25)+(N2607*0.20)+(O2607*0.15)+(P2607*0.15)+(Q2607*0.10)+(R2607*0.10)+(S2607*0.05),2)</f>
        <v/>
      </c>
      <c r="U2607">
        <f>IF(T2607&gt;=4.25,"Critical",IF(T2607&gt;=3.5,"High",IF(T2607&gt;=2,"Medium","Low")))</f>
        <v/>
      </c>
    </row>
    <row r="2608">
      <c r="R2608">
        <f>IFERROR(XLOOKUP(XLOOKUP(D2608,tblReleaseChanges[Change_ID],tblReleaseChanges[Oracle_Severity],""),tblSeverityMap[Severity_Text],tblSeverityMap[Score],0),0)</f>
        <v/>
      </c>
      <c r="T2608">
        <f>ROUND((M2608*0.25)+(N2608*0.20)+(O2608*0.15)+(P2608*0.15)+(Q2608*0.10)+(R2608*0.10)+(S2608*0.05),2)</f>
        <v/>
      </c>
      <c r="U2608">
        <f>IF(T2608&gt;=4.25,"Critical",IF(T2608&gt;=3.5,"High",IF(T2608&gt;=2,"Medium","Low")))</f>
        <v/>
      </c>
    </row>
    <row r="2609">
      <c r="R2609">
        <f>IFERROR(XLOOKUP(XLOOKUP(D2609,tblReleaseChanges[Change_ID],tblReleaseChanges[Oracle_Severity],""),tblSeverityMap[Severity_Text],tblSeverityMap[Score],0),0)</f>
        <v/>
      </c>
      <c r="T2609">
        <f>ROUND((M2609*0.25)+(N2609*0.20)+(O2609*0.15)+(P2609*0.15)+(Q2609*0.10)+(R2609*0.10)+(S2609*0.05),2)</f>
        <v/>
      </c>
      <c r="U2609">
        <f>IF(T2609&gt;=4.25,"Critical",IF(T2609&gt;=3.5,"High",IF(T2609&gt;=2,"Medium","Low")))</f>
        <v/>
      </c>
    </row>
    <row r="2610">
      <c r="R2610">
        <f>IFERROR(XLOOKUP(XLOOKUP(D2610,tblReleaseChanges[Change_ID],tblReleaseChanges[Oracle_Severity],""),tblSeverityMap[Severity_Text],tblSeverityMap[Score],0),0)</f>
        <v/>
      </c>
      <c r="T2610">
        <f>ROUND((M2610*0.25)+(N2610*0.20)+(O2610*0.15)+(P2610*0.15)+(Q2610*0.10)+(R2610*0.10)+(S2610*0.05),2)</f>
        <v/>
      </c>
      <c r="U2610">
        <f>IF(T2610&gt;=4.25,"Critical",IF(T2610&gt;=3.5,"High",IF(T2610&gt;=2,"Medium","Low")))</f>
        <v/>
      </c>
    </row>
    <row r="2611">
      <c r="R2611">
        <f>IFERROR(XLOOKUP(XLOOKUP(D2611,tblReleaseChanges[Change_ID],tblReleaseChanges[Oracle_Severity],""),tblSeverityMap[Severity_Text],tblSeverityMap[Score],0),0)</f>
        <v/>
      </c>
      <c r="T2611">
        <f>ROUND((M2611*0.25)+(N2611*0.20)+(O2611*0.15)+(P2611*0.15)+(Q2611*0.10)+(R2611*0.10)+(S2611*0.05),2)</f>
        <v/>
      </c>
      <c r="U2611">
        <f>IF(T2611&gt;=4.25,"Critical",IF(T2611&gt;=3.5,"High",IF(T2611&gt;=2,"Medium","Low")))</f>
        <v/>
      </c>
    </row>
    <row r="2612">
      <c r="R2612">
        <f>IFERROR(XLOOKUP(XLOOKUP(D2612,tblReleaseChanges[Change_ID],tblReleaseChanges[Oracle_Severity],""),tblSeverityMap[Severity_Text],tblSeverityMap[Score],0),0)</f>
        <v/>
      </c>
      <c r="T2612">
        <f>ROUND((M2612*0.25)+(N2612*0.20)+(O2612*0.15)+(P2612*0.15)+(Q2612*0.10)+(R2612*0.10)+(S2612*0.05),2)</f>
        <v/>
      </c>
      <c r="U2612">
        <f>IF(T2612&gt;=4.25,"Critical",IF(T2612&gt;=3.5,"High",IF(T2612&gt;=2,"Medium","Low")))</f>
        <v/>
      </c>
    </row>
    <row r="2613">
      <c r="R2613">
        <f>IFERROR(XLOOKUP(XLOOKUP(D2613,tblReleaseChanges[Change_ID],tblReleaseChanges[Oracle_Severity],""),tblSeverityMap[Severity_Text],tblSeverityMap[Score],0),0)</f>
        <v/>
      </c>
      <c r="T2613">
        <f>ROUND((M2613*0.25)+(N2613*0.20)+(O2613*0.15)+(P2613*0.15)+(Q2613*0.10)+(R2613*0.10)+(S2613*0.05),2)</f>
        <v/>
      </c>
      <c r="U2613">
        <f>IF(T2613&gt;=4.25,"Critical",IF(T2613&gt;=3.5,"High",IF(T2613&gt;=2,"Medium","Low")))</f>
        <v/>
      </c>
    </row>
    <row r="2614">
      <c r="R2614">
        <f>IFERROR(XLOOKUP(XLOOKUP(D2614,tblReleaseChanges[Change_ID],tblReleaseChanges[Oracle_Severity],""),tblSeverityMap[Severity_Text],tblSeverityMap[Score],0),0)</f>
        <v/>
      </c>
      <c r="T2614">
        <f>ROUND((M2614*0.25)+(N2614*0.20)+(O2614*0.15)+(P2614*0.15)+(Q2614*0.10)+(R2614*0.10)+(S2614*0.05),2)</f>
        <v/>
      </c>
      <c r="U2614">
        <f>IF(T2614&gt;=4.25,"Critical",IF(T2614&gt;=3.5,"High",IF(T2614&gt;=2,"Medium","Low")))</f>
        <v/>
      </c>
    </row>
    <row r="2615">
      <c r="R2615">
        <f>IFERROR(XLOOKUP(XLOOKUP(D2615,tblReleaseChanges[Change_ID],tblReleaseChanges[Oracle_Severity],""),tblSeverityMap[Severity_Text],tblSeverityMap[Score],0),0)</f>
        <v/>
      </c>
      <c r="T2615">
        <f>ROUND((M2615*0.25)+(N2615*0.20)+(O2615*0.15)+(P2615*0.15)+(Q2615*0.10)+(R2615*0.10)+(S2615*0.05),2)</f>
        <v/>
      </c>
      <c r="U2615">
        <f>IF(T2615&gt;=4.25,"Critical",IF(T2615&gt;=3.5,"High",IF(T2615&gt;=2,"Medium","Low")))</f>
        <v/>
      </c>
    </row>
    <row r="2616">
      <c r="R2616">
        <f>IFERROR(XLOOKUP(XLOOKUP(D2616,tblReleaseChanges[Change_ID],tblReleaseChanges[Oracle_Severity],""),tblSeverityMap[Severity_Text],tblSeverityMap[Score],0),0)</f>
        <v/>
      </c>
      <c r="T2616">
        <f>ROUND((M2616*0.25)+(N2616*0.20)+(O2616*0.15)+(P2616*0.15)+(Q2616*0.10)+(R2616*0.10)+(S2616*0.05),2)</f>
        <v/>
      </c>
      <c r="U2616">
        <f>IF(T2616&gt;=4.25,"Critical",IF(T2616&gt;=3.5,"High",IF(T2616&gt;=2,"Medium","Low")))</f>
        <v/>
      </c>
    </row>
    <row r="2617">
      <c r="R2617">
        <f>IFERROR(XLOOKUP(XLOOKUP(D2617,tblReleaseChanges[Change_ID],tblReleaseChanges[Oracle_Severity],""),tblSeverityMap[Severity_Text],tblSeverityMap[Score],0),0)</f>
        <v/>
      </c>
      <c r="T2617">
        <f>ROUND((M2617*0.25)+(N2617*0.20)+(O2617*0.15)+(P2617*0.15)+(Q2617*0.10)+(R2617*0.10)+(S2617*0.05),2)</f>
        <v/>
      </c>
      <c r="U2617">
        <f>IF(T2617&gt;=4.25,"Critical",IF(T2617&gt;=3.5,"High",IF(T2617&gt;=2,"Medium","Low")))</f>
        <v/>
      </c>
    </row>
    <row r="2618">
      <c r="R2618">
        <f>IFERROR(XLOOKUP(XLOOKUP(D2618,tblReleaseChanges[Change_ID],tblReleaseChanges[Oracle_Severity],""),tblSeverityMap[Severity_Text],tblSeverityMap[Score],0),0)</f>
        <v/>
      </c>
      <c r="T2618">
        <f>ROUND((M2618*0.25)+(N2618*0.20)+(O2618*0.15)+(P2618*0.15)+(Q2618*0.10)+(R2618*0.10)+(S2618*0.05),2)</f>
        <v/>
      </c>
      <c r="U2618">
        <f>IF(T2618&gt;=4.25,"Critical",IF(T2618&gt;=3.5,"High",IF(T2618&gt;=2,"Medium","Low")))</f>
        <v/>
      </c>
    </row>
    <row r="2619">
      <c r="R2619">
        <f>IFERROR(XLOOKUP(XLOOKUP(D2619,tblReleaseChanges[Change_ID],tblReleaseChanges[Oracle_Severity],""),tblSeverityMap[Severity_Text],tblSeverityMap[Score],0),0)</f>
        <v/>
      </c>
      <c r="T2619">
        <f>ROUND((M2619*0.25)+(N2619*0.20)+(O2619*0.15)+(P2619*0.15)+(Q2619*0.10)+(R2619*0.10)+(S2619*0.05),2)</f>
        <v/>
      </c>
      <c r="U2619">
        <f>IF(T2619&gt;=4.25,"Critical",IF(T2619&gt;=3.5,"High",IF(T2619&gt;=2,"Medium","Low")))</f>
        <v/>
      </c>
    </row>
    <row r="2620">
      <c r="R2620">
        <f>IFERROR(XLOOKUP(XLOOKUP(D2620,tblReleaseChanges[Change_ID],tblReleaseChanges[Oracle_Severity],""),tblSeverityMap[Severity_Text],tblSeverityMap[Score],0),0)</f>
        <v/>
      </c>
      <c r="T2620">
        <f>ROUND((M2620*0.25)+(N2620*0.20)+(O2620*0.15)+(P2620*0.15)+(Q2620*0.10)+(R2620*0.10)+(S2620*0.05),2)</f>
        <v/>
      </c>
      <c r="U2620">
        <f>IF(T2620&gt;=4.25,"Critical",IF(T2620&gt;=3.5,"High",IF(T2620&gt;=2,"Medium","Low")))</f>
        <v/>
      </c>
    </row>
    <row r="2621">
      <c r="R2621">
        <f>IFERROR(XLOOKUP(XLOOKUP(D2621,tblReleaseChanges[Change_ID],tblReleaseChanges[Oracle_Severity],""),tblSeverityMap[Severity_Text],tblSeverityMap[Score],0),0)</f>
        <v/>
      </c>
      <c r="T2621">
        <f>ROUND((M2621*0.25)+(N2621*0.20)+(O2621*0.15)+(P2621*0.15)+(Q2621*0.10)+(R2621*0.10)+(S2621*0.05),2)</f>
        <v/>
      </c>
      <c r="U2621">
        <f>IF(T2621&gt;=4.25,"Critical",IF(T2621&gt;=3.5,"High",IF(T2621&gt;=2,"Medium","Low")))</f>
        <v/>
      </c>
    </row>
    <row r="2622">
      <c r="R2622">
        <f>IFERROR(XLOOKUP(XLOOKUP(D2622,tblReleaseChanges[Change_ID],tblReleaseChanges[Oracle_Severity],""),tblSeverityMap[Severity_Text],tblSeverityMap[Score],0),0)</f>
        <v/>
      </c>
      <c r="T2622">
        <f>ROUND((M2622*0.25)+(N2622*0.20)+(O2622*0.15)+(P2622*0.15)+(Q2622*0.10)+(R2622*0.10)+(S2622*0.05),2)</f>
        <v/>
      </c>
      <c r="U2622">
        <f>IF(T2622&gt;=4.25,"Critical",IF(T2622&gt;=3.5,"High",IF(T2622&gt;=2,"Medium","Low")))</f>
        <v/>
      </c>
    </row>
    <row r="2623">
      <c r="R2623">
        <f>IFERROR(XLOOKUP(XLOOKUP(D2623,tblReleaseChanges[Change_ID],tblReleaseChanges[Oracle_Severity],""),tblSeverityMap[Severity_Text],tblSeverityMap[Score],0),0)</f>
        <v/>
      </c>
      <c r="T2623">
        <f>ROUND((M2623*0.25)+(N2623*0.20)+(O2623*0.15)+(P2623*0.15)+(Q2623*0.10)+(R2623*0.10)+(S2623*0.05),2)</f>
        <v/>
      </c>
      <c r="U2623">
        <f>IF(T2623&gt;=4.25,"Critical",IF(T2623&gt;=3.5,"High",IF(T2623&gt;=2,"Medium","Low")))</f>
        <v/>
      </c>
    </row>
    <row r="2624">
      <c r="R2624">
        <f>IFERROR(XLOOKUP(XLOOKUP(D2624,tblReleaseChanges[Change_ID],tblReleaseChanges[Oracle_Severity],""),tblSeverityMap[Severity_Text],tblSeverityMap[Score],0),0)</f>
        <v/>
      </c>
      <c r="T2624">
        <f>ROUND((M2624*0.25)+(N2624*0.20)+(O2624*0.15)+(P2624*0.15)+(Q2624*0.10)+(R2624*0.10)+(S2624*0.05),2)</f>
        <v/>
      </c>
      <c r="U2624">
        <f>IF(T2624&gt;=4.25,"Critical",IF(T2624&gt;=3.5,"High",IF(T2624&gt;=2,"Medium","Low")))</f>
        <v/>
      </c>
    </row>
    <row r="2625">
      <c r="R2625">
        <f>IFERROR(XLOOKUP(XLOOKUP(D2625,tblReleaseChanges[Change_ID],tblReleaseChanges[Oracle_Severity],""),tblSeverityMap[Severity_Text],tblSeverityMap[Score],0),0)</f>
        <v/>
      </c>
      <c r="T2625">
        <f>ROUND((M2625*0.25)+(N2625*0.20)+(O2625*0.15)+(P2625*0.15)+(Q2625*0.10)+(R2625*0.10)+(S2625*0.05),2)</f>
        <v/>
      </c>
      <c r="U2625">
        <f>IF(T2625&gt;=4.25,"Critical",IF(T2625&gt;=3.5,"High",IF(T2625&gt;=2,"Medium","Low")))</f>
        <v/>
      </c>
    </row>
    <row r="2626">
      <c r="R2626">
        <f>IFERROR(XLOOKUP(XLOOKUP(D2626,tblReleaseChanges[Change_ID],tblReleaseChanges[Oracle_Severity],""),tblSeverityMap[Severity_Text],tblSeverityMap[Score],0),0)</f>
        <v/>
      </c>
      <c r="T2626">
        <f>ROUND((M2626*0.25)+(N2626*0.20)+(O2626*0.15)+(P2626*0.15)+(Q2626*0.10)+(R2626*0.10)+(S2626*0.05),2)</f>
        <v/>
      </c>
      <c r="U2626">
        <f>IF(T2626&gt;=4.25,"Critical",IF(T2626&gt;=3.5,"High",IF(T2626&gt;=2,"Medium","Low")))</f>
        <v/>
      </c>
    </row>
    <row r="2627">
      <c r="R2627">
        <f>IFERROR(XLOOKUP(XLOOKUP(D2627,tblReleaseChanges[Change_ID],tblReleaseChanges[Oracle_Severity],""),tblSeverityMap[Severity_Text],tblSeverityMap[Score],0),0)</f>
        <v/>
      </c>
      <c r="T2627">
        <f>ROUND((M2627*0.25)+(N2627*0.20)+(O2627*0.15)+(P2627*0.15)+(Q2627*0.10)+(R2627*0.10)+(S2627*0.05),2)</f>
        <v/>
      </c>
      <c r="U2627">
        <f>IF(T2627&gt;=4.25,"Critical",IF(T2627&gt;=3.5,"High",IF(T2627&gt;=2,"Medium","Low")))</f>
        <v/>
      </c>
    </row>
    <row r="2628">
      <c r="R2628">
        <f>IFERROR(XLOOKUP(XLOOKUP(D2628,tblReleaseChanges[Change_ID],tblReleaseChanges[Oracle_Severity],""),tblSeverityMap[Severity_Text],tblSeverityMap[Score],0),0)</f>
        <v/>
      </c>
      <c r="T2628">
        <f>ROUND((M2628*0.25)+(N2628*0.20)+(O2628*0.15)+(P2628*0.15)+(Q2628*0.10)+(R2628*0.10)+(S2628*0.05),2)</f>
        <v/>
      </c>
      <c r="U2628">
        <f>IF(T2628&gt;=4.25,"Critical",IF(T2628&gt;=3.5,"High",IF(T2628&gt;=2,"Medium","Low")))</f>
        <v/>
      </c>
    </row>
    <row r="2629">
      <c r="R2629">
        <f>IFERROR(XLOOKUP(XLOOKUP(D2629,tblReleaseChanges[Change_ID],tblReleaseChanges[Oracle_Severity],""),tblSeverityMap[Severity_Text],tblSeverityMap[Score],0),0)</f>
        <v/>
      </c>
      <c r="T2629">
        <f>ROUND((M2629*0.25)+(N2629*0.20)+(O2629*0.15)+(P2629*0.15)+(Q2629*0.10)+(R2629*0.10)+(S2629*0.05),2)</f>
        <v/>
      </c>
      <c r="U2629">
        <f>IF(T2629&gt;=4.25,"Critical",IF(T2629&gt;=3.5,"High",IF(T2629&gt;=2,"Medium","Low")))</f>
        <v/>
      </c>
    </row>
    <row r="2630">
      <c r="R2630">
        <f>IFERROR(XLOOKUP(XLOOKUP(D2630,tblReleaseChanges[Change_ID],tblReleaseChanges[Oracle_Severity],""),tblSeverityMap[Severity_Text],tblSeverityMap[Score],0),0)</f>
        <v/>
      </c>
      <c r="T2630">
        <f>ROUND((M2630*0.25)+(N2630*0.20)+(O2630*0.15)+(P2630*0.15)+(Q2630*0.10)+(R2630*0.10)+(S2630*0.05),2)</f>
        <v/>
      </c>
      <c r="U2630">
        <f>IF(T2630&gt;=4.25,"Critical",IF(T2630&gt;=3.5,"High",IF(T2630&gt;=2,"Medium","Low")))</f>
        <v/>
      </c>
    </row>
    <row r="2631">
      <c r="R2631">
        <f>IFERROR(XLOOKUP(XLOOKUP(D2631,tblReleaseChanges[Change_ID],tblReleaseChanges[Oracle_Severity],""),tblSeverityMap[Severity_Text],tblSeverityMap[Score],0),0)</f>
        <v/>
      </c>
      <c r="T2631">
        <f>ROUND((M2631*0.25)+(N2631*0.20)+(O2631*0.15)+(P2631*0.15)+(Q2631*0.10)+(R2631*0.10)+(S2631*0.05),2)</f>
        <v/>
      </c>
      <c r="U2631">
        <f>IF(T2631&gt;=4.25,"Critical",IF(T2631&gt;=3.5,"High",IF(T2631&gt;=2,"Medium","Low")))</f>
        <v/>
      </c>
    </row>
    <row r="2632">
      <c r="R2632">
        <f>IFERROR(XLOOKUP(XLOOKUP(D2632,tblReleaseChanges[Change_ID],tblReleaseChanges[Oracle_Severity],""),tblSeverityMap[Severity_Text],tblSeverityMap[Score],0),0)</f>
        <v/>
      </c>
      <c r="T2632">
        <f>ROUND((M2632*0.25)+(N2632*0.20)+(O2632*0.15)+(P2632*0.15)+(Q2632*0.10)+(R2632*0.10)+(S2632*0.05),2)</f>
        <v/>
      </c>
      <c r="U2632">
        <f>IF(T2632&gt;=4.25,"Critical",IF(T2632&gt;=3.5,"High",IF(T2632&gt;=2,"Medium","Low")))</f>
        <v/>
      </c>
    </row>
    <row r="2633">
      <c r="R2633">
        <f>IFERROR(XLOOKUP(XLOOKUP(D2633,tblReleaseChanges[Change_ID],tblReleaseChanges[Oracle_Severity],""),tblSeverityMap[Severity_Text],tblSeverityMap[Score],0),0)</f>
        <v/>
      </c>
      <c r="T2633">
        <f>ROUND((M2633*0.25)+(N2633*0.20)+(O2633*0.15)+(P2633*0.15)+(Q2633*0.10)+(R2633*0.10)+(S2633*0.05),2)</f>
        <v/>
      </c>
      <c r="U2633">
        <f>IF(T2633&gt;=4.25,"Critical",IF(T2633&gt;=3.5,"High",IF(T2633&gt;=2,"Medium","Low")))</f>
        <v/>
      </c>
    </row>
    <row r="2634">
      <c r="R2634">
        <f>IFERROR(XLOOKUP(XLOOKUP(D2634,tblReleaseChanges[Change_ID],tblReleaseChanges[Oracle_Severity],""),tblSeverityMap[Severity_Text],tblSeverityMap[Score],0),0)</f>
        <v/>
      </c>
      <c r="T2634">
        <f>ROUND((M2634*0.25)+(N2634*0.20)+(O2634*0.15)+(P2634*0.15)+(Q2634*0.10)+(R2634*0.10)+(S2634*0.05),2)</f>
        <v/>
      </c>
      <c r="U2634">
        <f>IF(T2634&gt;=4.25,"Critical",IF(T2634&gt;=3.5,"High",IF(T2634&gt;=2,"Medium","Low")))</f>
        <v/>
      </c>
    </row>
    <row r="2635">
      <c r="R2635">
        <f>IFERROR(XLOOKUP(XLOOKUP(D2635,tblReleaseChanges[Change_ID],tblReleaseChanges[Oracle_Severity],""),tblSeverityMap[Severity_Text],tblSeverityMap[Score],0),0)</f>
        <v/>
      </c>
      <c r="T2635">
        <f>ROUND((M2635*0.25)+(N2635*0.20)+(O2635*0.15)+(P2635*0.15)+(Q2635*0.10)+(R2635*0.10)+(S2635*0.05),2)</f>
        <v/>
      </c>
      <c r="U2635">
        <f>IF(T2635&gt;=4.25,"Critical",IF(T2635&gt;=3.5,"High",IF(T2635&gt;=2,"Medium","Low")))</f>
        <v/>
      </c>
    </row>
    <row r="2636">
      <c r="R2636">
        <f>IFERROR(XLOOKUP(XLOOKUP(D2636,tblReleaseChanges[Change_ID],tblReleaseChanges[Oracle_Severity],""),tblSeverityMap[Severity_Text],tblSeverityMap[Score],0),0)</f>
        <v/>
      </c>
      <c r="T2636">
        <f>ROUND((M2636*0.25)+(N2636*0.20)+(O2636*0.15)+(P2636*0.15)+(Q2636*0.10)+(R2636*0.10)+(S2636*0.05),2)</f>
        <v/>
      </c>
      <c r="U2636">
        <f>IF(T2636&gt;=4.25,"Critical",IF(T2636&gt;=3.5,"High",IF(T2636&gt;=2,"Medium","Low")))</f>
        <v/>
      </c>
    </row>
    <row r="2637">
      <c r="R2637">
        <f>IFERROR(XLOOKUP(XLOOKUP(D2637,tblReleaseChanges[Change_ID],tblReleaseChanges[Oracle_Severity],""),tblSeverityMap[Severity_Text],tblSeverityMap[Score],0),0)</f>
        <v/>
      </c>
      <c r="T2637">
        <f>ROUND((M2637*0.25)+(N2637*0.20)+(O2637*0.15)+(P2637*0.15)+(Q2637*0.10)+(R2637*0.10)+(S2637*0.05),2)</f>
        <v/>
      </c>
      <c r="U2637">
        <f>IF(T2637&gt;=4.25,"Critical",IF(T2637&gt;=3.5,"High",IF(T2637&gt;=2,"Medium","Low")))</f>
        <v/>
      </c>
    </row>
    <row r="2638">
      <c r="R2638">
        <f>IFERROR(XLOOKUP(XLOOKUP(D2638,tblReleaseChanges[Change_ID],tblReleaseChanges[Oracle_Severity],""),tblSeverityMap[Severity_Text],tblSeverityMap[Score],0),0)</f>
        <v/>
      </c>
      <c r="T2638">
        <f>ROUND((M2638*0.25)+(N2638*0.20)+(O2638*0.15)+(P2638*0.15)+(Q2638*0.10)+(R2638*0.10)+(S2638*0.05),2)</f>
        <v/>
      </c>
      <c r="U2638">
        <f>IF(T2638&gt;=4.25,"Critical",IF(T2638&gt;=3.5,"High",IF(T2638&gt;=2,"Medium","Low")))</f>
        <v/>
      </c>
    </row>
    <row r="2639">
      <c r="R2639">
        <f>IFERROR(XLOOKUP(XLOOKUP(D2639,tblReleaseChanges[Change_ID],tblReleaseChanges[Oracle_Severity],""),tblSeverityMap[Severity_Text],tblSeverityMap[Score],0),0)</f>
        <v/>
      </c>
      <c r="T2639">
        <f>ROUND((M2639*0.25)+(N2639*0.20)+(O2639*0.15)+(P2639*0.15)+(Q2639*0.10)+(R2639*0.10)+(S2639*0.05),2)</f>
        <v/>
      </c>
      <c r="U2639">
        <f>IF(T2639&gt;=4.25,"Critical",IF(T2639&gt;=3.5,"High",IF(T2639&gt;=2,"Medium","Low")))</f>
        <v/>
      </c>
    </row>
    <row r="2640">
      <c r="R2640">
        <f>IFERROR(XLOOKUP(XLOOKUP(D2640,tblReleaseChanges[Change_ID],tblReleaseChanges[Oracle_Severity],""),tblSeverityMap[Severity_Text],tblSeverityMap[Score],0),0)</f>
        <v/>
      </c>
      <c r="T2640">
        <f>ROUND((M2640*0.25)+(N2640*0.20)+(O2640*0.15)+(P2640*0.15)+(Q2640*0.10)+(R2640*0.10)+(S2640*0.05),2)</f>
        <v/>
      </c>
      <c r="U2640">
        <f>IF(T2640&gt;=4.25,"Critical",IF(T2640&gt;=3.5,"High",IF(T2640&gt;=2,"Medium","Low")))</f>
        <v/>
      </c>
    </row>
    <row r="2641">
      <c r="R2641">
        <f>IFERROR(XLOOKUP(XLOOKUP(D2641,tblReleaseChanges[Change_ID],tblReleaseChanges[Oracle_Severity],""),tblSeverityMap[Severity_Text],tblSeverityMap[Score],0),0)</f>
        <v/>
      </c>
      <c r="T2641">
        <f>ROUND((M2641*0.25)+(N2641*0.20)+(O2641*0.15)+(P2641*0.15)+(Q2641*0.10)+(R2641*0.10)+(S2641*0.05),2)</f>
        <v/>
      </c>
      <c r="U2641">
        <f>IF(T2641&gt;=4.25,"Critical",IF(T2641&gt;=3.5,"High",IF(T2641&gt;=2,"Medium","Low")))</f>
        <v/>
      </c>
    </row>
    <row r="2642">
      <c r="R2642">
        <f>IFERROR(XLOOKUP(XLOOKUP(D2642,tblReleaseChanges[Change_ID],tblReleaseChanges[Oracle_Severity],""),tblSeverityMap[Severity_Text],tblSeverityMap[Score],0),0)</f>
        <v/>
      </c>
      <c r="T2642">
        <f>ROUND((M2642*0.25)+(N2642*0.20)+(O2642*0.15)+(P2642*0.15)+(Q2642*0.10)+(R2642*0.10)+(S2642*0.05),2)</f>
        <v/>
      </c>
      <c r="U2642">
        <f>IF(T2642&gt;=4.25,"Critical",IF(T2642&gt;=3.5,"High",IF(T2642&gt;=2,"Medium","Low")))</f>
        <v/>
      </c>
    </row>
    <row r="2643">
      <c r="R2643">
        <f>IFERROR(XLOOKUP(XLOOKUP(D2643,tblReleaseChanges[Change_ID],tblReleaseChanges[Oracle_Severity],""),tblSeverityMap[Severity_Text],tblSeverityMap[Score],0),0)</f>
        <v/>
      </c>
      <c r="T2643">
        <f>ROUND((M2643*0.25)+(N2643*0.20)+(O2643*0.15)+(P2643*0.15)+(Q2643*0.10)+(R2643*0.10)+(S2643*0.05),2)</f>
        <v/>
      </c>
      <c r="U2643">
        <f>IF(T2643&gt;=4.25,"Critical",IF(T2643&gt;=3.5,"High",IF(T2643&gt;=2,"Medium","Low")))</f>
        <v/>
      </c>
    </row>
    <row r="2644">
      <c r="R2644">
        <f>IFERROR(XLOOKUP(XLOOKUP(D2644,tblReleaseChanges[Change_ID],tblReleaseChanges[Oracle_Severity],""),tblSeverityMap[Severity_Text],tblSeverityMap[Score],0),0)</f>
        <v/>
      </c>
      <c r="T2644">
        <f>ROUND((M2644*0.25)+(N2644*0.20)+(O2644*0.15)+(P2644*0.15)+(Q2644*0.10)+(R2644*0.10)+(S2644*0.05),2)</f>
        <v/>
      </c>
      <c r="U2644">
        <f>IF(T2644&gt;=4.25,"Critical",IF(T2644&gt;=3.5,"High",IF(T2644&gt;=2,"Medium","Low")))</f>
        <v/>
      </c>
    </row>
    <row r="2645">
      <c r="R2645">
        <f>IFERROR(XLOOKUP(XLOOKUP(D2645,tblReleaseChanges[Change_ID],tblReleaseChanges[Oracle_Severity],""),tblSeverityMap[Severity_Text],tblSeverityMap[Score],0),0)</f>
        <v/>
      </c>
      <c r="T2645">
        <f>ROUND((M2645*0.25)+(N2645*0.20)+(O2645*0.15)+(P2645*0.15)+(Q2645*0.10)+(R2645*0.10)+(S2645*0.05),2)</f>
        <v/>
      </c>
      <c r="U2645">
        <f>IF(T2645&gt;=4.25,"Critical",IF(T2645&gt;=3.5,"High",IF(T2645&gt;=2,"Medium","Low")))</f>
        <v/>
      </c>
    </row>
    <row r="2646">
      <c r="R2646">
        <f>IFERROR(XLOOKUP(XLOOKUP(D2646,tblReleaseChanges[Change_ID],tblReleaseChanges[Oracle_Severity],""),tblSeverityMap[Severity_Text],tblSeverityMap[Score],0),0)</f>
        <v/>
      </c>
      <c r="T2646">
        <f>ROUND((M2646*0.25)+(N2646*0.20)+(O2646*0.15)+(P2646*0.15)+(Q2646*0.10)+(R2646*0.10)+(S2646*0.05),2)</f>
        <v/>
      </c>
      <c r="U2646">
        <f>IF(T2646&gt;=4.25,"Critical",IF(T2646&gt;=3.5,"High",IF(T2646&gt;=2,"Medium","Low")))</f>
        <v/>
      </c>
    </row>
    <row r="2647">
      <c r="R2647">
        <f>IFERROR(XLOOKUP(XLOOKUP(D2647,tblReleaseChanges[Change_ID],tblReleaseChanges[Oracle_Severity],""),tblSeverityMap[Severity_Text],tblSeverityMap[Score],0),0)</f>
        <v/>
      </c>
      <c r="T2647">
        <f>ROUND((M2647*0.25)+(N2647*0.20)+(O2647*0.15)+(P2647*0.15)+(Q2647*0.10)+(R2647*0.10)+(S2647*0.05),2)</f>
        <v/>
      </c>
      <c r="U2647">
        <f>IF(T2647&gt;=4.25,"Critical",IF(T2647&gt;=3.5,"High",IF(T2647&gt;=2,"Medium","Low")))</f>
        <v/>
      </c>
    </row>
    <row r="2648">
      <c r="R2648">
        <f>IFERROR(XLOOKUP(XLOOKUP(D2648,tblReleaseChanges[Change_ID],tblReleaseChanges[Oracle_Severity],""),tblSeverityMap[Severity_Text],tblSeverityMap[Score],0),0)</f>
        <v/>
      </c>
      <c r="T2648">
        <f>ROUND((M2648*0.25)+(N2648*0.20)+(O2648*0.15)+(P2648*0.15)+(Q2648*0.10)+(R2648*0.10)+(S2648*0.05),2)</f>
        <v/>
      </c>
      <c r="U2648">
        <f>IF(T2648&gt;=4.25,"Critical",IF(T2648&gt;=3.5,"High",IF(T2648&gt;=2,"Medium","Low")))</f>
        <v/>
      </c>
    </row>
    <row r="2649">
      <c r="R2649">
        <f>IFERROR(XLOOKUP(XLOOKUP(D2649,tblReleaseChanges[Change_ID],tblReleaseChanges[Oracle_Severity],""),tblSeverityMap[Severity_Text],tblSeverityMap[Score],0),0)</f>
        <v/>
      </c>
      <c r="T2649">
        <f>ROUND((M2649*0.25)+(N2649*0.20)+(O2649*0.15)+(P2649*0.15)+(Q2649*0.10)+(R2649*0.10)+(S2649*0.05),2)</f>
        <v/>
      </c>
      <c r="U2649">
        <f>IF(T2649&gt;=4.25,"Critical",IF(T2649&gt;=3.5,"High",IF(T2649&gt;=2,"Medium","Low")))</f>
        <v/>
      </c>
    </row>
    <row r="2650">
      <c r="R2650">
        <f>IFERROR(XLOOKUP(XLOOKUP(D2650,tblReleaseChanges[Change_ID],tblReleaseChanges[Oracle_Severity],""),tblSeverityMap[Severity_Text],tblSeverityMap[Score],0),0)</f>
        <v/>
      </c>
      <c r="T2650">
        <f>ROUND((M2650*0.25)+(N2650*0.20)+(O2650*0.15)+(P2650*0.15)+(Q2650*0.10)+(R2650*0.10)+(S2650*0.05),2)</f>
        <v/>
      </c>
      <c r="U2650">
        <f>IF(T2650&gt;=4.25,"Critical",IF(T2650&gt;=3.5,"High",IF(T2650&gt;=2,"Medium","Low")))</f>
        <v/>
      </c>
    </row>
    <row r="2651">
      <c r="R2651">
        <f>IFERROR(XLOOKUP(XLOOKUP(D2651,tblReleaseChanges[Change_ID],tblReleaseChanges[Oracle_Severity],""),tblSeverityMap[Severity_Text],tblSeverityMap[Score],0),0)</f>
        <v/>
      </c>
      <c r="T2651">
        <f>ROUND((M2651*0.25)+(N2651*0.20)+(O2651*0.15)+(P2651*0.15)+(Q2651*0.10)+(R2651*0.10)+(S2651*0.05),2)</f>
        <v/>
      </c>
      <c r="U2651">
        <f>IF(T2651&gt;=4.25,"Critical",IF(T2651&gt;=3.5,"High",IF(T2651&gt;=2,"Medium","Low")))</f>
        <v/>
      </c>
    </row>
    <row r="2652">
      <c r="R2652">
        <f>IFERROR(XLOOKUP(XLOOKUP(D2652,tblReleaseChanges[Change_ID],tblReleaseChanges[Oracle_Severity],""),tblSeverityMap[Severity_Text],tblSeverityMap[Score],0),0)</f>
        <v/>
      </c>
      <c r="T2652">
        <f>ROUND((M2652*0.25)+(N2652*0.20)+(O2652*0.15)+(P2652*0.15)+(Q2652*0.10)+(R2652*0.10)+(S2652*0.05),2)</f>
        <v/>
      </c>
      <c r="U2652">
        <f>IF(T2652&gt;=4.25,"Critical",IF(T2652&gt;=3.5,"High",IF(T2652&gt;=2,"Medium","Low")))</f>
        <v/>
      </c>
    </row>
    <row r="2653">
      <c r="R2653">
        <f>IFERROR(XLOOKUP(XLOOKUP(D2653,tblReleaseChanges[Change_ID],tblReleaseChanges[Oracle_Severity],""),tblSeverityMap[Severity_Text],tblSeverityMap[Score],0),0)</f>
        <v/>
      </c>
      <c r="T2653">
        <f>ROUND((M2653*0.25)+(N2653*0.20)+(O2653*0.15)+(P2653*0.15)+(Q2653*0.10)+(R2653*0.10)+(S2653*0.05),2)</f>
        <v/>
      </c>
      <c r="U2653">
        <f>IF(T2653&gt;=4.25,"Critical",IF(T2653&gt;=3.5,"High",IF(T2653&gt;=2,"Medium","Low")))</f>
        <v/>
      </c>
    </row>
    <row r="2654">
      <c r="R2654">
        <f>IFERROR(XLOOKUP(XLOOKUP(D2654,tblReleaseChanges[Change_ID],tblReleaseChanges[Oracle_Severity],""),tblSeverityMap[Severity_Text],tblSeverityMap[Score],0),0)</f>
        <v/>
      </c>
      <c r="T2654">
        <f>ROUND((M2654*0.25)+(N2654*0.20)+(O2654*0.15)+(P2654*0.15)+(Q2654*0.10)+(R2654*0.10)+(S2654*0.05),2)</f>
        <v/>
      </c>
      <c r="U2654">
        <f>IF(T2654&gt;=4.25,"Critical",IF(T2654&gt;=3.5,"High",IF(T2654&gt;=2,"Medium","Low")))</f>
        <v/>
      </c>
    </row>
    <row r="2655">
      <c r="R2655">
        <f>IFERROR(XLOOKUP(XLOOKUP(D2655,tblReleaseChanges[Change_ID],tblReleaseChanges[Oracle_Severity],""),tblSeverityMap[Severity_Text],tblSeverityMap[Score],0),0)</f>
        <v/>
      </c>
      <c r="T2655">
        <f>ROUND((M2655*0.25)+(N2655*0.20)+(O2655*0.15)+(P2655*0.15)+(Q2655*0.10)+(R2655*0.10)+(S2655*0.05),2)</f>
        <v/>
      </c>
      <c r="U2655">
        <f>IF(T2655&gt;=4.25,"Critical",IF(T2655&gt;=3.5,"High",IF(T2655&gt;=2,"Medium","Low")))</f>
        <v/>
      </c>
    </row>
    <row r="2656">
      <c r="R2656">
        <f>IFERROR(XLOOKUP(XLOOKUP(D2656,tblReleaseChanges[Change_ID],tblReleaseChanges[Oracle_Severity],""),tblSeverityMap[Severity_Text],tblSeverityMap[Score],0),0)</f>
        <v/>
      </c>
      <c r="T2656">
        <f>ROUND((M2656*0.25)+(N2656*0.20)+(O2656*0.15)+(P2656*0.15)+(Q2656*0.10)+(R2656*0.10)+(S2656*0.05),2)</f>
        <v/>
      </c>
      <c r="U2656">
        <f>IF(T2656&gt;=4.25,"Critical",IF(T2656&gt;=3.5,"High",IF(T2656&gt;=2,"Medium","Low")))</f>
        <v/>
      </c>
    </row>
    <row r="2657">
      <c r="R2657">
        <f>IFERROR(XLOOKUP(XLOOKUP(D2657,tblReleaseChanges[Change_ID],tblReleaseChanges[Oracle_Severity],""),tblSeverityMap[Severity_Text],tblSeverityMap[Score],0),0)</f>
        <v/>
      </c>
      <c r="T2657">
        <f>ROUND((M2657*0.25)+(N2657*0.20)+(O2657*0.15)+(P2657*0.15)+(Q2657*0.10)+(R2657*0.10)+(S2657*0.05),2)</f>
        <v/>
      </c>
      <c r="U2657">
        <f>IF(T2657&gt;=4.25,"Critical",IF(T2657&gt;=3.5,"High",IF(T2657&gt;=2,"Medium","Low")))</f>
        <v/>
      </c>
    </row>
    <row r="2658">
      <c r="R2658">
        <f>IFERROR(XLOOKUP(XLOOKUP(D2658,tblReleaseChanges[Change_ID],tblReleaseChanges[Oracle_Severity],""),tblSeverityMap[Severity_Text],tblSeverityMap[Score],0),0)</f>
        <v/>
      </c>
      <c r="T2658">
        <f>ROUND((M2658*0.25)+(N2658*0.20)+(O2658*0.15)+(P2658*0.15)+(Q2658*0.10)+(R2658*0.10)+(S2658*0.05),2)</f>
        <v/>
      </c>
      <c r="U2658">
        <f>IF(T2658&gt;=4.25,"Critical",IF(T2658&gt;=3.5,"High",IF(T2658&gt;=2,"Medium","Low")))</f>
        <v/>
      </c>
    </row>
    <row r="2659">
      <c r="R2659">
        <f>IFERROR(XLOOKUP(XLOOKUP(D2659,tblReleaseChanges[Change_ID],tblReleaseChanges[Oracle_Severity],""),tblSeverityMap[Severity_Text],tblSeverityMap[Score],0),0)</f>
        <v/>
      </c>
      <c r="T2659">
        <f>ROUND((M2659*0.25)+(N2659*0.20)+(O2659*0.15)+(P2659*0.15)+(Q2659*0.10)+(R2659*0.10)+(S2659*0.05),2)</f>
        <v/>
      </c>
      <c r="U2659">
        <f>IF(T2659&gt;=4.25,"Critical",IF(T2659&gt;=3.5,"High",IF(T2659&gt;=2,"Medium","Low")))</f>
        <v/>
      </c>
    </row>
    <row r="2660">
      <c r="R2660">
        <f>IFERROR(XLOOKUP(XLOOKUP(D2660,tblReleaseChanges[Change_ID],tblReleaseChanges[Oracle_Severity],""),tblSeverityMap[Severity_Text],tblSeverityMap[Score],0),0)</f>
        <v/>
      </c>
      <c r="T2660">
        <f>ROUND((M2660*0.25)+(N2660*0.20)+(O2660*0.15)+(P2660*0.15)+(Q2660*0.10)+(R2660*0.10)+(S2660*0.05),2)</f>
        <v/>
      </c>
      <c r="U2660">
        <f>IF(T2660&gt;=4.25,"Critical",IF(T2660&gt;=3.5,"High",IF(T2660&gt;=2,"Medium","Low")))</f>
        <v/>
      </c>
    </row>
    <row r="2661">
      <c r="R2661">
        <f>IFERROR(XLOOKUP(XLOOKUP(D2661,tblReleaseChanges[Change_ID],tblReleaseChanges[Oracle_Severity],""),tblSeverityMap[Severity_Text],tblSeverityMap[Score],0),0)</f>
        <v/>
      </c>
      <c r="T2661">
        <f>ROUND((M2661*0.25)+(N2661*0.20)+(O2661*0.15)+(P2661*0.15)+(Q2661*0.10)+(R2661*0.10)+(S2661*0.05),2)</f>
        <v/>
      </c>
      <c r="U2661">
        <f>IF(T2661&gt;=4.25,"Critical",IF(T2661&gt;=3.5,"High",IF(T2661&gt;=2,"Medium","Low")))</f>
        <v/>
      </c>
    </row>
    <row r="2662">
      <c r="R2662">
        <f>IFERROR(XLOOKUP(XLOOKUP(D2662,tblReleaseChanges[Change_ID],tblReleaseChanges[Oracle_Severity],""),tblSeverityMap[Severity_Text],tblSeverityMap[Score],0),0)</f>
        <v/>
      </c>
      <c r="T2662">
        <f>ROUND((M2662*0.25)+(N2662*0.20)+(O2662*0.15)+(P2662*0.15)+(Q2662*0.10)+(R2662*0.10)+(S2662*0.05),2)</f>
        <v/>
      </c>
      <c r="U2662">
        <f>IF(T2662&gt;=4.25,"Critical",IF(T2662&gt;=3.5,"High",IF(T2662&gt;=2,"Medium","Low")))</f>
        <v/>
      </c>
    </row>
    <row r="2663">
      <c r="R2663">
        <f>IFERROR(XLOOKUP(XLOOKUP(D2663,tblReleaseChanges[Change_ID],tblReleaseChanges[Oracle_Severity],""),tblSeverityMap[Severity_Text],tblSeverityMap[Score],0),0)</f>
        <v/>
      </c>
      <c r="T2663">
        <f>ROUND((M2663*0.25)+(N2663*0.20)+(O2663*0.15)+(P2663*0.15)+(Q2663*0.10)+(R2663*0.10)+(S2663*0.05),2)</f>
        <v/>
      </c>
      <c r="U2663">
        <f>IF(T2663&gt;=4.25,"Critical",IF(T2663&gt;=3.5,"High",IF(T2663&gt;=2,"Medium","Low")))</f>
        <v/>
      </c>
    </row>
    <row r="2664">
      <c r="R2664">
        <f>IFERROR(XLOOKUP(XLOOKUP(D2664,tblReleaseChanges[Change_ID],tblReleaseChanges[Oracle_Severity],""),tblSeverityMap[Severity_Text],tblSeverityMap[Score],0),0)</f>
        <v/>
      </c>
      <c r="T2664">
        <f>ROUND((M2664*0.25)+(N2664*0.20)+(O2664*0.15)+(P2664*0.15)+(Q2664*0.10)+(R2664*0.10)+(S2664*0.05),2)</f>
        <v/>
      </c>
      <c r="U2664">
        <f>IF(T2664&gt;=4.25,"Critical",IF(T2664&gt;=3.5,"High",IF(T2664&gt;=2,"Medium","Low")))</f>
        <v/>
      </c>
    </row>
    <row r="2665">
      <c r="R2665">
        <f>IFERROR(XLOOKUP(XLOOKUP(D2665,tblReleaseChanges[Change_ID],tblReleaseChanges[Oracle_Severity],""),tblSeverityMap[Severity_Text],tblSeverityMap[Score],0),0)</f>
        <v/>
      </c>
      <c r="T2665">
        <f>ROUND((M2665*0.25)+(N2665*0.20)+(O2665*0.15)+(P2665*0.15)+(Q2665*0.10)+(R2665*0.10)+(S2665*0.05),2)</f>
        <v/>
      </c>
      <c r="U2665">
        <f>IF(T2665&gt;=4.25,"Critical",IF(T2665&gt;=3.5,"High",IF(T2665&gt;=2,"Medium","Low")))</f>
        <v/>
      </c>
    </row>
    <row r="2666">
      <c r="R2666">
        <f>IFERROR(XLOOKUP(XLOOKUP(D2666,tblReleaseChanges[Change_ID],tblReleaseChanges[Oracle_Severity],""),tblSeverityMap[Severity_Text],tblSeverityMap[Score],0),0)</f>
        <v/>
      </c>
      <c r="T2666">
        <f>ROUND((M2666*0.25)+(N2666*0.20)+(O2666*0.15)+(P2666*0.15)+(Q2666*0.10)+(R2666*0.10)+(S2666*0.05),2)</f>
        <v/>
      </c>
      <c r="U2666">
        <f>IF(T2666&gt;=4.25,"Critical",IF(T2666&gt;=3.5,"High",IF(T2666&gt;=2,"Medium","Low")))</f>
        <v/>
      </c>
    </row>
    <row r="2667">
      <c r="R2667">
        <f>IFERROR(XLOOKUP(XLOOKUP(D2667,tblReleaseChanges[Change_ID],tblReleaseChanges[Oracle_Severity],""),tblSeverityMap[Severity_Text],tblSeverityMap[Score],0),0)</f>
        <v/>
      </c>
      <c r="T2667">
        <f>ROUND((M2667*0.25)+(N2667*0.20)+(O2667*0.15)+(P2667*0.15)+(Q2667*0.10)+(R2667*0.10)+(S2667*0.05),2)</f>
        <v/>
      </c>
      <c r="U2667">
        <f>IF(T2667&gt;=4.25,"Critical",IF(T2667&gt;=3.5,"High",IF(T2667&gt;=2,"Medium","Low")))</f>
        <v/>
      </c>
    </row>
    <row r="2668">
      <c r="R2668">
        <f>IFERROR(XLOOKUP(XLOOKUP(D2668,tblReleaseChanges[Change_ID],tblReleaseChanges[Oracle_Severity],""),tblSeverityMap[Severity_Text],tblSeverityMap[Score],0),0)</f>
        <v/>
      </c>
      <c r="T2668">
        <f>ROUND((M2668*0.25)+(N2668*0.20)+(O2668*0.15)+(P2668*0.15)+(Q2668*0.10)+(R2668*0.10)+(S2668*0.05),2)</f>
        <v/>
      </c>
      <c r="U2668">
        <f>IF(T2668&gt;=4.25,"Critical",IF(T2668&gt;=3.5,"High",IF(T2668&gt;=2,"Medium","Low")))</f>
        <v/>
      </c>
    </row>
    <row r="2669">
      <c r="R2669">
        <f>IFERROR(XLOOKUP(XLOOKUP(D2669,tblReleaseChanges[Change_ID],tblReleaseChanges[Oracle_Severity],""),tblSeverityMap[Severity_Text],tblSeverityMap[Score],0),0)</f>
        <v/>
      </c>
      <c r="T2669">
        <f>ROUND((M2669*0.25)+(N2669*0.20)+(O2669*0.15)+(P2669*0.15)+(Q2669*0.10)+(R2669*0.10)+(S2669*0.05),2)</f>
        <v/>
      </c>
      <c r="U2669">
        <f>IF(T2669&gt;=4.25,"Critical",IF(T2669&gt;=3.5,"High",IF(T2669&gt;=2,"Medium","Low")))</f>
        <v/>
      </c>
    </row>
    <row r="2670">
      <c r="R2670">
        <f>IFERROR(XLOOKUP(XLOOKUP(D2670,tblReleaseChanges[Change_ID],tblReleaseChanges[Oracle_Severity],""),tblSeverityMap[Severity_Text],tblSeverityMap[Score],0),0)</f>
        <v/>
      </c>
      <c r="T2670">
        <f>ROUND((M2670*0.25)+(N2670*0.20)+(O2670*0.15)+(P2670*0.15)+(Q2670*0.10)+(R2670*0.10)+(S2670*0.05),2)</f>
        <v/>
      </c>
      <c r="U2670">
        <f>IF(T2670&gt;=4.25,"Critical",IF(T2670&gt;=3.5,"High",IF(T2670&gt;=2,"Medium","Low")))</f>
        <v/>
      </c>
    </row>
    <row r="2671">
      <c r="R2671">
        <f>IFERROR(XLOOKUP(XLOOKUP(D2671,tblReleaseChanges[Change_ID],tblReleaseChanges[Oracle_Severity],""),tblSeverityMap[Severity_Text],tblSeverityMap[Score],0),0)</f>
        <v/>
      </c>
      <c r="T2671">
        <f>ROUND((M2671*0.25)+(N2671*0.20)+(O2671*0.15)+(P2671*0.15)+(Q2671*0.10)+(R2671*0.10)+(S2671*0.05),2)</f>
        <v/>
      </c>
      <c r="U2671">
        <f>IF(T2671&gt;=4.25,"Critical",IF(T2671&gt;=3.5,"High",IF(T2671&gt;=2,"Medium","Low")))</f>
        <v/>
      </c>
    </row>
    <row r="2672">
      <c r="R2672">
        <f>IFERROR(XLOOKUP(XLOOKUP(D2672,tblReleaseChanges[Change_ID],tblReleaseChanges[Oracle_Severity],""),tblSeverityMap[Severity_Text],tblSeverityMap[Score],0),0)</f>
        <v/>
      </c>
      <c r="T2672">
        <f>ROUND((M2672*0.25)+(N2672*0.20)+(O2672*0.15)+(P2672*0.15)+(Q2672*0.10)+(R2672*0.10)+(S2672*0.05),2)</f>
        <v/>
      </c>
      <c r="U2672">
        <f>IF(T2672&gt;=4.25,"Critical",IF(T2672&gt;=3.5,"High",IF(T2672&gt;=2,"Medium","Low")))</f>
        <v/>
      </c>
    </row>
    <row r="2673">
      <c r="R2673">
        <f>IFERROR(XLOOKUP(XLOOKUP(D2673,tblReleaseChanges[Change_ID],tblReleaseChanges[Oracle_Severity],""),tblSeverityMap[Severity_Text],tblSeverityMap[Score],0),0)</f>
        <v/>
      </c>
      <c r="T2673">
        <f>ROUND((M2673*0.25)+(N2673*0.20)+(O2673*0.15)+(P2673*0.15)+(Q2673*0.10)+(R2673*0.10)+(S2673*0.05),2)</f>
        <v/>
      </c>
      <c r="U2673">
        <f>IF(T2673&gt;=4.25,"Critical",IF(T2673&gt;=3.5,"High",IF(T2673&gt;=2,"Medium","Low")))</f>
        <v/>
      </c>
    </row>
    <row r="2674">
      <c r="R2674">
        <f>IFERROR(XLOOKUP(XLOOKUP(D2674,tblReleaseChanges[Change_ID],tblReleaseChanges[Oracle_Severity],""),tblSeverityMap[Severity_Text],tblSeverityMap[Score],0),0)</f>
        <v/>
      </c>
      <c r="T2674">
        <f>ROUND((M2674*0.25)+(N2674*0.20)+(O2674*0.15)+(P2674*0.15)+(Q2674*0.10)+(R2674*0.10)+(S2674*0.05),2)</f>
        <v/>
      </c>
      <c r="U2674">
        <f>IF(T2674&gt;=4.25,"Critical",IF(T2674&gt;=3.5,"High",IF(T2674&gt;=2,"Medium","Low")))</f>
        <v/>
      </c>
    </row>
    <row r="2675">
      <c r="R2675">
        <f>IFERROR(XLOOKUP(XLOOKUP(D2675,tblReleaseChanges[Change_ID],tblReleaseChanges[Oracle_Severity],""),tblSeverityMap[Severity_Text],tblSeverityMap[Score],0),0)</f>
        <v/>
      </c>
      <c r="T2675">
        <f>ROUND((M2675*0.25)+(N2675*0.20)+(O2675*0.15)+(P2675*0.15)+(Q2675*0.10)+(R2675*0.10)+(S2675*0.05),2)</f>
        <v/>
      </c>
      <c r="U2675">
        <f>IF(T2675&gt;=4.25,"Critical",IF(T2675&gt;=3.5,"High",IF(T2675&gt;=2,"Medium","Low")))</f>
        <v/>
      </c>
    </row>
    <row r="2676">
      <c r="R2676">
        <f>IFERROR(XLOOKUP(XLOOKUP(D2676,tblReleaseChanges[Change_ID],tblReleaseChanges[Oracle_Severity],""),tblSeverityMap[Severity_Text],tblSeverityMap[Score],0),0)</f>
        <v/>
      </c>
      <c r="T2676">
        <f>ROUND((M2676*0.25)+(N2676*0.20)+(O2676*0.15)+(P2676*0.15)+(Q2676*0.10)+(R2676*0.10)+(S2676*0.05),2)</f>
        <v/>
      </c>
      <c r="U2676">
        <f>IF(T2676&gt;=4.25,"Critical",IF(T2676&gt;=3.5,"High",IF(T2676&gt;=2,"Medium","Low")))</f>
        <v/>
      </c>
    </row>
    <row r="2677">
      <c r="R2677">
        <f>IFERROR(XLOOKUP(XLOOKUP(D2677,tblReleaseChanges[Change_ID],tblReleaseChanges[Oracle_Severity],""),tblSeverityMap[Severity_Text],tblSeverityMap[Score],0),0)</f>
        <v/>
      </c>
      <c r="T2677">
        <f>ROUND((M2677*0.25)+(N2677*0.20)+(O2677*0.15)+(P2677*0.15)+(Q2677*0.10)+(R2677*0.10)+(S2677*0.05),2)</f>
        <v/>
      </c>
      <c r="U2677">
        <f>IF(T2677&gt;=4.25,"Critical",IF(T2677&gt;=3.5,"High",IF(T2677&gt;=2,"Medium","Low")))</f>
        <v/>
      </c>
    </row>
    <row r="2678">
      <c r="R2678">
        <f>IFERROR(XLOOKUP(XLOOKUP(D2678,tblReleaseChanges[Change_ID],tblReleaseChanges[Oracle_Severity],""),tblSeverityMap[Severity_Text],tblSeverityMap[Score],0),0)</f>
        <v/>
      </c>
      <c r="T2678">
        <f>ROUND((M2678*0.25)+(N2678*0.20)+(O2678*0.15)+(P2678*0.15)+(Q2678*0.10)+(R2678*0.10)+(S2678*0.05),2)</f>
        <v/>
      </c>
      <c r="U2678">
        <f>IF(T2678&gt;=4.25,"Critical",IF(T2678&gt;=3.5,"High",IF(T2678&gt;=2,"Medium","Low")))</f>
        <v/>
      </c>
    </row>
    <row r="2679">
      <c r="R2679">
        <f>IFERROR(XLOOKUP(XLOOKUP(D2679,tblReleaseChanges[Change_ID],tblReleaseChanges[Oracle_Severity],""),tblSeverityMap[Severity_Text],tblSeverityMap[Score],0),0)</f>
        <v/>
      </c>
      <c r="T2679">
        <f>ROUND((M2679*0.25)+(N2679*0.20)+(O2679*0.15)+(P2679*0.15)+(Q2679*0.10)+(R2679*0.10)+(S2679*0.05),2)</f>
        <v/>
      </c>
      <c r="U2679">
        <f>IF(T2679&gt;=4.25,"Critical",IF(T2679&gt;=3.5,"High",IF(T2679&gt;=2,"Medium","Low")))</f>
        <v/>
      </c>
    </row>
    <row r="2680">
      <c r="R2680">
        <f>IFERROR(XLOOKUP(XLOOKUP(D2680,tblReleaseChanges[Change_ID],tblReleaseChanges[Oracle_Severity],""),tblSeverityMap[Severity_Text],tblSeverityMap[Score],0),0)</f>
        <v/>
      </c>
      <c r="T2680">
        <f>ROUND((M2680*0.25)+(N2680*0.20)+(O2680*0.15)+(P2680*0.15)+(Q2680*0.10)+(R2680*0.10)+(S2680*0.05),2)</f>
        <v/>
      </c>
      <c r="U2680">
        <f>IF(T2680&gt;=4.25,"Critical",IF(T2680&gt;=3.5,"High",IF(T2680&gt;=2,"Medium","Low")))</f>
        <v/>
      </c>
    </row>
    <row r="2681">
      <c r="R2681">
        <f>IFERROR(XLOOKUP(XLOOKUP(D2681,tblReleaseChanges[Change_ID],tblReleaseChanges[Oracle_Severity],""),tblSeverityMap[Severity_Text],tblSeverityMap[Score],0),0)</f>
        <v/>
      </c>
      <c r="T2681">
        <f>ROUND((M2681*0.25)+(N2681*0.20)+(O2681*0.15)+(P2681*0.15)+(Q2681*0.10)+(R2681*0.10)+(S2681*0.05),2)</f>
        <v/>
      </c>
      <c r="U2681">
        <f>IF(T2681&gt;=4.25,"Critical",IF(T2681&gt;=3.5,"High",IF(T2681&gt;=2,"Medium","Low")))</f>
        <v/>
      </c>
    </row>
    <row r="2682">
      <c r="R2682">
        <f>IFERROR(XLOOKUP(XLOOKUP(D2682,tblReleaseChanges[Change_ID],tblReleaseChanges[Oracle_Severity],""),tblSeverityMap[Severity_Text],tblSeverityMap[Score],0),0)</f>
        <v/>
      </c>
      <c r="T2682">
        <f>ROUND((M2682*0.25)+(N2682*0.20)+(O2682*0.15)+(P2682*0.15)+(Q2682*0.10)+(R2682*0.10)+(S2682*0.05),2)</f>
        <v/>
      </c>
      <c r="U2682">
        <f>IF(T2682&gt;=4.25,"Critical",IF(T2682&gt;=3.5,"High",IF(T2682&gt;=2,"Medium","Low")))</f>
        <v/>
      </c>
    </row>
    <row r="2683">
      <c r="R2683">
        <f>IFERROR(XLOOKUP(XLOOKUP(D2683,tblReleaseChanges[Change_ID],tblReleaseChanges[Oracle_Severity],""),tblSeverityMap[Severity_Text],tblSeverityMap[Score],0),0)</f>
        <v/>
      </c>
      <c r="T2683">
        <f>ROUND((M2683*0.25)+(N2683*0.20)+(O2683*0.15)+(P2683*0.15)+(Q2683*0.10)+(R2683*0.10)+(S2683*0.05),2)</f>
        <v/>
      </c>
      <c r="U2683">
        <f>IF(T2683&gt;=4.25,"Critical",IF(T2683&gt;=3.5,"High",IF(T2683&gt;=2,"Medium","Low")))</f>
        <v/>
      </c>
    </row>
    <row r="2684">
      <c r="R2684">
        <f>IFERROR(XLOOKUP(XLOOKUP(D2684,tblReleaseChanges[Change_ID],tblReleaseChanges[Oracle_Severity],""),tblSeverityMap[Severity_Text],tblSeverityMap[Score],0),0)</f>
        <v/>
      </c>
      <c r="T2684">
        <f>ROUND((M2684*0.25)+(N2684*0.20)+(O2684*0.15)+(P2684*0.15)+(Q2684*0.10)+(R2684*0.10)+(S2684*0.05),2)</f>
        <v/>
      </c>
      <c r="U2684">
        <f>IF(T2684&gt;=4.25,"Critical",IF(T2684&gt;=3.5,"High",IF(T2684&gt;=2,"Medium","Low")))</f>
        <v/>
      </c>
    </row>
    <row r="2685">
      <c r="R2685">
        <f>IFERROR(XLOOKUP(XLOOKUP(D2685,tblReleaseChanges[Change_ID],tblReleaseChanges[Oracle_Severity],""),tblSeverityMap[Severity_Text],tblSeverityMap[Score],0),0)</f>
        <v/>
      </c>
      <c r="T2685">
        <f>ROUND((M2685*0.25)+(N2685*0.20)+(O2685*0.15)+(P2685*0.15)+(Q2685*0.10)+(R2685*0.10)+(S2685*0.05),2)</f>
        <v/>
      </c>
      <c r="U2685">
        <f>IF(T2685&gt;=4.25,"Critical",IF(T2685&gt;=3.5,"High",IF(T2685&gt;=2,"Medium","Low")))</f>
        <v/>
      </c>
    </row>
    <row r="2686">
      <c r="R2686">
        <f>IFERROR(XLOOKUP(XLOOKUP(D2686,tblReleaseChanges[Change_ID],tblReleaseChanges[Oracle_Severity],""),tblSeverityMap[Severity_Text],tblSeverityMap[Score],0),0)</f>
        <v/>
      </c>
      <c r="T2686">
        <f>ROUND((M2686*0.25)+(N2686*0.20)+(O2686*0.15)+(P2686*0.15)+(Q2686*0.10)+(R2686*0.10)+(S2686*0.05),2)</f>
        <v/>
      </c>
      <c r="U2686">
        <f>IF(T2686&gt;=4.25,"Critical",IF(T2686&gt;=3.5,"High",IF(T2686&gt;=2,"Medium","Low")))</f>
        <v/>
      </c>
    </row>
    <row r="2687">
      <c r="R2687">
        <f>IFERROR(XLOOKUP(XLOOKUP(D2687,tblReleaseChanges[Change_ID],tblReleaseChanges[Oracle_Severity],""),tblSeverityMap[Severity_Text],tblSeverityMap[Score],0),0)</f>
        <v/>
      </c>
      <c r="T2687">
        <f>ROUND((M2687*0.25)+(N2687*0.20)+(O2687*0.15)+(P2687*0.15)+(Q2687*0.10)+(R2687*0.10)+(S2687*0.05),2)</f>
        <v/>
      </c>
      <c r="U2687">
        <f>IF(T2687&gt;=4.25,"Critical",IF(T2687&gt;=3.5,"High",IF(T2687&gt;=2,"Medium","Low")))</f>
        <v/>
      </c>
    </row>
    <row r="2688">
      <c r="R2688">
        <f>IFERROR(XLOOKUP(XLOOKUP(D2688,tblReleaseChanges[Change_ID],tblReleaseChanges[Oracle_Severity],""),tblSeverityMap[Severity_Text],tblSeverityMap[Score],0),0)</f>
        <v/>
      </c>
      <c r="T2688">
        <f>ROUND((M2688*0.25)+(N2688*0.20)+(O2688*0.15)+(P2688*0.15)+(Q2688*0.10)+(R2688*0.10)+(S2688*0.05),2)</f>
        <v/>
      </c>
      <c r="U2688">
        <f>IF(T2688&gt;=4.25,"Critical",IF(T2688&gt;=3.5,"High",IF(T2688&gt;=2,"Medium","Low")))</f>
        <v/>
      </c>
    </row>
    <row r="2689">
      <c r="R2689">
        <f>IFERROR(XLOOKUP(XLOOKUP(D2689,tblReleaseChanges[Change_ID],tblReleaseChanges[Oracle_Severity],""),tblSeverityMap[Severity_Text],tblSeverityMap[Score],0),0)</f>
        <v/>
      </c>
      <c r="T2689">
        <f>ROUND((M2689*0.25)+(N2689*0.20)+(O2689*0.15)+(P2689*0.15)+(Q2689*0.10)+(R2689*0.10)+(S2689*0.05),2)</f>
        <v/>
      </c>
      <c r="U2689">
        <f>IF(T2689&gt;=4.25,"Critical",IF(T2689&gt;=3.5,"High",IF(T2689&gt;=2,"Medium","Low")))</f>
        <v/>
      </c>
    </row>
    <row r="2690">
      <c r="R2690">
        <f>IFERROR(XLOOKUP(XLOOKUP(D2690,tblReleaseChanges[Change_ID],tblReleaseChanges[Oracle_Severity],""),tblSeverityMap[Severity_Text],tblSeverityMap[Score],0),0)</f>
        <v/>
      </c>
      <c r="T2690">
        <f>ROUND((M2690*0.25)+(N2690*0.20)+(O2690*0.15)+(P2690*0.15)+(Q2690*0.10)+(R2690*0.10)+(S2690*0.05),2)</f>
        <v/>
      </c>
      <c r="U2690">
        <f>IF(T2690&gt;=4.25,"Critical",IF(T2690&gt;=3.5,"High",IF(T2690&gt;=2,"Medium","Low")))</f>
        <v/>
      </c>
    </row>
    <row r="2691">
      <c r="R2691">
        <f>IFERROR(XLOOKUP(XLOOKUP(D2691,tblReleaseChanges[Change_ID],tblReleaseChanges[Oracle_Severity],""),tblSeverityMap[Severity_Text],tblSeverityMap[Score],0),0)</f>
        <v/>
      </c>
      <c r="T2691">
        <f>ROUND((M2691*0.25)+(N2691*0.20)+(O2691*0.15)+(P2691*0.15)+(Q2691*0.10)+(R2691*0.10)+(S2691*0.05),2)</f>
        <v/>
      </c>
      <c r="U2691">
        <f>IF(T2691&gt;=4.25,"Critical",IF(T2691&gt;=3.5,"High",IF(T2691&gt;=2,"Medium","Low")))</f>
        <v/>
      </c>
    </row>
    <row r="2692">
      <c r="R2692">
        <f>IFERROR(XLOOKUP(XLOOKUP(D2692,tblReleaseChanges[Change_ID],tblReleaseChanges[Oracle_Severity],""),tblSeverityMap[Severity_Text],tblSeverityMap[Score],0),0)</f>
        <v/>
      </c>
      <c r="T2692">
        <f>ROUND((M2692*0.25)+(N2692*0.20)+(O2692*0.15)+(P2692*0.15)+(Q2692*0.10)+(R2692*0.10)+(S2692*0.05),2)</f>
        <v/>
      </c>
      <c r="U2692">
        <f>IF(T2692&gt;=4.25,"Critical",IF(T2692&gt;=3.5,"High",IF(T2692&gt;=2,"Medium","Low")))</f>
        <v/>
      </c>
    </row>
    <row r="2693">
      <c r="R2693">
        <f>IFERROR(XLOOKUP(XLOOKUP(D2693,tblReleaseChanges[Change_ID],tblReleaseChanges[Oracle_Severity],""),tblSeverityMap[Severity_Text],tblSeverityMap[Score],0),0)</f>
        <v/>
      </c>
      <c r="T2693">
        <f>ROUND((M2693*0.25)+(N2693*0.20)+(O2693*0.15)+(P2693*0.15)+(Q2693*0.10)+(R2693*0.10)+(S2693*0.05),2)</f>
        <v/>
      </c>
      <c r="U2693">
        <f>IF(T2693&gt;=4.25,"Critical",IF(T2693&gt;=3.5,"High",IF(T2693&gt;=2,"Medium","Low")))</f>
        <v/>
      </c>
    </row>
    <row r="2694">
      <c r="R2694">
        <f>IFERROR(XLOOKUP(XLOOKUP(D2694,tblReleaseChanges[Change_ID],tblReleaseChanges[Oracle_Severity],""),tblSeverityMap[Severity_Text],tblSeverityMap[Score],0),0)</f>
        <v/>
      </c>
      <c r="T2694">
        <f>ROUND((M2694*0.25)+(N2694*0.20)+(O2694*0.15)+(P2694*0.15)+(Q2694*0.10)+(R2694*0.10)+(S2694*0.05),2)</f>
        <v/>
      </c>
      <c r="U2694">
        <f>IF(T2694&gt;=4.25,"Critical",IF(T2694&gt;=3.5,"High",IF(T2694&gt;=2,"Medium","Low")))</f>
        <v/>
      </c>
    </row>
    <row r="2695">
      <c r="R2695">
        <f>IFERROR(XLOOKUP(XLOOKUP(D2695,tblReleaseChanges[Change_ID],tblReleaseChanges[Oracle_Severity],""),tblSeverityMap[Severity_Text],tblSeverityMap[Score],0),0)</f>
        <v/>
      </c>
      <c r="T2695">
        <f>ROUND((M2695*0.25)+(N2695*0.20)+(O2695*0.15)+(P2695*0.15)+(Q2695*0.10)+(R2695*0.10)+(S2695*0.05),2)</f>
        <v/>
      </c>
      <c r="U2695">
        <f>IF(T2695&gt;=4.25,"Critical",IF(T2695&gt;=3.5,"High",IF(T2695&gt;=2,"Medium","Low")))</f>
        <v/>
      </c>
    </row>
    <row r="2696">
      <c r="R2696">
        <f>IFERROR(XLOOKUP(XLOOKUP(D2696,tblReleaseChanges[Change_ID],tblReleaseChanges[Oracle_Severity],""),tblSeverityMap[Severity_Text],tblSeverityMap[Score],0),0)</f>
        <v/>
      </c>
      <c r="T2696">
        <f>ROUND((M2696*0.25)+(N2696*0.20)+(O2696*0.15)+(P2696*0.15)+(Q2696*0.10)+(R2696*0.10)+(S2696*0.05),2)</f>
        <v/>
      </c>
      <c r="U2696">
        <f>IF(T2696&gt;=4.25,"Critical",IF(T2696&gt;=3.5,"High",IF(T2696&gt;=2,"Medium","Low")))</f>
        <v/>
      </c>
    </row>
    <row r="2697">
      <c r="R2697">
        <f>IFERROR(XLOOKUP(XLOOKUP(D2697,tblReleaseChanges[Change_ID],tblReleaseChanges[Oracle_Severity],""),tblSeverityMap[Severity_Text],tblSeverityMap[Score],0),0)</f>
        <v/>
      </c>
      <c r="T2697">
        <f>ROUND((M2697*0.25)+(N2697*0.20)+(O2697*0.15)+(P2697*0.15)+(Q2697*0.10)+(R2697*0.10)+(S2697*0.05),2)</f>
        <v/>
      </c>
      <c r="U2697">
        <f>IF(T2697&gt;=4.25,"Critical",IF(T2697&gt;=3.5,"High",IF(T2697&gt;=2,"Medium","Low")))</f>
        <v/>
      </c>
    </row>
    <row r="2698">
      <c r="R2698">
        <f>IFERROR(XLOOKUP(XLOOKUP(D2698,tblReleaseChanges[Change_ID],tblReleaseChanges[Oracle_Severity],""),tblSeverityMap[Severity_Text],tblSeverityMap[Score],0),0)</f>
        <v/>
      </c>
      <c r="T2698">
        <f>ROUND((M2698*0.25)+(N2698*0.20)+(O2698*0.15)+(P2698*0.15)+(Q2698*0.10)+(R2698*0.10)+(S2698*0.05),2)</f>
        <v/>
      </c>
      <c r="U2698">
        <f>IF(T2698&gt;=4.25,"Critical",IF(T2698&gt;=3.5,"High",IF(T2698&gt;=2,"Medium","Low")))</f>
        <v/>
      </c>
    </row>
    <row r="2699">
      <c r="R2699">
        <f>IFERROR(XLOOKUP(XLOOKUP(D2699,tblReleaseChanges[Change_ID],tblReleaseChanges[Oracle_Severity],""),tblSeverityMap[Severity_Text],tblSeverityMap[Score],0),0)</f>
        <v/>
      </c>
      <c r="T2699">
        <f>ROUND((M2699*0.25)+(N2699*0.20)+(O2699*0.15)+(P2699*0.15)+(Q2699*0.10)+(R2699*0.10)+(S2699*0.05),2)</f>
        <v/>
      </c>
      <c r="U2699">
        <f>IF(T2699&gt;=4.25,"Critical",IF(T2699&gt;=3.5,"High",IF(T2699&gt;=2,"Medium","Low")))</f>
        <v/>
      </c>
    </row>
    <row r="2700">
      <c r="R2700">
        <f>IFERROR(XLOOKUP(XLOOKUP(D2700,tblReleaseChanges[Change_ID],tblReleaseChanges[Oracle_Severity],""),tblSeverityMap[Severity_Text],tblSeverityMap[Score],0),0)</f>
        <v/>
      </c>
      <c r="T2700">
        <f>ROUND((M2700*0.25)+(N2700*0.20)+(O2700*0.15)+(P2700*0.15)+(Q2700*0.10)+(R2700*0.10)+(S2700*0.05),2)</f>
        <v/>
      </c>
      <c r="U2700">
        <f>IF(T2700&gt;=4.25,"Critical",IF(T2700&gt;=3.5,"High",IF(T2700&gt;=2,"Medium","Low")))</f>
        <v/>
      </c>
    </row>
    <row r="2701">
      <c r="R2701">
        <f>IFERROR(XLOOKUP(XLOOKUP(D2701,tblReleaseChanges[Change_ID],tblReleaseChanges[Oracle_Severity],""),tblSeverityMap[Severity_Text],tblSeverityMap[Score],0),0)</f>
        <v/>
      </c>
      <c r="T2701">
        <f>ROUND((M2701*0.25)+(N2701*0.20)+(O2701*0.15)+(P2701*0.15)+(Q2701*0.10)+(R2701*0.10)+(S2701*0.05),2)</f>
        <v/>
      </c>
      <c r="U2701">
        <f>IF(T2701&gt;=4.25,"Critical",IF(T2701&gt;=3.5,"High",IF(T2701&gt;=2,"Medium","Low")))</f>
        <v/>
      </c>
    </row>
    <row r="2702">
      <c r="R2702">
        <f>IFERROR(XLOOKUP(XLOOKUP(D2702,tblReleaseChanges[Change_ID],tblReleaseChanges[Oracle_Severity],""),tblSeverityMap[Severity_Text],tblSeverityMap[Score],0),0)</f>
        <v/>
      </c>
      <c r="T2702">
        <f>ROUND((M2702*0.25)+(N2702*0.20)+(O2702*0.15)+(P2702*0.15)+(Q2702*0.10)+(R2702*0.10)+(S2702*0.05),2)</f>
        <v/>
      </c>
      <c r="U2702">
        <f>IF(T2702&gt;=4.25,"Critical",IF(T2702&gt;=3.5,"High",IF(T2702&gt;=2,"Medium","Low")))</f>
        <v/>
      </c>
    </row>
    <row r="2703">
      <c r="R2703">
        <f>IFERROR(XLOOKUP(XLOOKUP(D2703,tblReleaseChanges[Change_ID],tblReleaseChanges[Oracle_Severity],""),tblSeverityMap[Severity_Text],tblSeverityMap[Score],0),0)</f>
        <v/>
      </c>
      <c r="T2703">
        <f>ROUND((M2703*0.25)+(N2703*0.20)+(O2703*0.15)+(P2703*0.15)+(Q2703*0.10)+(R2703*0.10)+(S2703*0.05),2)</f>
        <v/>
      </c>
      <c r="U2703">
        <f>IF(T2703&gt;=4.25,"Critical",IF(T2703&gt;=3.5,"High",IF(T2703&gt;=2,"Medium","Low")))</f>
        <v/>
      </c>
    </row>
    <row r="2704">
      <c r="R2704">
        <f>IFERROR(XLOOKUP(XLOOKUP(D2704,tblReleaseChanges[Change_ID],tblReleaseChanges[Oracle_Severity],""),tblSeverityMap[Severity_Text],tblSeverityMap[Score],0),0)</f>
        <v/>
      </c>
      <c r="T2704">
        <f>ROUND((M2704*0.25)+(N2704*0.20)+(O2704*0.15)+(P2704*0.15)+(Q2704*0.10)+(R2704*0.10)+(S2704*0.05),2)</f>
        <v/>
      </c>
      <c r="U2704">
        <f>IF(T2704&gt;=4.25,"Critical",IF(T2704&gt;=3.5,"High",IF(T2704&gt;=2,"Medium","Low")))</f>
        <v/>
      </c>
    </row>
    <row r="2705">
      <c r="R2705">
        <f>IFERROR(XLOOKUP(XLOOKUP(D2705,tblReleaseChanges[Change_ID],tblReleaseChanges[Oracle_Severity],""),tblSeverityMap[Severity_Text],tblSeverityMap[Score],0),0)</f>
        <v/>
      </c>
      <c r="T2705">
        <f>ROUND((M2705*0.25)+(N2705*0.20)+(O2705*0.15)+(P2705*0.15)+(Q2705*0.10)+(R2705*0.10)+(S2705*0.05),2)</f>
        <v/>
      </c>
      <c r="U2705">
        <f>IF(T2705&gt;=4.25,"Critical",IF(T2705&gt;=3.5,"High",IF(T2705&gt;=2,"Medium","Low")))</f>
        <v/>
      </c>
    </row>
    <row r="2706">
      <c r="R2706">
        <f>IFERROR(XLOOKUP(XLOOKUP(D2706,tblReleaseChanges[Change_ID],tblReleaseChanges[Oracle_Severity],""),tblSeverityMap[Severity_Text],tblSeverityMap[Score],0),0)</f>
        <v/>
      </c>
      <c r="T2706">
        <f>ROUND((M2706*0.25)+(N2706*0.20)+(O2706*0.15)+(P2706*0.15)+(Q2706*0.10)+(R2706*0.10)+(S2706*0.05),2)</f>
        <v/>
      </c>
      <c r="U2706">
        <f>IF(T2706&gt;=4.25,"Critical",IF(T2706&gt;=3.5,"High",IF(T2706&gt;=2,"Medium","Low")))</f>
        <v/>
      </c>
    </row>
    <row r="2707">
      <c r="R2707">
        <f>IFERROR(XLOOKUP(XLOOKUP(D2707,tblReleaseChanges[Change_ID],tblReleaseChanges[Oracle_Severity],""),tblSeverityMap[Severity_Text],tblSeverityMap[Score],0),0)</f>
        <v/>
      </c>
      <c r="T2707">
        <f>ROUND((M2707*0.25)+(N2707*0.20)+(O2707*0.15)+(P2707*0.15)+(Q2707*0.10)+(R2707*0.10)+(S2707*0.05),2)</f>
        <v/>
      </c>
      <c r="U2707">
        <f>IF(T2707&gt;=4.25,"Critical",IF(T2707&gt;=3.5,"High",IF(T2707&gt;=2,"Medium","Low")))</f>
        <v/>
      </c>
    </row>
    <row r="2708">
      <c r="R2708">
        <f>IFERROR(XLOOKUP(XLOOKUP(D2708,tblReleaseChanges[Change_ID],tblReleaseChanges[Oracle_Severity],""),tblSeverityMap[Severity_Text],tblSeverityMap[Score],0),0)</f>
        <v/>
      </c>
      <c r="T2708">
        <f>ROUND((M2708*0.25)+(N2708*0.20)+(O2708*0.15)+(P2708*0.15)+(Q2708*0.10)+(R2708*0.10)+(S2708*0.05),2)</f>
        <v/>
      </c>
      <c r="U2708">
        <f>IF(T2708&gt;=4.25,"Critical",IF(T2708&gt;=3.5,"High",IF(T2708&gt;=2,"Medium","Low")))</f>
        <v/>
      </c>
    </row>
    <row r="2709">
      <c r="R2709">
        <f>IFERROR(XLOOKUP(XLOOKUP(D2709,tblReleaseChanges[Change_ID],tblReleaseChanges[Oracle_Severity],""),tblSeverityMap[Severity_Text],tblSeverityMap[Score],0),0)</f>
        <v/>
      </c>
      <c r="T2709">
        <f>ROUND((M2709*0.25)+(N2709*0.20)+(O2709*0.15)+(P2709*0.15)+(Q2709*0.10)+(R2709*0.10)+(S2709*0.05),2)</f>
        <v/>
      </c>
      <c r="U2709">
        <f>IF(T2709&gt;=4.25,"Critical",IF(T2709&gt;=3.5,"High",IF(T2709&gt;=2,"Medium","Low")))</f>
        <v/>
      </c>
    </row>
    <row r="2710">
      <c r="R2710">
        <f>IFERROR(XLOOKUP(XLOOKUP(D2710,tblReleaseChanges[Change_ID],tblReleaseChanges[Oracle_Severity],""),tblSeverityMap[Severity_Text],tblSeverityMap[Score],0),0)</f>
        <v/>
      </c>
      <c r="T2710">
        <f>ROUND((M2710*0.25)+(N2710*0.20)+(O2710*0.15)+(P2710*0.15)+(Q2710*0.10)+(R2710*0.10)+(S2710*0.05),2)</f>
        <v/>
      </c>
      <c r="U2710">
        <f>IF(T2710&gt;=4.25,"Critical",IF(T2710&gt;=3.5,"High",IF(T2710&gt;=2,"Medium","Low")))</f>
        <v/>
      </c>
    </row>
    <row r="2711">
      <c r="R2711">
        <f>IFERROR(XLOOKUP(XLOOKUP(D2711,tblReleaseChanges[Change_ID],tblReleaseChanges[Oracle_Severity],""),tblSeverityMap[Severity_Text],tblSeverityMap[Score],0),0)</f>
        <v/>
      </c>
      <c r="T2711">
        <f>ROUND((M2711*0.25)+(N2711*0.20)+(O2711*0.15)+(P2711*0.15)+(Q2711*0.10)+(R2711*0.10)+(S2711*0.05),2)</f>
        <v/>
      </c>
      <c r="U2711">
        <f>IF(T2711&gt;=4.25,"Critical",IF(T2711&gt;=3.5,"High",IF(T2711&gt;=2,"Medium","Low")))</f>
        <v/>
      </c>
    </row>
    <row r="2712">
      <c r="R2712">
        <f>IFERROR(XLOOKUP(XLOOKUP(D2712,tblReleaseChanges[Change_ID],tblReleaseChanges[Oracle_Severity],""),tblSeverityMap[Severity_Text],tblSeverityMap[Score],0),0)</f>
        <v/>
      </c>
      <c r="T2712">
        <f>ROUND((M2712*0.25)+(N2712*0.20)+(O2712*0.15)+(P2712*0.15)+(Q2712*0.10)+(R2712*0.10)+(S2712*0.05),2)</f>
        <v/>
      </c>
      <c r="U2712">
        <f>IF(T2712&gt;=4.25,"Critical",IF(T2712&gt;=3.5,"High",IF(T2712&gt;=2,"Medium","Low")))</f>
        <v/>
      </c>
    </row>
    <row r="2713">
      <c r="R2713">
        <f>IFERROR(XLOOKUP(XLOOKUP(D2713,tblReleaseChanges[Change_ID],tblReleaseChanges[Oracle_Severity],""),tblSeverityMap[Severity_Text],tblSeverityMap[Score],0),0)</f>
        <v/>
      </c>
      <c r="T2713">
        <f>ROUND((M2713*0.25)+(N2713*0.20)+(O2713*0.15)+(P2713*0.15)+(Q2713*0.10)+(R2713*0.10)+(S2713*0.05),2)</f>
        <v/>
      </c>
      <c r="U2713">
        <f>IF(T2713&gt;=4.25,"Critical",IF(T2713&gt;=3.5,"High",IF(T2713&gt;=2,"Medium","Low")))</f>
        <v/>
      </c>
    </row>
    <row r="2714">
      <c r="R2714">
        <f>IFERROR(XLOOKUP(XLOOKUP(D2714,tblReleaseChanges[Change_ID],tblReleaseChanges[Oracle_Severity],""),tblSeverityMap[Severity_Text],tblSeverityMap[Score],0),0)</f>
        <v/>
      </c>
      <c r="T2714">
        <f>ROUND((M2714*0.25)+(N2714*0.20)+(O2714*0.15)+(P2714*0.15)+(Q2714*0.10)+(R2714*0.10)+(S2714*0.05),2)</f>
        <v/>
      </c>
      <c r="U2714">
        <f>IF(T2714&gt;=4.25,"Critical",IF(T2714&gt;=3.5,"High",IF(T2714&gt;=2,"Medium","Low")))</f>
        <v/>
      </c>
    </row>
    <row r="2715">
      <c r="R2715">
        <f>IFERROR(XLOOKUP(XLOOKUP(D2715,tblReleaseChanges[Change_ID],tblReleaseChanges[Oracle_Severity],""),tblSeverityMap[Severity_Text],tblSeverityMap[Score],0),0)</f>
        <v/>
      </c>
      <c r="T2715">
        <f>ROUND((M2715*0.25)+(N2715*0.20)+(O2715*0.15)+(P2715*0.15)+(Q2715*0.10)+(R2715*0.10)+(S2715*0.05),2)</f>
        <v/>
      </c>
      <c r="U2715">
        <f>IF(T2715&gt;=4.25,"Critical",IF(T2715&gt;=3.5,"High",IF(T2715&gt;=2,"Medium","Low")))</f>
        <v/>
      </c>
    </row>
    <row r="2716">
      <c r="R2716">
        <f>IFERROR(XLOOKUP(XLOOKUP(D2716,tblReleaseChanges[Change_ID],tblReleaseChanges[Oracle_Severity],""),tblSeverityMap[Severity_Text],tblSeverityMap[Score],0),0)</f>
        <v/>
      </c>
      <c r="T2716">
        <f>ROUND((M2716*0.25)+(N2716*0.20)+(O2716*0.15)+(P2716*0.15)+(Q2716*0.10)+(R2716*0.10)+(S2716*0.05),2)</f>
        <v/>
      </c>
      <c r="U2716">
        <f>IF(T2716&gt;=4.25,"Critical",IF(T2716&gt;=3.5,"High",IF(T2716&gt;=2,"Medium","Low")))</f>
        <v/>
      </c>
    </row>
    <row r="2717">
      <c r="R2717">
        <f>IFERROR(XLOOKUP(XLOOKUP(D2717,tblReleaseChanges[Change_ID],tblReleaseChanges[Oracle_Severity],""),tblSeverityMap[Severity_Text],tblSeverityMap[Score],0),0)</f>
        <v/>
      </c>
      <c r="T2717">
        <f>ROUND((M2717*0.25)+(N2717*0.20)+(O2717*0.15)+(P2717*0.15)+(Q2717*0.10)+(R2717*0.10)+(S2717*0.05),2)</f>
        <v/>
      </c>
      <c r="U2717">
        <f>IF(T2717&gt;=4.25,"Critical",IF(T2717&gt;=3.5,"High",IF(T2717&gt;=2,"Medium","Low")))</f>
        <v/>
      </c>
    </row>
    <row r="2718">
      <c r="R2718">
        <f>IFERROR(XLOOKUP(XLOOKUP(D2718,tblReleaseChanges[Change_ID],tblReleaseChanges[Oracle_Severity],""),tblSeverityMap[Severity_Text],tblSeverityMap[Score],0),0)</f>
        <v/>
      </c>
      <c r="T2718">
        <f>ROUND((M2718*0.25)+(N2718*0.20)+(O2718*0.15)+(P2718*0.15)+(Q2718*0.10)+(R2718*0.10)+(S2718*0.05),2)</f>
        <v/>
      </c>
      <c r="U2718">
        <f>IF(T2718&gt;=4.25,"Critical",IF(T2718&gt;=3.5,"High",IF(T2718&gt;=2,"Medium","Low")))</f>
        <v/>
      </c>
    </row>
    <row r="2719">
      <c r="R2719">
        <f>IFERROR(XLOOKUP(XLOOKUP(D2719,tblReleaseChanges[Change_ID],tblReleaseChanges[Oracle_Severity],""),tblSeverityMap[Severity_Text],tblSeverityMap[Score],0),0)</f>
        <v/>
      </c>
      <c r="T2719">
        <f>ROUND((M2719*0.25)+(N2719*0.20)+(O2719*0.15)+(P2719*0.15)+(Q2719*0.10)+(R2719*0.10)+(S2719*0.05),2)</f>
        <v/>
      </c>
      <c r="U2719">
        <f>IF(T2719&gt;=4.25,"Critical",IF(T2719&gt;=3.5,"High",IF(T2719&gt;=2,"Medium","Low")))</f>
        <v/>
      </c>
    </row>
    <row r="2720">
      <c r="R2720">
        <f>IFERROR(XLOOKUP(XLOOKUP(D2720,tblReleaseChanges[Change_ID],tblReleaseChanges[Oracle_Severity],""),tblSeverityMap[Severity_Text],tblSeverityMap[Score],0),0)</f>
        <v/>
      </c>
      <c r="T2720">
        <f>ROUND((M2720*0.25)+(N2720*0.20)+(O2720*0.15)+(P2720*0.15)+(Q2720*0.10)+(R2720*0.10)+(S2720*0.05),2)</f>
        <v/>
      </c>
      <c r="U2720">
        <f>IF(T2720&gt;=4.25,"Critical",IF(T2720&gt;=3.5,"High",IF(T2720&gt;=2,"Medium","Low")))</f>
        <v/>
      </c>
    </row>
    <row r="2721">
      <c r="R2721">
        <f>IFERROR(XLOOKUP(XLOOKUP(D2721,tblReleaseChanges[Change_ID],tblReleaseChanges[Oracle_Severity],""),tblSeverityMap[Severity_Text],tblSeverityMap[Score],0),0)</f>
        <v/>
      </c>
      <c r="T2721">
        <f>ROUND((M2721*0.25)+(N2721*0.20)+(O2721*0.15)+(P2721*0.15)+(Q2721*0.10)+(R2721*0.10)+(S2721*0.05),2)</f>
        <v/>
      </c>
      <c r="U2721">
        <f>IF(T2721&gt;=4.25,"Critical",IF(T2721&gt;=3.5,"High",IF(T2721&gt;=2,"Medium","Low")))</f>
        <v/>
      </c>
    </row>
    <row r="2722">
      <c r="R2722">
        <f>IFERROR(XLOOKUP(XLOOKUP(D2722,tblReleaseChanges[Change_ID],tblReleaseChanges[Oracle_Severity],""),tblSeverityMap[Severity_Text],tblSeverityMap[Score],0),0)</f>
        <v/>
      </c>
      <c r="T2722">
        <f>ROUND((M2722*0.25)+(N2722*0.20)+(O2722*0.15)+(P2722*0.15)+(Q2722*0.10)+(R2722*0.10)+(S2722*0.05),2)</f>
        <v/>
      </c>
      <c r="U2722">
        <f>IF(T2722&gt;=4.25,"Critical",IF(T2722&gt;=3.5,"High",IF(T2722&gt;=2,"Medium","Low")))</f>
        <v/>
      </c>
    </row>
    <row r="2723">
      <c r="R2723">
        <f>IFERROR(XLOOKUP(XLOOKUP(D2723,tblReleaseChanges[Change_ID],tblReleaseChanges[Oracle_Severity],""),tblSeverityMap[Severity_Text],tblSeverityMap[Score],0),0)</f>
        <v/>
      </c>
      <c r="T2723">
        <f>ROUND((M2723*0.25)+(N2723*0.20)+(O2723*0.15)+(P2723*0.15)+(Q2723*0.10)+(R2723*0.10)+(S2723*0.05),2)</f>
        <v/>
      </c>
      <c r="U2723">
        <f>IF(T2723&gt;=4.25,"Critical",IF(T2723&gt;=3.5,"High",IF(T2723&gt;=2,"Medium","Low")))</f>
        <v/>
      </c>
    </row>
    <row r="2724">
      <c r="R2724">
        <f>IFERROR(XLOOKUP(XLOOKUP(D2724,tblReleaseChanges[Change_ID],tblReleaseChanges[Oracle_Severity],""),tblSeverityMap[Severity_Text],tblSeverityMap[Score],0),0)</f>
        <v/>
      </c>
      <c r="T2724">
        <f>ROUND((M2724*0.25)+(N2724*0.20)+(O2724*0.15)+(P2724*0.15)+(Q2724*0.10)+(R2724*0.10)+(S2724*0.05),2)</f>
        <v/>
      </c>
      <c r="U2724">
        <f>IF(T2724&gt;=4.25,"Critical",IF(T2724&gt;=3.5,"High",IF(T2724&gt;=2,"Medium","Low")))</f>
        <v/>
      </c>
    </row>
    <row r="2725">
      <c r="R2725">
        <f>IFERROR(XLOOKUP(XLOOKUP(D2725,tblReleaseChanges[Change_ID],tblReleaseChanges[Oracle_Severity],""),tblSeverityMap[Severity_Text],tblSeverityMap[Score],0),0)</f>
        <v/>
      </c>
      <c r="T2725">
        <f>ROUND((M2725*0.25)+(N2725*0.20)+(O2725*0.15)+(P2725*0.15)+(Q2725*0.10)+(R2725*0.10)+(S2725*0.05),2)</f>
        <v/>
      </c>
      <c r="U2725">
        <f>IF(T2725&gt;=4.25,"Critical",IF(T2725&gt;=3.5,"High",IF(T2725&gt;=2,"Medium","Low")))</f>
        <v/>
      </c>
    </row>
    <row r="2726">
      <c r="R2726">
        <f>IFERROR(XLOOKUP(XLOOKUP(D2726,tblReleaseChanges[Change_ID],tblReleaseChanges[Oracle_Severity],""),tblSeverityMap[Severity_Text],tblSeverityMap[Score],0),0)</f>
        <v/>
      </c>
      <c r="T2726">
        <f>ROUND((M2726*0.25)+(N2726*0.20)+(O2726*0.15)+(P2726*0.15)+(Q2726*0.10)+(R2726*0.10)+(S2726*0.05),2)</f>
        <v/>
      </c>
      <c r="U2726">
        <f>IF(T2726&gt;=4.25,"Critical",IF(T2726&gt;=3.5,"High",IF(T2726&gt;=2,"Medium","Low")))</f>
        <v/>
      </c>
    </row>
    <row r="2727">
      <c r="R2727">
        <f>IFERROR(XLOOKUP(XLOOKUP(D2727,tblReleaseChanges[Change_ID],tblReleaseChanges[Oracle_Severity],""),tblSeverityMap[Severity_Text],tblSeverityMap[Score],0),0)</f>
        <v/>
      </c>
      <c r="T2727">
        <f>ROUND((M2727*0.25)+(N2727*0.20)+(O2727*0.15)+(P2727*0.15)+(Q2727*0.10)+(R2727*0.10)+(S2727*0.05),2)</f>
        <v/>
      </c>
      <c r="U2727">
        <f>IF(T2727&gt;=4.25,"Critical",IF(T2727&gt;=3.5,"High",IF(T2727&gt;=2,"Medium","Low")))</f>
        <v/>
      </c>
    </row>
    <row r="2728">
      <c r="R2728">
        <f>IFERROR(XLOOKUP(XLOOKUP(D2728,tblReleaseChanges[Change_ID],tblReleaseChanges[Oracle_Severity],""),tblSeverityMap[Severity_Text],tblSeverityMap[Score],0),0)</f>
        <v/>
      </c>
      <c r="T2728">
        <f>ROUND((M2728*0.25)+(N2728*0.20)+(O2728*0.15)+(P2728*0.15)+(Q2728*0.10)+(R2728*0.10)+(S2728*0.05),2)</f>
        <v/>
      </c>
      <c r="U2728">
        <f>IF(T2728&gt;=4.25,"Critical",IF(T2728&gt;=3.5,"High",IF(T2728&gt;=2,"Medium","Low")))</f>
        <v/>
      </c>
    </row>
    <row r="2729">
      <c r="R2729">
        <f>IFERROR(XLOOKUP(XLOOKUP(D2729,tblReleaseChanges[Change_ID],tblReleaseChanges[Oracle_Severity],""),tblSeverityMap[Severity_Text],tblSeverityMap[Score],0),0)</f>
        <v/>
      </c>
      <c r="T2729">
        <f>ROUND((M2729*0.25)+(N2729*0.20)+(O2729*0.15)+(P2729*0.15)+(Q2729*0.10)+(R2729*0.10)+(S2729*0.05),2)</f>
        <v/>
      </c>
      <c r="U2729">
        <f>IF(T2729&gt;=4.25,"Critical",IF(T2729&gt;=3.5,"High",IF(T2729&gt;=2,"Medium","Low")))</f>
        <v/>
      </c>
    </row>
    <row r="2730">
      <c r="R2730">
        <f>IFERROR(XLOOKUP(XLOOKUP(D2730,tblReleaseChanges[Change_ID],tblReleaseChanges[Oracle_Severity],""),tblSeverityMap[Severity_Text],tblSeverityMap[Score],0),0)</f>
        <v/>
      </c>
      <c r="T2730">
        <f>ROUND((M2730*0.25)+(N2730*0.20)+(O2730*0.15)+(P2730*0.15)+(Q2730*0.10)+(R2730*0.10)+(S2730*0.05),2)</f>
        <v/>
      </c>
      <c r="U2730">
        <f>IF(T2730&gt;=4.25,"Critical",IF(T2730&gt;=3.5,"High",IF(T2730&gt;=2,"Medium","Low")))</f>
        <v/>
      </c>
    </row>
    <row r="2731">
      <c r="R2731">
        <f>IFERROR(XLOOKUP(XLOOKUP(D2731,tblReleaseChanges[Change_ID],tblReleaseChanges[Oracle_Severity],""),tblSeverityMap[Severity_Text],tblSeverityMap[Score],0),0)</f>
        <v/>
      </c>
      <c r="T2731">
        <f>ROUND((M2731*0.25)+(N2731*0.20)+(O2731*0.15)+(P2731*0.15)+(Q2731*0.10)+(R2731*0.10)+(S2731*0.05),2)</f>
        <v/>
      </c>
      <c r="U2731">
        <f>IF(T2731&gt;=4.25,"Critical",IF(T2731&gt;=3.5,"High",IF(T2731&gt;=2,"Medium","Low")))</f>
        <v/>
      </c>
    </row>
    <row r="2732">
      <c r="R2732">
        <f>IFERROR(XLOOKUP(XLOOKUP(D2732,tblReleaseChanges[Change_ID],tblReleaseChanges[Oracle_Severity],""),tblSeverityMap[Severity_Text],tblSeverityMap[Score],0),0)</f>
        <v/>
      </c>
      <c r="T2732">
        <f>ROUND((M2732*0.25)+(N2732*0.20)+(O2732*0.15)+(P2732*0.15)+(Q2732*0.10)+(R2732*0.10)+(S2732*0.05),2)</f>
        <v/>
      </c>
      <c r="U2732">
        <f>IF(T2732&gt;=4.25,"Critical",IF(T2732&gt;=3.5,"High",IF(T2732&gt;=2,"Medium","Low")))</f>
        <v/>
      </c>
    </row>
    <row r="2733">
      <c r="R2733">
        <f>IFERROR(XLOOKUP(XLOOKUP(D2733,tblReleaseChanges[Change_ID],tblReleaseChanges[Oracle_Severity],""),tblSeverityMap[Severity_Text],tblSeverityMap[Score],0),0)</f>
        <v/>
      </c>
      <c r="T2733">
        <f>ROUND((M2733*0.25)+(N2733*0.20)+(O2733*0.15)+(P2733*0.15)+(Q2733*0.10)+(R2733*0.10)+(S2733*0.05),2)</f>
        <v/>
      </c>
      <c r="U2733">
        <f>IF(T2733&gt;=4.25,"Critical",IF(T2733&gt;=3.5,"High",IF(T2733&gt;=2,"Medium","Low")))</f>
        <v/>
      </c>
    </row>
    <row r="2734">
      <c r="R2734">
        <f>IFERROR(XLOOKUP(XLOOKUP(D2734,tblReleaseChanges[Change_ID],tblReleaseChanges[Oracle_Severity],""),tblSeverityMap[Severity_Text],tblSeverityMap[Score],0),0)</f>
        <v/>
      </c>
      <c r="T2734">
        <f>ROUND((M2734*0.25)+(N2734*0.20)+(O2734*0.15)+(P2734*0.15)+(Q2734*0.10)+(R2734*0.10)+(S2734*0.05),2)</f>
        <v/>
      </c>
      <c r="U2734">
        <f>IF(T2734&gt;=4.25,"Critical",IF(T2734&gt;=3.5,"High",IF(T2734&gt;=2,"Medium","Low")))</f>
        <v/>
      </c>
    </row>
    <row r="2735">
      <c r="R2735">
        <f>IFERROR(XLOOKUP(XLOOKUP(D2735,tblReleaseChanges[Change_ID],tblReleaseChanges[Oracle_Severity],""),tblSeverityMap[Severity_Text],tblSeverityMap[Score],0),0)</f>
        <v/>
      </c>
      <c r="T2735">
        <f>ROUND((M2735*0.25)+(N2735*0.20)+(O2735*0.15)+(P2735*0.15)+(Q2735*0.10)+(R2735*0.10)+(S2735*0.05),2)</f>
        <v/>
      </c>
      <c r="U2735">
        <f>IF(T2735&gt;=4.25,"Critical",IF(T2735&gt;=3.5,"High",IF(T2735&gt;=2,"Medium","Low")))</f>
        <v/>
      </c>
    </row>
    <row r="2736">
      <c r="R2736">
        <f>IFERROR(XLOOKUP(XLOOKUP(D2736,tblReleaseChanges[Change_ID],tblReleaseChanges[Oracle_Severity],""),tblSeverityMap[Severity_Text],tblSeverityMap[Score],0),0)</f>
        <v/>
      </c>
      <c r="T2736">
        <f>ROUND((M2736*0.25)+(N2736*0.20)+(O2736*0.15)+(P2736*0.15)+(Q2736*0.10)+(R2736*0.10)+(S2736*0.05),2)</f>
        <v/>
      </c>
      <c r="U2736">
        <f>IF(T2736&gt;=4.25,"Critical",IF(T2736&gt;=3.5,"High",IF(T2736&gt;=2,"Medium","Low")))</f>
        <v/>
      </c>
    </row>
    <row r="2737">
      <c r="R2737">
        <f>IFERROR(XLOOKUP(XLOOKUP(D2737,tblReleaseChanges[Change_ID],tblReleaseChanges[Oracle_Severity],""),tblSeverityMap[Severity_Text],tblSeverityMap[Score],0),0)</f>
        <v/>
      </c>
      <c r="T2737">
        <f>ROUND((M2737*0.25)+(N2737*0.20)+(O2737*0.15)+(P2737*0.15)+(Q2737*0.10)+(R2737*0.10)+(S2737*0.05),2)</f>
        <v/>
      </c>
      <c r="U2737">
        <f>IF(T2737&gt;=4.25,"Critical",IF(T2737&gt;=3.5,"High",IF(T2737&gt;=2,"Medium","Low")))</f>
        <v/>
      </c>
    </row>
    <row r="2738">
      <c r="R2738">
        <f>IFERROR(XLOOKUP(XLOOKUP(D2738,tblReleaseChanges[Change_ID],tblReleaseChanges[Oracle_Severity],""),tblSeverityMap[Severity_Text],tblSeverityMap[Score],0),0)</f>
        <v/>
      </c>
      <c r="T2738">
        <f>ROUND((M2738*0.25)+(N2738*0.20)+(O2738*0.15)+(P2738*0.15)+(Q2738*0.10)+(R2738*0.10)+(S2738*0.05),2)</f>
        <v/>
      </c>
      <c r="U2738">
        <f>IF(T2738&gt;=4.25,"Critical",IF(T2738&gt;=3.5,"High",IF(T2738&gt;=2,"Medium","Low")))</f>
        <v/>
      </c>
    </row>
    <row r="2739">
      <c r="R2739">
        <f>IFERROR(XLOOKUP(XLOOKUP(D2739,tblReleaseChanges[Change_ID],tblReleaseChanges[Oracle_Severity],""),tblSeverityMap[Severity_Text],tblSeverityMap[Score],0),0)</f>
        <v/>
      </c>
      <c r="T2739">
        <f>ROUND((M2739*0.25)+(N2739*0.20)+(O2739*0.15)+(P2739*0.15)+(Q2739*0.10)+(R2739*0.10)+(S2739*0.05),2)</f>
        <v/>
      </c>
      <c r="U2739">
        <f>IF(T2739&gt;=4.25,"Critical",IF(T2739&gt;=3.5,"High",IF(T2739&gt;=2,"Medium","Low")))</f>
        <v/>
      </c>
    </row>
    <row r="2740">
      <c r="R2740">
        <f>IFERROR(XLOOKUP(XLOOKUP(D2740,tblReleaseChanges[Change_ID],tblReleaseChanges[Oracle_Severity],""),tblSeverityMap[Severity_Text],tblSeverityMap[Score],0),0)</f>
        <v/>
      </c>
      <c r="T2740">
        <f>ROUND((M2740*0.25)+(N2740*0.20)+(O2740*0.15)+(P2740*0.15)+(Q2740*0.10)+(R2740*0.10)+(S2740*0.05),2)</f>
        <v/>
      </c>
      <c r="U2740">
        <f>IF(T2740&gt;=4.25,"Critical",IF(T2740&gt;=3.5,"High",IF(T2740&gt;=2,"Medium","Low")))</f>
        <v/>
      </c>
    </row>
    <row r="2741">
      <c r="R2741">
        <f>IFERROR(XLOOKUP(XLOOKUP(D2741,tblReleaseChanges[Change_ID],tblReleaseChanges[Oracle_Severity],""),tblSeverityMap[Severity_Text],tblSeverityMap[Score],0),0)</f>
        <v/>
      </c>
      <c r="T2741">
        <f>ROUND((M2741*0.25)+(N2741*0.20)+(O2741*0.15)+(P2741*0.15)+(Q2741*0.10)+(R2741*0.10)+(S2741*0.05),2)</f>
        <v/>
      </c>
      <c r="U2741">
        <f>IF(T2741&gt;=4.25,"Critical",IF(T2741&gt;=3.5,"High",IF(T2741&gt;=2,"Medium","Low")))</f>
        <v/>
      </c>
    </row>
    <row r="2742">
      <c r="R2742">
        <f>IFERROR(XLOOKUP(XLOOKUP(D2742,tblReleaseChanges[Change_ID],tblReleaseChanges[Oracle_Severity],""),tblSeverityMap[Severity_Text],tblSeverityMap[Score],0),0)</f>
        <v/>
      </c>
      <c r="T2742">
        <f>ROUND((M2742*0.25)+(N2742*0.20)+(O2742*0.15)+(P2742*0.15)+(Q2742*0.10)+(R2742*0.10)+(S2742*0.05),2)</f>
        <v/>
      </c>
      <c r="U2742">
        <f>IF(T2742&gt;=4.25,"Critical",IF(T2742&gt;=3.5,"High",IF(T2742&gt;=2,"Medium","Low")))</f>
        <v/>
      </c>
    </row>
    <row r="2743">
      <c r="R2743">
        <f>IFERROR(XLOOKUP(XLOOKUP(D2743,tblReleaseChanges[Change_ID],tblReleaseChanges[Oracle_Severity],""),tblSeverityMap[Severity_Text],tblSeverityMap[Score],0),0)</f>
        <v/>
      </c>
      <c r="T2743">
        <f>ROUND((M2743*0.25)+(N2743*0.20)+(O2743*0.15)+(P2743*0.15)+(Q2743*0.10)+(R2743*0.10)+(S2743*0.05),2)</f>
        <v/>
      </c>
      <c r="U2743">
        <f>IF(T2743&gt;=4.25,"Critical",IF(T2743&gt;=3.5,"High",IF(T2743&gt;=2,"Medium","Low")))</f>
        <v/>
      </c>
    </row>
    <row r="2744">
      <c r="R2744">
        <f>IFERROR(XLOOKUP(XLOOKUP(D2744,tblReleaseChanges[Change_ID],tblReleaseChanges[Oracle_Severity],""),tblSeverityMap[Severity_Text],tblSeverityMap[Score],0),0)</f>
        <v/>
      </c>
      <c r="T2744">
        <f>ROUND((M2744*0.25)+(N2744*0.20)+(O2744*0.15)+(P2744*0.15)+(Q2744*0.10)+(R2744*0.10)+(S2744*0.05),2)</f>
        <v/>
      </c>
      <c r="U2744">
        <f>IF(T2744&gt;=4.25,"Critical",IF(T2744&gt;=3.5,"High",IF(T2744&gt;=2,"Medium","Low")))</f>
        <v/>
      </c>
    </row>
    <row r="2745">
      <c r="R2745">
        <f>IFERROR(XLOOKUP(XLOOKUP(D2745,tblReleaseChanges[Change_ID],tblReleaseChanges[Oracle_Severity],""),tblSeverityMap[Severity_Text],tblSeverityMap[Score],0),0)</f>
        <v/>
      </c>
      <c r="T2745">
        <f>ROUND((M2745*0.25)+(N2745*0.20)+(O2745*0.15)+(P2745*0.15)+(Q2745*0.10)+(R2745*0.10)+(S2745*0.05),2)</f>
        <v/>
      </c>
      <c r="U2745">
        <f>IF(T2745&gt;=4.25,"Critical",IF(T2745&gt;=3.5,"High",IF(T2745&gt;=2,"Medium","Low")))</f>
        <v/>
      </c>
    </row>
    <row r="2746">
      <c r="R2746">
        <f>IFERROR(XLOOKUP(XLOOKUP(D2746,tblReleaseChanges[Change_ID],tblReleaseChanges[Oracle_Severity],""),tblSeverityMap[Severity_Text],tblSeverityMap[Score],0),0)</f>
        <v/>
      </c>
      <c r="T2746">
        <f>ROUND((M2746*0.25)+(N2746*0.20)+(O2746*0.15)+(P2746*0.15)+(Q2746*0.10)+(R2746*0.10)+(S2746*0.05),2)</f>
        <v/>
      </c>
      <c r="U2746">
        <f>IF(T2746&gt;=4.25,"Critical",IF(T2746&gt;=3.5,"High",IF(T2746&gt;=2,"Medium","Low")))</f>
        <v/>
      </c>
    </row>
    <row r="2747">
      <c r="R2747">
        <f>IFERROR(XLOOKUP(XLOOKUP(D2747,tblReleaseChanges[Change_ID],tblReleaseChanges[Oracle_Severity],""),tblSeverityMap[Severity_Text],tblSeverityMap[Score],0),0)</f>
        <v/>
      </c>
      <c r="T2747">
        <f>ROUND((M2747*0.25)+(N2747*0.20)+(O2747*0.15)+(P2747*0.15)+(Q2747*0.10)+(R2747*0.10)+(S2747*0.05),2)</f>
        <v/>
      </c>
      <c r="U2747">
        <f>IF(T2747&gt;=4.25,"Critical",IF(T2747&gt;=3.5,"High",IF(T2747&gt;=2,"Medium","Low")))</f>
        <v/>
      </c>
    </row>
    <row r="2748">
      <c r="R2748">
        <f>IFERROR(XLOOKUP(XLOOKUP(D2748,tblReleaseChanges[Change_ID],tblReleaseChanges[Oracle_Severity],""),tblSeverityMap[Severity_Text],tblSeverityMap[Score],0),0)</f>
        <v/>
      </c>
      <c r="T2748">
        <f>ROUND((M2748*0.25)+(N2748*0.20)+(O2748*0.15)+(P2748*0.15)+(Q2748*0.10)+(R2748*0.10)+(S2748*0.05),2)</f>
        <v/>
      </c>
      <c r="U2748">
        <f>IF(T2748&gt;=4.25,"Critical",IF(T2748&gt;=3.5,"High",IF(T2748&gt;=2,"Medium","Low")))</f>
        <v/>
      </c>
    </row>
    <row r="2749">
      <c r="R2749">
        <f>IFERROR(XLOOKUP(XLOOKUP(D2749,tblReleaseChanges[Change_ID],tblReleaseChanges[Oracle_Severity],""),tblSeverityMap[Severity_Text],tblSeverityMap[Score],0),0)</f>
        <v/>
      </c>
      <c r="T2749">
        <f>ROUND((M2749*0.25)+(N2749*0.20)+(O2749*0.15)+(P2749*0.15)+(Q2749*0.10)+(R2749*0.10)+(S2749*0.05),2)</f>
        <v/>
      </c>
      <c r="U2749">
        <f>IF(T2749&gt;=4.25,"Critical",IF(T2749&gt;=3.5,"High",IF(T2749&gt;=2,"Medium","Low")))</f>
        <v/>
      </c>
    </row>
    <row r="2750">
      <c r="R2750">
        <f>IFERROR(XLOOKUP(XLOOKUP(D2750,tblReleaseChanges[Change_ID],tblReleaseChanges[Oracle_Severity],""),tblSeverityMap[Severity_Text],tblSeverityMap[Score],0),0)</f>
        <v/>
      </c>
      <c r="T2750">
        <f>ROUND((M2750*0.25)+(N2750*0.20)+(O2750*0.15)+(P2750*0.15)+(Q2750*0.10)+(R2750*0.10)+(S2750*0.05),2)</f>
        <v/>
      </c>
      <c r="U2750">
        <f>IF(T2750&gt;=4.25,"Critical",IF(T2750&gt;=3.5,"High",IF(T2750&gt;=2,"Medium","Low")))</f>
        <v/>
      </c>
    </row>
    <row r="2751">
      <c r="R2751">
        <f>IFERROR(XLOOKUP(XLOOKUP(D2751,tblReleaseChanges[Change_ID],tblReleaseChanges[Oracle_Severity],""),tblSeverityMap[Severity_Text],tblSeverityMap[Score],0),0)</f>
        <v/>
      </c>
      <c r="T2751">
        <f>ROUND((M2751*0.25)+(N2751*0.20)+(O2751*0.15)+(P2751*0.15)+(Q2751*0.10)+(R2751*0.10)+(S2751*0.05),2)</f>
        <v/>
      </c>
      <c r="U2751">
        <f>IF(T2751&gt;=4.25,"Critical",IF(T2751&gt;=3.5,"High",IF(T2751&gt;=2,"Medium","Low")))</f>
        <v/>
      </c>
    </row>
    <row r="2752">
      <c r="R2752">
        <f>IFERROR(XLOOKUP(XLOOKUP(D2752,tblReleaseChanges[Change_ID],tblReleaseChanges[Oracle_Severity],""),tblSeverityMap[Severity_Text],tblSeverityMap[Score],0),0)</f>
        <v/>
      </c>
      <c r="T2752">
        <f>ROUND((M2752*0.25)+(N2752*0.20)+(O2752*0.15)+(P2752*0.15)+(Q2752*0.10)+(R2752*0.10)+(S2752*0.05),2)</f>
        <v/>
      </c>
      <c r="U2752">
        <f>IF(T2752&gt;=4.25,"Critical",IF(T2752&gt;=3.5,"High",IF(T2752&gt;=2,"Medium","Low")))</f>
        <v/>
      </c>
    </row>
    <row r="2753">
      <c r="R2753">
        <f>IFERROR(XLOOKUP(XLOOKUP(D2753,tblReleaseChanges[Change_ID],tblReleaseChanges[Oracle_Severity],""),tblSeverityMap[Severity_Text],tblSeverityMap[Score],0),0)</f>
        <v/>
      </c>
      <c r="T2753">
        <f>ROUND((M2753*0.25)+(N2753*0.20)+(O2753*0.15)+(P2753*0.15)+(Q2753*0.10)+(R2753*0.10)+(S2753*0.05),2)</f>
        <v/>
      </c>
      <c r="U2753">
        <f>IF(T2753&gt;=4.25,"Critical",IF(T2753&gt;=3.5,"High",IF(T2753&gt;=2,"Medium","Low")))</f>
        <v/>
      </c>
    </row>
    <row r="2754">
      <c r="R2754">
        <f>IFERROR(XLOOKUP(XLOOKUP(D2754,tblReleaseChanges[Change_ID],tblReleaseChanges[Oracle_Severity],""),tblSeverityMap[Severity_Text],tblSeverityMap[Score],0),0)</f>
        <v/>
      </c>
      <c r="T2754">
        <f>ROUND((M2754*0.25)+(N2754*0.20)+(O2754*0.15)+(P2754*0.15)+(Q2754*0.10)+(R2754*0.10)+(S2754*0.05),2)</f>
        <v/>
      </c>
      <c r="U2754">
        <f>IF(T2754&gt;=4.25,"Critical",IF(T2754&gt;=3.5,"High",IF(T2754&gt;=2,"Medium","Low")))</f>
        <v/>
      </c>
    </row>
    <row r="2755">
      <c r="R2755">
        <f>IFERROR(XLOOKUP(XLOOKUP(D2755,tblReleaseChanges[Change_ID],tblReleaseChanges[Oracle_Severity],""),tblSeverityMap[Severity_Text],tblSeverityMap[Score],0),0)</f>
        <v/>
      </c>
      <c r="T2755">
        <f>ROUND((M2755*0.25)+(N2755*0.20)+(O2755*0.15)+(P2755*0.15)+(Q2755*0.10)+(R2755*0.10)+(S2755*0.05),2)</f>
        <v/>
      </c>
      <c r="U2755">
        <f>IF(T2755&gt;=4.25,"Critical",IF(T2755&gt;=3.5,"High",IF(T2755&gt;=2,"Medium","Low")))</f>
        <v/>
      </c>
    </row>
    <row r="2756">
      <c r="R2756">
        <f>IFERROR(XLOOKUP(XLOOKUP(D2756,tblReleaseChanges[Change_ID],tblReleaseChanges[Oracle_Severity],""),tblSeverityMap[Severity_Text],tblSeverityMap[Score],0),0)</f>
        <v/>
      </c>
      <c r="T2756">
        <f>ROUND((M2756*0.25)+(N2756*0.20)+(O2756*0.15)+(P2756*0.15)+(Q2756*0.10)+(R2756*0.10)+(S2756*0.05),2)</f>
        <v/>
      </c>
      <c r="U2756">
        <f>IF(T2756&gt;=4.25,"Critical",IF(T2756&gt;=3.5,"High",IF(T2756&gt;=2,"Medium","Low")))</f>
        <v/>
      </c>
    </row>
    <row r="2757">
      <c r="R2757">
        <f>IFERROR(XLOOKUP(XLOOKUP(D2757,tblReleaseChanges[Change_ID],tblReleaseChanges[Oracle_Severity],""),tblSeverityMap[Severity_Text],tblSeverityMap[Score],0),0)</f>
        <v/>
      </c>
      <c r="T2757">
        <f>ROUND((M2757*0.25)+(N2757*0.20)+(O2757*0.15)+(P2757*0.15)+(Q2757*0.10)+(R2757*0.10)+(S2757*0.05),2)</f>
        <v/>
      </c>
      <c r="U2757">
        <f>IF(T2757&gt;=4.25,"Critical",IF(T2757&gt;=3.5,"High",IF(T2757&gt;=2,"Medium","Low")))</f>
        <v/>
      </c>
    </row>
    <row r="2758">
      <c r="R2758">
        <f>IFERROR(XLOOKUP(XLOOKUP(D2758,tblReleaseChanges[Change_ID],tblReleaseChanges[Oracle_Severity],""),tblSeverityMap[Severity_Text],tblSeverityMap[Score],0),0)</f>
        <v/>
      </c>
      <c r="T2758">
        <f>ROUND((M2758*0.25)+(N2758*0.20)+(O2758*0.15)+(P2758*0.15)+(Q2758*0.10)+(R2758*0.10)+(S2758*0.05),2)</f>
        <v/>
      </c>
      <c r="U2758">
        <f>IF(T2758&gt;=4.25,"Critical",IF(T2758&gt;=3.5,"High",IF(T2758&gt;=2,"Medium","Low")))</f>
        <v/>
      </c>
    </row>
    <row r="2759">
      <c r="R2759">
        <f>IFERROR(XLOOKUP(XLOOKUP(D2759,tblReleaseChanges[Change_ID],tblReleaseChanges[Oracle_Severity],""),tblSeverityMap[Severity_Text],tblSeverityMap[Score],0),0)</f>
        <v/>
      </c>
      <c r="T2759">
        <f>ROUND((M2759*0.25)+(N2759*0.20)+(O2759*0.15)+(P2759*0.15)+(Q2759*0.10)+(R2759*0.10)+(S2759*0.05),2)</f>
        <v/>
      </c>
      <c r="U2759">
        <f>IF(T2759&gt;=4.25,"Critical",IF(T2759&gt;=3.5,"High",IF(T2759&gt;=2,"Medium","Low")))</f>
        <v/>
      </c>
    </row>
    <row r="2760">
      <c r="R2760">
        <f>IFERROR(XLOOKUP(XLOOKUP(D2760,tblReleaseChanges[Change_ID],tblReleaseChanges[Oracle_Severity],""),tblSeverityMap[Severity_Text],tblSeverityMap[Score],0),0)</f>
        <v/>
      </c>
      <c r="T2760">
        <f>ROUND((M2760*0.25)+(N2760*0.20)+(O2760*0.15)+(P2760*0.15)+(Q2760*0.10)+(R2760*0.10)+(S2760*0.05),2)</f>
        <v/>
      </c>
      <c r="U2760">
        <f>IF(T2760&gt;=4.25,"Critical",IF(T2760&gt;=3.5,"High",IF(T2760&gt;=2,"Medium","Low")))</f>
        <v/>
      </c>
    </row>
    <row r="2761">
      <c r="R2761">
        <f>IFERROR(XLOOKUP(XLOOKUP(D2761,tblReleaseChanges[Change_ID],tblReleaseChanges[Oracle_Severity],""),tblSeverityMap[Severity_Text],tblSeverityMap[Score],0),0)</f>
        <v/>
      </c>
      <c r="T2761">
        <f>ROUND((M2761*0.25)+(N2761*0.20)+(O2761*0.15)+(P2761*0.15)+(Q2761*0.10)+(R2761*0.10)+(S2761*0.05),2)</f>
        <v/>
      </c>
      <c r="U2761">
        <f>IF(T2761&gt;=4.25,"Critical",IF(T2761&gt;=3.5,"High",IF(T2761&gt;=2,"Medium","Low")))</f>
        <v/>
      </c>
    </row>
    <row r="2762">
      <c r="R2762">
        <f>IFERROR(XLOOKUP(XLOOKUP(D2762,tblReleaseChanges[Change_ID],tblReleaseChanges[Oracle_Severity],""),tblSeverityMap[Severity_Text],tblSeverityMap[Score],0),0)</f>
        <v/>
      </c>
      <c r="T2762">
        <f>ROUND((M2762*0.25)+(N2762*0.20)+(O2762*0.15)+(P2762*0.15)+(Q2762*0.10)+(R2762*0.10)+(S2762*0.05),2)</f>
        <v/>
      </c>
      <c r="U2762">
        <f>IF(T2762&gt;=4.25,"Critical",IF(T2762&gt;=3.5,"High",IF(T2762&gt;=2,"Medium","Low")))</f>
        <v/>
      </c>
    </row>
    <row r="2763">
      <c r="R2763">
        <f>IFERROR(XLOOKUP(XLOOKUP(D2763,tblReleaseChanges[Change_ID],tblReleaseChanges[Oracle_Severity],""),tblSeverityMap[Severity_Text],tblSeverityMap[Score],0),0)</f>
        <v/>
      </c>
      <c r="T2763">
        <f>ROUND((M2763*0.25)+(N2763*0.20)+(O2763*0.15)+(P2763*0.15)+(Q2763*0.10)+(R2763*0.10)+(S2763*0.05),2)</f>
        <v/>
      </c>
      <c r="U2763">
        <f>IF(T2763&gt;=4.25,"Critical",IF(T2763&gt;=3.5,"High",IF(T2763&gt;=2,"Medium","Low")))</f>
        <v/>
      </c>
    </row>
    <row r="2764">
      <c r="R2764">
        <f>IFERROR(XLOOKUP(XLOOKUP(D2764,tblReleaseChanges[Change_ID],tblReleaseChanges[Oracle_Severity],""),tblSeverityMap[Severity_Text],tblSeverityMap[Score],0),0)</f>
        <v/>
      </c>
      <c r="T2764">
        <f>ROUND((M2764*0.25)+(N2764*0.20)+(O2764*0.15)+(P2764*0.15)+(Q2764*0.10)+(R2764*0.10)+(S2764*0.05),2)</f>
        <v/>
      </c>
      <c r="U2764">
        <f>IF(T2764&gt;=4.25,"Critical",IF(T2764&gt;=3.5,"High",IF(T2764&gt;=2,"Medium","Low")))</f>
        <v/>
      </c>
    </row>
    <row r="2765">
      <c r="R2765">
        <f>IFERROR(XLOOKUP(XLOOKUP(D2765,tblReleaseChanges[Change_ID],tblReleaseChanges[Oracle_Severity],""),tblSeverityMap[Severity_Text],tblSeverityMap[Score],0),0)</f>
        <v/>
      </c>
      <c r="T2765">
        <f>ROUND((M2765*0.25)+(N2765*0.20)+(O2765*0.15)+(P2765*0.15)+(Q2765*0.10)+(R2765*0.10)+(S2765*0.05),2)</f>
        <v/>
      </c>
      <c r="U2765">
        <f>IF(T2765&gt;=4.25,"Critical",IF(T2765&gt;=3.5,"High",IF(T2765&gt;=2,"Medium","Low")))</f>
        <v/>
      </c>
    </row>
    <row r="2766">
      <c r="R2766">
        <f>IFERROR(XLOOKUP(XLOOKUP(D2766,tblReleaseChanges[Change_ID],tblReleaseChanges[Oracle_Severity],""),tblSeverityMap[Severity_Text],tblSeverityMap[Score],0),0)</f>
        <v/>
      </c>
      <c r="T2766">
        <f>ROUND((M2766*0.25)+(N2766*0.20)+(O2766*0.15)+(P2766*0.15)+(Q2766*0.10)+(R2766*0.10)+(S2766*0.05),2)</f>
        <v/>
      </c>
      <c r="U2766">
        <f>IF(T2766&gt;=4.25,"Critical",IF(T2766&gt;=3.5,"High",IF(T2766&gt;=2,"Medium","Low")))</f>
        <v/>
      </c>
    </row>
    <row r="2767">
      <c r="R2767">
        <f>IFERROR(XLOOKUP(XLOOKUP(D2767,tblReleaseChanges[Change_ID],tblReleaseChanges[Oracle_Severity],""),tblSeverityMap[Severity_Text],tblSeverityMap[Score],0),0)</f>
        <v/>
      </c>
      <c r="T2767">
        <f>ROUND((M2767*0.25)+(N2767*0.20)+(O2767*0.15)+(P2767*0.15)+(Q2767*0.10)+(R2767*0.10)+(S2767*0.05),2)</f>
        <v/>
      </c>
      <c r="U2767">
        <f>IF(T2767&gt;=4.25,"Critical",IF(T2767&gt;=3.5,"High",IF(T2767&gt;=2,"Medium","Low")))</f>
        <v/>
      </c>
    </row>
    <row r="2768">
      <c r="R2768">
        <f>IFERROR(XLOOKUP(XLOOKUP(D2768,tblReleaseChanges[Change_ID],tblReleaseChanges[Oracle_Severity],""),tblSeverityMap[Severity_Text],tblSeverityMap[Score],0),0)</f>
        <v/>
      </c>
      <c r="T2768">
        <f>ROUND((M2768*0.25)+(N2768*0.20)+(O2768*0.15)+(P2768*0.15)+(Q2768*0.10)+(R2768*0.10)+(S2768*0.05),2)</f>
        <v/>
      </c>
      <c r="U2768">
        <f>IF(T2768&gt;=4.25,"Critical",IF(T2768&gt;=3.5,"High",IF(T2768&gt;=2,"Medium","Low")))</f>
        <v/>
      </c>
    </row>
    <row r="2769">
      <c r="R2769">
        <f>IFERROR(XLOOKUP(XLOOKUP(D2769,tblReleaseChanges[Change_ID],tblReleaseChanges[Oracle_Severity],""),tblSeverityMap[Severity_Text],tblSeverityMap[Score],0),0)</f>
        <v/>
      </c>
      <c r="T2769">
        <f>ROUND((M2769*0.25)+(N2769*0.20)+(O2769*0.15)+(P2769*0.15)+(Q2769*0.10)+(R2769*0.10)+(S2769*0.05),2)</f>
        <v/>
      </c>
      <c r="U2769">
        <f>IF(T2769&gt;=4.25,"Critical",IF(T2769&gt;=3.5,"High",IF(T2769&gt;=2,"Medium","Low")))</f>
        <v/>
      </c>
    </row>
    <row r="2770">
      <c r="R2770">
        <f>IFERROR(XLOOKUP(XLOOKUP(D2770,tblReleaseChanges[Change_ID],tblReleaseChanges[Oracle_Severity],""),tblSeverityMap[Severity_Text],tblSeverityMap[Score],0),0)</f>
        <v/>
      </c>
      <c r="T2770">
        <f>ROUND((M2770*0.25)+(N2770*0.20)+(O2770*0.15)+(P2770*0.15)+(Q2770*0.10)+(R2770*0.10)+(S2770*0.05),2)</f>
        <v/>
      </c>
      <c r="U2770">
        <f>IF(T2770&gt;=4.25,"Critical",IF(T2770&gt;=3.5,"High",IF(T2770&gt;=2,"Medium","Low")))</f>
        <v/>
      </c>
    </row>
    <row r="2771">
      <c r="R2771">
        <f>IFERROR(XLOOKUP(XLOOKUP(D2771,tblReleaseChanges[Change_ID],tblReleaseChanges[Oracle_Severity],""),tblSeverityMap[Severity_Text],tblSeverityMap[Score],0),0)</f>
        <v/>
      </c>
      <c r="T2771">
        <f>ROUND((M2771*0.25)+(N2771*0.20)+(O2771*0.15)+(P2771*0.15)+(Q2771*0.10)+(R2771*0.10)+(S2771*0.05),2)</f>
        <v/>
      </c>
      <c r="U2771">
        <f>IF(T2771&gt;=4.25,"Critical",IF(T2771&gt;=3.5,"High",IF(T2771&gt;=2,"Medium","Low")))</f>
        <v/>
      </c>
    </row>
    <row r="2772">
      <c r="R2772">
        <f>IFERROR(XLOOKUP(XLOOKUP(D2772,tblReleaseChanges[Change_ID],tblReleaseChanges[Oracle_Severity],""),tblSeverityMap[Severity_Text],tblSeverityMap[Score],0),0)</f>
        <v/>
      </c>
      <c r="T2772">
        <f>ROUND((M2772*0.25)+(N2772*0.20)+(O2772*0.15)+(P2772*0.15)+(Q2772*0.10)+(R2772*0.10)+(S2772*0.05),2)</f>
        <v/>
      </c>
      <c r="U2772">
        <f>IF(T2772&gt;=4.25,"Critical",IF(T2772&gt;=3.5,"High",IF(T2772&gt;=2,"Medium","Low")))</f>
        <v/>
      </c>
    </row>
    <row r="2773">
      <c r="R2773">
        <f>IFERROR(XLOOKUP(XLOOKUP(D2773,tblReleaseChanges[Change_ID],tblReleaseChanges[Oracle_Severity],""),tblSeverityMap[Severity_Text],tblSeverityMap[Score],0),0)</f>
        <v/>
      </c>
      <c r="T2773">
        <f>ROUND((M2773*0.25)+(N2773*0.20)+(O2773*0.15)+(P2773*0.15)+(Q2773*0.10)+(R2773*0.10)+(S2773*0.05),2)</f>
        <v/>
      </c>
      <c r="U2773">
        <f>IF(T2773&gt;=4.25,"Critical",IF(T2773&gt;=3.5,"High",IF(T2773&gt;=2,"Medium","Low")))</f>
        <v/>
      </c>
    </row>
    <row r="2774">
      <c r="R2774">
        <f>IFERROR(XLOOKUP(XLOOKUP(D2774,tblReleaseChanges[Change_ID],tblReleaseChanges[Oracle_Severity],""),tblSeverityMap[Severity_Text],tblSeverityMap[Score],0),0)</f>
        <v/>
      </c>
      <c r="T2774">
        <f>ROUND((M2774*0.25)+(N2774*0.20)+(O2774*0.15)+(P2774*0.15)+(Q2774*0.10)+(R2774*0.10)+(S2774*0.05),2)</f>
        <v/>
      </c>
      <c r="U2774">
        <f>IF(T2774&gt;=4.25,"Critical",IF(T2774&gt;=3.5,"High",IF(T2774&gt;=2,"Medium","Low")))</f>
        <v/>
      </c>
    </row>
    <row r="2775">
      <c r="R2775">
        <f>IFERROR(XLOOKUP(XLOOKUP(D2775,tblReleaseChanges[Change_ID],tblReleaseChanges[Oracle_Severity],""),tblSeverityMap[Severity_Text],tblSeverityMap[Score],0),0)</f>
        <v/>
      </c>
      <c r="T2775">
        <f>ROUND((M2775*0.25)+(N2775*0.20)+(O2775*0.15)+(P2775*0.15)+(Q2775*0.10)+(R2775*0.10)+(S2775*0.05),2)</f>
        <v/>
      </c>
      <c r="U2775">
        <f>IF(T2775&gt;=4.25,"Critical",IF(T2775&gt;=3.5,"High",IF(T2775&gt;=2,"Medium","Low")))</f>
        <v/>
      </c>
    </row>
    <row r="2776">
      <c r="R2776">
        <f>IFERROR(XLOOKUP(XLOOKUP(D2776,tblReleaseChanges[Change_ID],tblReleaseChanges[Oracle_Severity],""),tblSeverityMap[Severity_Text],tblSeverityMap[Score],0),0)</f>
        <v/>
      </c>
      <c r="T2776">
        <f>ROUND((M2776*0.25)+(N2776*0.20)+(O2776*0.15)+(P2776*0.15)+(Q2776*0.10)+(R2776*0.10)+(S2776*0.05),2)</f>
        <v/>
      </c>
      <c r="U2776">
        <f>IF(T2776&gt;=4.25,"Critical",IF(T2776&gt;=3.5,"High",IF(T2776&gt;=2,"Medium","Low")))</f>
        <v/>
      </c>
    </row>
    <row r="2777">
      <c r="R2777">
        <f>IFERROR(XLOOKUP(XLOOKUP(D2777,tblReleaseChanges[Change_ID],tblReleaseChanges[Oracle_Severity],""),tblSeverityMap[Severity_Text],tblSeverityMap[Score],0),0)</f>
        <v/>
      </c>
      <c r="T2777">
        <f>ROUND((M2777*0.25)+(N2777*0.20)+(O2777*0.15)+(P2777*0.15)+(Q2777*0.10)+(R2777*0.10)+(S2777*0.05),2)</f>
        <v/>
      </c>
      <c r="U2777">
        <f>IF(T2777&gt;=4.25,"Critical",IF(T2777&gt;=3.5,"High",IF(T2777&gt;=2,"Medium","Low")))</f>
        <v/>
      </c>
    </row>
    <row r="2778">
      <c r="R2778">
        <f>IFERROR(XLOOKUP(XLOOKUP(D2778,tblReleaseChanges[Change_ID],tblReleaseChanges[Oracle_Severity],""),tblSeverityMap[Severity_Text],tblSeverityMap[Score],0),0)</f>
        <v/>
      </c>
      <c r="T2778">
        <f>ROUND((M2778*0.25)+(N2778*0.20)+(O2778*0.15)+(P2778*0.15)+(Q2778*0.10)+(R2778*0.10)+(S2778*0.05),2)</f>
        <v/>
      </c>
      <c r="U2778">
        <f>IF(T2778&gt;=4.25,"Critical",IF(T2778&gt;=3.5,"High",IF(T2778&gt;=2,"Medium","Low")))</f>
        <v/>
      </c>
    </row>
    <row r="2779">
      <c r="R2779">
        <f>IFERROR(XLOOKUP(XLOOKUP(D2779,tblReleaseChanges[Change_ID],tblReleaseChanges[Oracle_Severity],""),tblSeverityMap[Severity_Text],tblSeverityMap[Score],0),0)</f>
        <v/>
      </c>
      <c r="T2779">
        <f>ROUND((M2779*0.25)+(N2779*0.20)+(O2779*0.15)+(P2779*0.15)+(Q2779*0.10)+(R2779*0.10)+(S2779*0.05),2)</f>
        <v/>
      </c>
      <c r="U2779">
        <f>IF(T2779&gt;=4.25,"Critical",IF(T2779&gt;=3.5,"High",IF(T2779&gt;=2,"Medium","Low")))</f>
        <v/>
      </c>
    </row>
    <row r="2780">
      <c r="R2780">
        <f>IFERROR(XLOOKUP(XLOOKUP(D2780,tblReleaseChanges[Change_ID],tblReleaseChanges[Oracle_Severity],""),tblSeverityMap[Severity_Text],tblSeverityMap[Score],0),0)</f>
        <v/>
      </c>
      <c r="T2780">
        <f>ROUND((M2780*0.25)+(N2780*0.20)+(O2780*0.15)+(P2780*0.15)+(Q2780*0.10)+(R2780*0.10)+(S2780*0.05),2)</f>
        <v/>
      </c>
      <c r="U2780">
        <f>IF(T2780&gt;=4.25,"Critical",IF(T2780&gt;=3.5,"High",IF(T2780&gt;=2,"Medium","Low")))</f>
        <v/>
      </c>
    </row>
    <row r="2781">
      <c r="R2781">
        <f>IFERROR(XLOOKUP(XLOOKUP(D2781,tblReleaseChanges[Change_ID],tblReleaseChanges[Oracle_Severity],""),tblSeverityMap[Severity_Text],tblSeverityMap[Score],0),0)</f>
        <v/>
      </c>
      <c r="T2781">
        <f>ROUND((M2781*0.25)+(N2781*0.20)+(O2781*0.15)+(P2781*0.15)+(Q2781*0.10)+(R2781*0.10)+(S2781*0.05),2)</f>
        <v/>
      </c>
      <c r="U2781">
        <f>IF(T2781&gt;=4.25,"Critical",IF(T2781&gt;=3.5,"High",IF(T2781&gt;=2,"Medium","Low")))</f>
        <v/>
      </c>
    </row>
    <row r="2782">
      <c r="R2782">
        <f>IFERROR(XLOOKUP(XLOOKUP(D2782,tblReleaseChanges[Change_ID],tblReleaseChanges[Oracle_Severity],""),tblSeverityMap[Severity_Text],tblSeverityMap[Score],0),0)</f>
        <v/>
      </c>
      <c r="T2782">
        <f>ROUND((M2782*0.25)+(N2782*0.20)+(O2782*0.15)+(P2782*0.15)+(Q2782*0.10)+(R2782*0.10)+(S2782*0.05),2)</f>
        <v/>
      </c>
      <c r="U2782">
        <f>IF(T2782&gt;=4.25,"Critical",IF(T2782&gt;=3.5,"High",IF(T2782&gt;=2,"Medium","Low")))</f>
        <v/>
      </c>
    </row>
    <row r="2783">
      <c r="R2783">
        <f>IFERROR(XLOOKUP(XLOOKUP(D2783,tblReleaseChanges[Change_ID],tblReleaseChanges[Oracle_Severity],""),tblSeverityMap[Severity_Text],tblSeverityMap[Score],0),0)</f>
        <v/>
      </c>
      <c r="T2783">
        <f>ROUND((M2783*0.25)+(N2783*0.20)+(O2783*0.15)+(P2783*0.15)+(Q2783*0.10)+(R2783*0.10)+(S2783*0.05),2)</f>
        <v/>
      </c>
      <c r="U2783">
        <f>IF(T2783&gt;=4.25,"Critical",IF(T2783&gt;=3.5,"High",IF(T2783&gt;=2,"Medium","Low")))</f>
        <v/>
      </c>
    </row>
    <row r="2784">
      <c r="R2784">
        <f>IFERROR(XLOOKUP(XLOOKUP(D2784,tblReleaseChanges[Change_ID],tblReleaseChanges[Oracle_Severity],""),tblSeverityMap[Severity_Text],tblSeverityMap[Score],0),0)</f>
        <v/>
      </c>
      <c r="T2784">
        <f>ROUND((M2784*0.25)+(N2784*0.20)+(O2784*0.15)+(P2784*0.15)+(Q2784*0.10)+(R2784*0.10)+(S2784*0.05),2)</f>
        <v/>
      </c>
      <c r="U2784">
        <f>IF(T2784&gt;=4.25,"Critical",IF(T2784&gt;=3.5,"High",IF(T2784&gt;=2,"Medium","Low")))</f>
        <v/>
      </c>
    </row>
    <row r="2785">
      <c r="R2785">
        <f>IFERROR(XLOOKUP(XLOOKUP(D2785,tblReleaseChanges[Change_ID],tblReleaseChanges[Oracle_Severity],""),tblSeverityMap[Severity_Text],tblSeverityMap[Score],0),0)</f>
        <v/>
      </c>
      <c r="T2785">
        <f>ROUND((M2785*0.25)+(N2785*0.20)+(O2785*0.15)+(P2785*0.15)+(Q2785*0.10)+(R2785*0.10)+(S2785*0.05),2)</f>
        <v/>
      </c>
      <c r="U2785">
        <f>IF(T2785&gt;=4.25,"Critical",IF(T2785&gt;=3.5,"High",IF(T2785&gt;=2,"Medium","Low")))</f>
        <v/>
      </c>
    </row>
    <row r="2786">
      <c r="R2786">
        <f>IFERROR(XLOOKUP(XLOOKUP(D2786,tblReleaseChanges[Change_ID],tblReleaseChanges[Oracle_Severity],""),tblSeverityMap[Severity_Text],tblSeverityMap[Score],0),0)</f>
        <v/>
      </c>
      <c r="T2786">
        <f>ROUND((M2786*0.25)+(N2786*0.20)+(O2786*0.15)+(P2786*0.15)+(Q2786*0.10)+(R2786*0.10)+(S2786*0.05),2)</f>
        <v/>
      </c>
      <c r="U2786">
        <f>IF(T2786&gt;=4.25,"Critical",IF(T2786&gt;=3.5,"High",IF(T2786&gt;=2,"Medium","Low")))</f>
        <v/>
      </c>
    </row>
    <row r="2787">
      <c r="R2787">
        <f>IFERROR(XLOOKUP(XLOOKUP(D2787,tblReleaseChanges[Change_ID],tblReleaseChanges[Oracle_Severity],""),tblSeverityMap[Severity_Text],tblSeverityMap[Score],0),0)</f>
        <v/>
      </c>
      <c r="T2787">
        <f>ROUND((M2787*0.25)+(N2787*0.20)+(O2787*0.15)+(P2787*0.15)+(Q2787*0.10)+(R2787*0.10)+(S2787*0.05),2)</f>
        <v/>
      </c>
      <c r="U2787">
        <f>IF(T2787&gt;=4.25,"Critical",IF(T2787&gt;=3.5,"High",IF(T2787&gt;=2,"Medium","Low")))</f>
        <v/>
      </c>
    </row>
    <row r="2788">
      <c r="R2788">
        <f>IFERROR(XLOOKUP(XLOOKUP(D2788,tblReleaseChanges[Change_ID],tblReleaseChanges[Oracle_Severity],""),tblSeverityMap[Severity_Text],tblSeverityMap[Score],0),0)</f>
        <v/>
      </c>
      <c r="T2788">
        <f>ROUND((M2788*0.25)+(N2788*0.20)+(O2788*0.15)+(P2788*0.15)+(Q2788*0.10)+(R2788*0.10)+(S2788*0.05),2)</f>
        <v/>
      </c>
      <c r="U2788">
        <f>IF(T2788&gt;=4.25,"Critical",IF(T2788&gt;=3.5,"High",IF(T2788&gt;=2,"Medium","Low")))</f>
        <v/>
      </c>
    </row>
    <row r="2789">
      <c r="R2789">
        <f>IFERROR(XLOOKUP(XLOOKUP(D2789,tblReleaseChanges[Change_ID],tblReleaseChanges[Oracle_Severity],""),tblSeverityMap[Severity_Text],tblSeverityMap[Score],0),0)</f>
        <v/>
      </c>
      <c r="T2789">
        <f>ROUND((M2789*0.25)+(N2789*0.20)+(O2789*0.15)+(P2789*0.15)+(Q2789*0.10)+(R2789*0.10)+(S2789*0.05),2)</f>
        <v/>
      </c>
      <c r="U2789">
        <f>IF(T2789&gt;=4.25,"Critical",IF(T2789&gt;=3.5,"High",IF(T2789&gt;=2,"Medium","Low")))</f>
        <v/>
      </c>
    </row>
    <row r="2790">
      <c r="R2790">
        <f>IFERROR(XLOOKUP(XLOOKUP(D2790,tblReleaseChanges[Change_ID],tblReleaseChanges[Oracle_Severity],""),tblSeverityMap[Severity_Text],tblSeverityMap[Score],0),0)</f>
        <v/>
      </c>
      <c r="T2790">
        <f>ROUND((M2790*0.25)+(N2790*0.20)+(O2790*0.15)+(P2790*0.15)+(Q2790*0.10)+(R2790*0.10)+(S2790*0.05),2)</f>
        <v/>
      </c>
      <c r="U2790">
        <f>IF(T2790&gt;=4.25,"Critical",IF(T2790&gt;=3.5,"High",IF(T2790&gt;=2,"Medium","Low")))</f>
        <v/>
      </c>
    </row>
    <row r="2791">
      <c r="R2791">
        <f>IFERROR(XLOOKUP(XLOOKUP(D2791,tblReleaseChanges[Change_ID],tblReleaseChanges[Oracle_Severity],""),tblSeverityMap[Severity_Text],tblSeverityMap[Score],0),0)</f>
        <v/>
      </c>
      <c r="T2791">
        <f>ROUND((M2791*0.25)+(N2791*0.20)+(O2791*0.15)+(P2791*0.15)+(Q2791*0.10)+(R2791*0.10)+(S2791*0.05),2)</f>
        <v/>
      </c>
      <c r="U2791">
        <f>IF(T2791&gt;=4.25,"Critical",IF(T2791&gt;=3.5,"High",IF(T2791&gt;=2,"Medium","Low")))</f>
        <v/>
      </c>
    </row>
    <row r="2792">
      <c r="R2792">
        <f>IFERROR(XLOOKUP(XLOOKUP(D2792,tblReleaseChanges[Change_ID],tblReleaseChanges[Oracle_Severity],""),tblSeverityMap[Severity_Text],tblSeverityMap[Score],0),0)</f>
        <v/>
      </c>
      <c r="T2792">
        <f>ROUND((M2792*0.25)+(N2792*0.20)+(O2792*0.15)+(P2792*0.15)+(Q2792*0.10)+(R2792*0.10)+(S2792*0.05),2)</f>
        <v/>
      </c>
      <c r="U2792">
        <f>IF(T2792&gt;=4.25,"Critical",IF(T2792&gt;=3.5,"High",IF(T2792&gt;=2,"Medium","Low")))</f>
        <v/>
      </c>
    </row>
    <row r="2793">
      <c r="R2793">
        <f>IFERROR(XLOOKUP(XLOOKUP(D2793,tblReleaseChanges[Change_ID],tblReleaseChanges[Oracle_Severity],""),tblSeverityMap[Severity_Text],tblSeverityMap[Score],0),0)</f>
        <v/>
      </c>
      <c r="T2793">
        <f>ROUND((M2793*0.25)+(N2793*0.20)+(O2793*0.15)+(P2793*0.15)+(Q2793*0.10)+(R2793*0.10)+(S2793*0.05),2)</f>
        <v/>
      </c>
      <c r="U2793">
        <f>IF(T2793&gt;=4.25,"Critical",IF(T2793&gt;=3.5,"High",IF(T2793&gt;=2,"Medium","Low")))</f>
        <v/>
      </c>
    </row>
    <row r="2794">
      <c r="R2794">
        <f>IFERROR(XLOOKUP(XLOOKUP(D2794,tblReleaseChanges[Change_ID],tblReleaseChanges[Oracle_Severity],""),tblSeverityMap[Severity_Text],tblSeverityMap[Score],0),0)</f>
        <v/>
      </c>
      <c r="T2794">
        <f>ROUND((M2794*0.25)+(N2794*0.20)+(O2794*0.15)+(P2794*0.15)+(Q2794*0.10)+(R2794*0.10)+(S2794*0.05),2)</f>
        <v/>
      </c>
      <c r="U2794">
        <f>IF(T2794&gt;=4.25,"Critical",IF(T2794&gt;=3.5,"High",IF(T2794&gt;=2,"Medium","Low")))</f>
        <v/>
      </c>
    </row>
    <row r="2795">
      <c r="R2795">
        <f>IFERROR(XLOOKUP(XLOOKUP(D2795,tblReleaseChanges[Change_ID],tblReleaseChanges[Oracle_Severity],""),tblSeverityMap[Severity_Text],tblSeverityMap[Score],0),0)</f>
        <v/>
      </c>
      <c r="T2795">
        <f>ROUND((M2795*0.25)+(N2795*0.20)+(O2795*0.15)+(P2795*0.15)+(Q2795*0.10)+(R2795*0.10)+(S2795*0.05),2)</f>
        <v/>
      </c>
      <c r="U2795">
        <f>IF(T2795&gt;=4.25,"Critical",IF(T2795&gt;=3.5,"High",IF(T2795&gt;=2,"Medium","Low")))</f>
        <v/>
      </c>
    </row>
    <row r="2796">
      <c r="R2796">
        <f>IFERROR(XLOOKUP(XLOOKUP(D2796,tblReleaseChanges[Change_ID],tblReleaseChanges[Oracle_Severity],""),tblSeverityMap[Severity_Text],tblSeverityMap[Score],0),0)</f>
        <v/>
      </c>
      <c r="T2796">
        <f>ROUND((M2796*0.25)+(N2796*0.20)+(O2796*0.15)+(P2796*0.15)+(Q2796*0.10)+(R2796*0.10)+(S2796*0.05),2)</f>
        <v/>
      </c>
      <c r="U2796">
        <f>IF(T2796&gt;=4.25,"Critical",IF(T2796&gt;=3.5,"High",IF(T2796&gt;=2,"Medium","Low")))</f>
        <v/>
      </c>
    </row>
    <row r="2797">
      <c r="R2797">
        <f>IFERROR(XLOOKUP(XLOOKUP(D2797,tblReleaseChanges[Change_ID],tblReleaseChanges[Oracle_Severity],""),tblSeverityMap[Severity_Text],tblSeverityMap[Score],0),0)</f>
        <v/>
      </c>
      <c r="T2797">
        <f>ROUND((M2797*0.25)+(N2797*0.20)+(O2797*0.15)+(P2797*0.15)+(Q2797*0.10)+(R2797*0.10)+(S2797*0.05),2)</f>
        <v/>
      </c>
      <c r="U2797">
        <f>IF(T2797&gt;=4.25,"Critical",IF(T2797&gt;=3.5,"High",IF(T2797&gt;=2,"Medium","Low")))</f>
        <v/>
      </c>
    </row>
    <row r="2798">
      <c r="R2798">
        <f>IFERROR(XLOOKUP(XLOOKUP(D2798,tblReleaseChanges[Change_ID],tblReleaseChanges[Oracle_Severity],""),tblSeverityMap[Severity_Text],tblSeverityMap[Score],0),0)</f>
        <v/>
      </c>
      <c r="T2798">
        <f>ROUND((M2798*0.25)+(N2798*0.20)+(O2798*0.15)+(P2798*0.15)+(Q2798*0.10)+(R2798*0.10)+(S2798*0.05),2)</f>
        <v/>
      </c>
      <c r="U2798">
        <f>IF(T2798&gt;=4.25,"Critical",IF(T2798&gt;=3.5,"High",IF(T2798&gt;=2,"Medium","Low")))</f>
        <v/>
      </c>
    </row>
    <row r="2799">
      <c r="R2799">
        <f>IFERROR(XLOOKUP(XLOOKUP(D2799,tblReleaseChanges[Change_ID],tblReleaseChanges[Oracle_Severity],""),tblSeverityMap[Severity_Text],tblSeverityMap[Score],0),0)</f>
        <v/>
      </c>
      <c r="T2799">
        <f>ROUND((M2799*0.25)+(N2799*0.20)+(O2799*0.15)+(P2799*0.15)+(Q2799*0.10)+(R2799*0.10)+(S2799*0.05),2)</f>
        <v/>
      </c>
      <c r="U2799">
        <f>IF(T2799&gt;=4.25,"Critical",IF(T2799&gt;=3.5,"High",IF(T2799&gt;=2,"Medium","Low")))</f>
        <v/>
      </c>
    </row>
    <row r="2800">
      <c r="R2800">
        <f>IFERROR(XLOOKUP(XLOOKUP(D2800,tblReleaseChanges[Change_ID],tblReleaseChanges[Oracle_Severity],""),tblSeverityMap[Severity_Text],tblSeverityMap[Score],0),0)</f>
        <v/>
      </c>
      <c r="T2800">
        <f>ROUND((M2800*0.25)+(N2800*0.20)+(O2800*0.15)+(P2800*0.15)+(Q2800*0.10)+(R2800*0.10)+(S2800*0.05),2)</f>
        <v/>
      </c>
      <c r="U2800">
        <f>IF(T2800&gt;=4.25,"Critical",IF(T2800&gt;=3.5,"High",IF(T2800&gt;=2,"Medium","Low")))</f>
        <v/>
      </c>
    </row>
    <row r="2801">
      <c r="R2801">
        <f>IFERROR(XLOOKUP(XLOOKUP(D2801,tblReleaseChanges[Change_ID],tblReleaseChanges[Oracle_Severity],""),tblSeverityMap[Severity_Text],tblSeverityMap[Score],0),0)</f>
        <v/>
      </c>
      <c r="T2801">
        <f>ROUND((M2801*0.25)+(N2801*0.20)+(O2801*0.15)+(P2801*0.15)+(Q2801*0.10)+(R2801*0.10)+(S2801*0.05),2)</f>
        <v/>
      </c>
      <c r="U2801">
        <f>IF(T2801&gt;=4.25,"Critical",IF(T2801&gt;=3.5,"High",IF(T2801&gt;=2,"Medium","Low")))</f>
        <v/>
      </c>
    </row>
    <row r="2802">
      <c r="R2802">
        <f>IFERROR(XLOOKUP(XLOOKUP(D2802,tblReleaseChanges[Change_ID],tblReleaseChanges[Oracle_Severity],""),tblSeverityMap[Severity_Text],tblSeverityMap[Score],0),0)</f>
        <v/>
      </c>
      <c r="T2802">
        <f>ROUND((M2802*0.25)+(N2802*0.20)+(O2802*0.15)+(P2802*0.15)+(Q2802*0.10)+(R2802*0.10)+(S2802*0.05),2)</f>
        <v/>
      </c>
      <c r="U2802">
        <f>IF(T2802&gt;=4.25,"Critical",IF(T2802&gt;=3.5,"High",IF(T2802&gt;=2,"Medium","Low")))</f>
        <v/>
      </c>
    </row>
    <row r="2803">
      <c r="R2803">
        <f>IFERROR(XLOOKUP(XLOOKUP(D2803,tblReleaseChanges[Change_ID],tblReleaseChanges[Oracle_Severity],""),tblSeverityMap[Severity_Text],tblSeverityMap[Score],0),0)</f>
        <v/>
      </c>
      <c r="T2803">
        <f>ROUND((M2803*0.25)+(N2803*0.20)+(O2803*0.15)+(P2803*0.15)+(Q2803*0.10)+(R2803*0.10)+(S2803*0.05),2)</f>
        <v/>
      </c>
      <c r="U2803">
        <f>IF(T2803&gt;=4.25,"Critical",IF(T2803&gt;=3.5,"High",IF(T2803&gt;=2,"Medium","Low")))</f>
        <v/>
      </c>
    </row>
    <row r="2804">
      <c r="R2804">
        <f>IFERROR(XLOOKUP(XLOOKUP(D2804,tblReleaseChanges[Change_ID],tblReleaseChanges[Oracle_Severity],""),tblSeverityMap[Severity_Text],tblSeverityMap[Score],0),0)</f>
        <v/>
      </c>
      <c r="T2804">
        <f>ROUND((M2804*0.25)+(N2804*0.20)+(O2804*0.15)+(P2804*0.15)+(Q2804*0.10)+(R2804*0.10)+(S2804*0.05),2)</f>
        <v/>
      </c>
      <c r="U2804">
        <f>IF(T2804&gt;=4.25,"Critical",IF(T2804&gt;=3.5,"High",IF(T2804&gt;=2,"Medium","Low")))</f>
        <v/>
      </c>
    </row>
    <row r="2805">
      <c r="R2805">
        <f>IFERROR(XLOOKUP(XLOOKUP(D2805,tblReleaseChanges[Change_ID],tblReleaseChanges[Oracle_Severity],""),tblSeverityMap[Severity_Text],tblSeverityMap[Score],0),0)</f>
        <v/>
      </c>
      <c r="T2805">
        <f>ROUND((M2805*0.25)+(N2805*0.20)+(O2805*0.15)+(P2805*0.15)+(Q2805*0.10)+(R2805*0.10)+(S2805*0.05),2)</f>
        <v/>
      </c>
      <c r="U2805">
        <f>IF(T2805&gt;=4.25,"Critical",IF(T2805&gt;=3.5,"High",IF(T2805&gt;=2,"Medium","Low")))</f>
        <v/>
      </c>
    </row>
    <row r="2806">
      <c r="R2806">
        <f>IFERROR(XLOOKUP(XLOOKUP(D2806,tblReleaseChanges[Change_ID],tblReleaseChanges[Oracle_Severity],""),tblSeverityMap[Severity_Text],tblSeverityMap[Score],0),0)</f>
        <v/>
      </c>
      <c r="T2806">
        <f>ROUND((M2806*0.25)+(N2806*0.20)+(O2806*0.15)+(P2806*0.15)+(Q2806*0.10)+(R2806*0.10)+(S2806*0.05),2)</f>
        <v/>
      </c>
      <c r="U2806">
        <f>IF(T2806&gt;=4.25,"Critical",IF(T2806&gt;=3.5,"High",IF(T2806&gt;=2,"Medium","Low")))</f>
        <v/>
      </c>
    </row>
    <row r="2807">
      <c r="R2807">
        <f>IFERROR(XLOOKUP(XLOOKUP(D2807,tblReleaseChanges[Change_ID],tblReleaseChanges[Oracle_Severity],""),tblSeverityMap[Severity_Text],tblSeverityMap[Score],0),0)</f>
        <v/>
      </c>
      <c r="T2807">
        <f>ROUND((M2807*0.25)+(N2807*0.20)+(O2807*0.15)+(P2807*0.15)+(Q2807*0.10)+(R2807*0.10)+(S2807*0.05),2)</f>
        <v/>
      </c>
      <c r="U2807">
        <f>IF(T2807&gt;=4.25,"Critical",IF(T2807&gt;=3.5,"High",IF(T2807&gt;=2,"Medium","Low")))</f>
        <v/>
      </c>
    </row>
    <row r="2808">
      <c r="R2808">
        <f>IFERROR(XLOOKUP(XLOOKUP(D2808,tblReleaseChanges[Change_ID],tblReleaseChanges[Oracle_Severity],""),tblSeverityMap[Severity_Text],tblSeverityMap[Score],0),0)</f>
        <v/>
      </c>
      <c r="T2808">
        <f>ROUND((M2808*0.25)+(N2808*0.20)+(O2808*0.15)+(P2808*0.15)+(Q2808*0.10)+(R2808*0.10)+(S2808*0.05),2)</f>
        <v/>
      </c>
      <c r="U2808">
        <f>IF(T2808&gt;=4.25,"Critical",IF(T2808&gt;=3.5,"High",IF(T2808&gt;=2,"Medium","Low")))</f>
        <v/>
      </c>
    </row>
    <row r="2809">
      <c r="R2809">
        <f>IFERROR(XLOOKUP(XLOOKUP(D2809,tblReleaseChanges[Change_ID],tblReleaseChanges[Oracle_Severity],""),tblSeverityMap[Severity_Text],tblSeverityMap[Score],0),0)</f>
        <v/>
      </c>
      <c r="T2809">
        <f>ROUND((M2809*0.25)+(N2809*0.20)+(O2809*0.15)+(P2809*0.15)+(Q2809*0.10)+(R2809*0.10)+(S2809*0.05),2)</f>
        <v/>
      </c>
      <c r="U2809">
        <f>IF(T2809&gt;=4.25,"Critical",IF(T2809&gt;=3.5,"High",IF(T2809&gt;=2,"Medium","Low")))</f>
        <v/>
      </c>
    </row>
    <row r="2810">
      <c r="R2810">
        <f>IFERROR(XLOOKUP(XLOOKUP(D2810,tblReleaseChanges[Change_ID],tblReleaseChanges[Oracle_Severity],""),tblSeverityMap[Severity_Text],tblSeverityMap[Score],0),0)</f>
        <v/>
      </c>
      <c r="T2810">
        <f>ROUND((M2810*0.25)+(N2810*0.20)+(O2810*0.15)+(P2810*0.15)+(Q2810*0.10)+(R2810*0.10)+(S2810*0.05),2)</f>
        <v/>
      </c>
      <c r="U2810">
        <f>IF(T2810&gt;=4.25,"Critical",IF(T2810&gt;=3.5,"High",IF(T2810&gt;=2,"Medium","Low")))</f>
        <v/>
      </c>
    </row>
    <row r="2811">
      <c r="R2811">
        <f>IFERROR(XLOOKUP(XLOOKUP(D2811,tblReleaseChanges[Change_ID],tblReleaseChanges[Oracle_Severity],""),tblSeverityMap[Severity_Text],tblSeverityMap[Score],0),0)</f>
        <v/>
      </c>
      <c r="T2811">
        <f>ROUND((M2811*0.25)+(N2811*0.20)+(O2811*0.15)+(P2811*0.15)+(Q2811*0.10)+(R2811*0.10)+(S2811*0.05),2)</f>
        <v/>
      </c>
      <c r="U2811">
        <f>IF(T2811&gt;=4.25,"Critical",IF(T2811&gt;=3.5,"High",IF(T2811&gt;=2,"Medium","Low")))</f>
        <v/>
      </c>
    </row>
    <row r="2812">
      <c r="R2812">
        <f>IFERROR(XLOOKUP(XLOOKUP(D2812,tblReleaseChanges[Change_ID],tblReleaseChanges[Oracle_Severity],""),tblSeverityMap[Severity_Text],tblSeverityMap[Score],0),0)</f>
        <v/>
      </c>
      <c r="T2812">
        <f>ROUND((M2812*0.25)+(N2812*0.20)+(O2812*0.15)+(P2812*0.15)+(Q2812*0.10)+(R2812*0.10)+(S2812*0.05),2)</f>
        <v/>
      </c>
      <c r="U2812">
        <f>IF(T2812&gt;=4.25,"Critical",IF(T2812&gt;=3.5,"High",IF(T2812&gt;=2,"Medium","Low")))</f>
        <v/>
      </c>
    </row>
    <row r="2813">
      <c r="R2813">
        <f>IFERROR(XLOOKUP(XLOOKUP(D2813,tblReleaseChanges[Change_ID],tblReleaseChanges[Oracle_Severity],""),tblSeverityMap[Severity_Text],tblSeverityMap[Score],0),0)</f>
        <v/>
      </c>
      <c r="T2813">
        <f>ROUND((M2813*0.25)+(N2813*0.20)+(O2813*0.15)+(P2813*0.15)+(Q2813*0.10)+(R2813*0.10)+(S2813*0.05),2)</f>
        <v/>
      </c>
      <c r="U2813">
        <f>IF(T2813&gt;=4.25,"Critical",IF(T2813&gt;=3.5,"High",IF(T2813&gt;=2,"Medium","Low")))</f>
        <v/>
      </c>
    </row>
    <row r="2814">
      <c r="R2814">
        <f>IFERROR(XLOOKUP(XLOOKUP(D2814,tblReleaseChanges[Change_ID],tblReleaseChanges[Oracle_Severity],""),tblSeverityMap[Severity_Text],tblSeverityMap[Score],0),0)</f>
        <v/>
      </c>
      <c r="T2814">
        <f>ROUND((M2814*0.25)+(N2814*0.20)+(O2814*0.15)+(P2814*0.15)+(Q2814*0.10)+(R2814*0.10)+(S2814*0.05),2)</f>
        <v/>
      </c>
      <c r="U2814">
        <f>IF(T2814&gt;=4.25,"Critical",IF(T2814&gt;=3.5,"High",IF(T2814&gt;=2,"Medium","Low")))</f>
        <v/>
      </c>
    </row>
    <row r="2815">
      <c r="R2815">
        <f>IFERROR(XLOOKUP(XLOOKUP(D2815,tblReleaseChanges[Change_ID],tblReleaseChanges[Oracle_Severity],""),tblSeverityMap[Severity_Text],tblSeverityMap[Score],0),0)</f>
        <v/>
      </c>
      <c r="T2815">
        <f>ROUND((M2815*0.25)+(N2815*0.20)+(O2815*0.15)+(P2815*0.15)+(Q2815*0.10)+(R2815*0.10)+(S2815*0.05),2)</f>
        <v/>
      </c>
      <c r="U2815">
        <f>IF(T2815&gt;=4.25,"Critical",IF(T2815&gt;=3.5,"High",IF(T2815&gt;=2,"Medium","Low")))</f>
        <v/>
      </c>
    </row>
    <row r="2816">
      <c r="R2816">
        <f>IFERROR(XLOOKUP(XLOOKUP(D2816,tblReleaseChanges[Change_ID],tblReleaseChanges[Oracle_Severity],""),tblSeverityMap[Severity_Text],tblSeverityMap[Score],0),0)</f>
        <v/>
      </c>
      <c r="T2816">
        <f>ROUND((M2816*0.25)+(N2816*0.20)+(O2816*0.15)+(P2816*0.15)+(Q2816*0.10)+(R2816*0.10)+(S2816*0.05),2)</f>
        <v/>
      </c>
      <c r="U2816">
        <f>IF(T2816&gt;=4.25,"Critical",IF(T2816&gt;=3.5,"High",IF(T2816&gt;=2,"Medium","Low")))</f>
        <v/>
      </c>
    </row>
    <row r="2817">
      <c r="R2817">
        <f>IFERROR(XLOOKUP(XLOOKUP(D2817,tblReleaseChanges[Change_ID],tblReleaseChanges[Oracle_Severity],""),tblSeverityMap[Severity_Text],tblSeverityMap[Score],0),0)</f>
        <v/>
      </c>
      <c r="T2817">
        <f>ROUND((M2817*0.25)+(N2817*0.20)+(O2817*0.15)+(P2817*0.15)+(Q2817*0.10)+(R2817*0.10)+(S2817*0.05),2)</f>
        <v/>
      </c>
      <c r="U2817">
        <f>IF(T2817&gt;=4.25,"Critical",IF(T2817&gt;=3.5,"High",IF(T2817&gt;=2,"Medium","Low")))</f>
        <v/>
      </c>
    </row>
    <row r="2818">
      <c r="R2818">
        <f>IFERROR(XLOOKUP(XLOOKUP(D2818,tblReleaseChanges[Change_ID],tblReleaseChanges[Oracle_Severity],""),tblSeverityMap[Severity_Text],tblSeverityMap[Score],0),0)</f>
        <v/>
      </c>
      <c r="T2818">
        <f>ROUND((M2818*0.25)+(N2818*0.20)+(O2818*0.15)+(P2818*0.15)+(Q2818*0.10)+(R2818*0.10)+(S2818*0.05),2)</f>
        <v/>
      </c>
      <c r="U2818">
        <f>IF(T2818&gt;=4.25,"Critical",IF(T2818&gt;=3.5,"High",IF(T2818&gt;=2,"Medium","Low")))</f>
        <v/>
      </c>
    </row>
    <row r="2819">
      <c r="R2819">
        <f>IFERROR(XLOOKUP(XLOOKUP(D2819,tblReleaseChanges[Change_ID],tblReleaseChanges[Oracle_Severity],""),tblSeverityMap[Severity_Text],tblSeverityMap[Score],0),0)</f>
        <v/>
      </c>
      <c r="T2819">
        <f>ROUND((M2819*0.25)+(N2819*0.20)+(O2819*0.15)+(P2819*0.15)+(Q2819*0.10)+(R2819*0.10)+(S2819*0.05),2)</f>
        <v/>
      </c>
      <c r="U2819">
        <f>IF(T2819&gt;=4.25,"Critical",IF(T2819&gt;=3.5,"High",IF(T2819&gt;=2,"Medium","Low")))</f>
        <v/>
      </c>
    </row>
    <row r="2820">
      <c r="R2820">
        <f>IFERROR(XLOOKUP(XLOOKUP(D2820,tblReleaseChanges[Change_ID],tblReleaseChanges[Oracle_Severity],""),tblSeverityMap[Severity_Text],tblSeverityMap[Score],0),0)</f>
        <v/>
      </c>
      <c r="T2820">
        <f>ROUND((M2820*0.25)+(N2820*0.20)+(O2820*0.15)+(P2820*0.15)+(Q2820*0.10)+(R2820*0.10)+(S2820*0.05),2)</f>
        <v/>
      </c>
      <c r="U2820">
        <f>IF(T2820&gt;=4.25,"Critical",IF(T2820&gt;=3.5,"High",IF(T2820&gt;=2,"Medium","Low")))</f>
        <v/>
      </c>
    </row>
    <row r="2821">
      <c r="R2821">
        <f>IFERROR(XLOOKUP(XLOOKUP(D2821,tblReleaseChanges[Change_ID],tblReleaseChanges[Oracle_Severity],""),tblSeverityMap[Severity_Text],tblSeverityMap[Score],0),0)</f>
        <v/>
      </c>
      <c r="T2821">
        <f>ROUND((M2821*0.25)+(N2821*0.20)+(O2821*0.15)+(P2821*0.15)+(Q2821*0.10)+(R2821*0.10)+(S2821*0.05),2)</f>
        <v/>
      </c>
      <c r="U2821">
        <f>IF(T2821&gt;=4.25,"Critical",IF(T2821&gt;=3.5,"High",IF(T2821&gt;=2,"Medium","Low")))</f>
        <v/>
      </c>
    </row>
    <row r="2822">
      <c r="R2822">
        <f>IFERROR(XLOOKUP(XLOOKUP(D2822,tblReleaseChanges[Change_ID],tblReleaseChanges[Oracle_Severity],""),tblSeverityMap[Severity_Text],tblSeverityMap[Score],0),0)</f>
        <v/>
      </c>
      <c r="T2822">
        <f>ROUND((M2822*0.25)+(N2822*0.20)+(O2822*0.15)+(P2822*0.15)+(Q2822*0.10)+(R2822*0.10)+(S2822*0.05),2)</f>
        <v/>
      </c>
      <c r="U2822">
        <f>IF(T2822&gt;=4.25,"Critical",IF(T2822&gt;=3.5,"High",IF(T2822&gt;=2,"Medium","Low")))</f>
        <v/>
      </c>
    </row>
    <row r="2823">
      <c r="R2823">
        <f>IFERROR(XLOOKUP(XLOOKUP(D2823,tblReleaseChanges[Change_ID],tblReleaseChanges[Oracle_Severity],""),tblSeverityMap[Severity_Text],tblSeverityMap[Score],0),0)</f>
        <v/>
      </c>
      <c r="T2823">
        <f>ROUND((M2823*0.25)+(N2823*0.20)+(O2823*0.15)+(P2823*0.15)+(Q2823*0.10)+(R2823*0.10)+(S2823*0.05),2)</f>
        <v/>
      </c>
      <c r="U2823">
        <f>IF(T2823&gt;=4.25,"Critical",IF(T2823&gt;=3.5,"High",IF(T2823&gt;=2,"Medium","Low")))</f>
        <v/>
      </c>
    </row>
    <row r="2824">
      <c r="R2824">
        <f>IFERROR(XLOOKUP(XLOOKUP(D2824,tblReleaseChanges[Change_ID],tblReleaseChanges[Oracle_Severity],""),tblSeverityMap[Severity_Text],tblSeverityMap[Score],0),0)</f>
        <v/>
      </c>
      <c r="T2824">
        <f>ROUND((M2824*0.25)+(N2824*0.20)+(O2824*0.15)+(P2824*0.15)+(Q2824*0.10)+(R2824*0.10)+(S2824*0.05),2)</f>
        <v/>
      </c>
      <c r="U2824">
        <f>IF(T2824&gt;=4.25,"Critical",IF(T2824&gt;=3.5,"High",IF(T2824&gt;=2,"Medium","Low")))</f>
        <v/>
      </c>
    </row>
    <row r="2825">
      <c r="R2825">
        <f>IFERROR(XLOOKUP(XLOOKUP(D2825,tblReleaseChanges[Change_ID],tblReleaseChanges[Oracle_Severity],""),tblSeverityMap[Severity_Text],tblSeverityMap[Score],0),0)</f>
        <v/>
      </c>
      <c r="T2825">
        <f>ROUND((M2825*0.25)+(N2825*0.20)+(O2825*0.15)+(P2825*0.15)+(Q2825*0.10)+(R2825*0.10)+(S2825*0.05),2)</f>
        <v/>
      </c>
      <c r="U2825">
        <f>IF(T2825&gt;=4.25,"Critical",IF(T2825&gt;=3.5,"High",IF(T2825&gt;=2,"Medium","Low")))</f>
        <v/>
      </c>
    </row>
    <row r="2826">
      <c r="R2826">
        <f>IFERROR(XLOOKUP(XLOOKUP(D2826,tblReleaseChanges[Change_ID],tblReleaseChanges[Oracle_Severity],""),tblSeverityMap[Severity_Text],tblSeverityMap[Score],0),0)</f>
        <v/>
      </c>
      <c r="T2826">
        <f>ROUND((M2826*0.25)+(N2826*0.20)+(O2826*0.15)+(P2826*0.15)+(Q2826*0.10)+(R2826*0.10)+(S2826*0.05),2)</f>
        <v/>
      </c>
      <c r="U2826">
        <f>IF(T2826&gt;=4.25,"Critical",IF(T2826&gt;=3.5,"High",IF(T2826&gt;=2,"Medium","Low")))</f>
        <v/>
      </c>
    </row>
    <row r="2827">
      <c r="R2827">
        <f>IFERROR(XLOOKUP(XLOOKUP(D2827,tblReleaseChanges[Change_ID],tblReleaseChanges[Oracle_Severity],""),tblSeverityMap[Severity_Text],tblSeverityMap[Score],0),0)</f>
        <v/>
      </c>
      <c r="T2827">
        <f>ROUND((M2827*0.25)+(N2827*0.20)+(O2827*0.15)+(P2827*0.15)+(Q2827*0.10)+(R2827*0.10)+(S2827*0.05),2)</f>
        <v/>
      </c>
      <c r="U2827">
        <f>IF(T2827&gt;=4.25,"Critical",IF(T2827&gt;=3.5,"High",IF(T2827&gt;=2,"Medium","Low")))</f>
        <v/>
      </c>
    </row>
    <row r="2828">
      <c r="R2828">
        <f>IFERROR(XLOOKUP(XLOOKUP(D2828,tblReleaseChanges[Change_ID],tblReleaseChanges[Oracle_Severity],""),tblSeverityMap[Severity_Text],tblSeverityMap[Score],0),0)</f>
        <v/>
      </c>
      <c r="T2828">
        <f>ROUND((M2828*0.25)+(N2828*0.20)+(O2828*0.15)+(P2828*0.15)+(Q2828*0.10)+(R2828*0.10)+(S2828*0.05),2)</f>
        <v/>
      </c>
      <c r="U2828">
        <f>IF(T2828&gt;=4.25,"Critical",IF(T2828&gt;=3.5,"High",IF(T2828&gt;=2,"Medium","Low")))</f>
        <v/>
      </c>
    </row>
    <row r="2829">
      <c r="R2829">
        <f>IFERROR(XLOOKUP(XLOOKUP(D2829,tblReleaseChanges[Change_ID],tblReleaseChanges[Oracle_Severity],""),tblSeverityMap[Severity_Text],tblSeverityMap[Score],0),0)</f>
        <v/>
      </c>
      <c r="T2829">
        <f>ROUND((M2829*0.25)+(N2829*0.20)+(O2829*0.15)+(P2829*0.15)+(Q2829*0.10)+(R2829*0.10)+(S2829*0.05),2)</f>
        <v/>
      </c>
      <c r="U2829">
        <f>IF(T2829&gt;=4.25,"Critical",IF(T2829&gt;=3.5,"High",IF(T2829&gt;=2,"Medium","Low")))</f>
        <v/>
      </c>
    </row>
    <row r="2830">
      <c r="R2830">
        <f>IFERROR(XLOOKUP(XLOOKUP(D2830,tblReleaseChanges[Change_ID],tblReleaseChanges[Oracle_Severity],""),tblSeverityMap[Severity_Text],tblSeverityMap[Score],0),0)</f>
        <v/>
      </c>
      <c r="T2830">
        <f>ROUND((M2830*0.25)+(N2830*0.20)+(O2830*0.15)+(P2830*0.15)+(Q2830*0.10)+(R2830*0.10)+(S2830*0.05),2)</f>
        <v/>
      </c>
      <c r="U2830">
        <f>IF(T2830&gt;=4.25,"Critical",IF(T2830&gt;=3.5,"High",IF(T2830&gt;=2,"Medium","Low")))</f>
        <v/>
      </c>
    </row>
    <row r="2831">
      <c r="R2831">
        <f>IFERROR(XLOOKUP(XLOOKUP(D2831,tblReleaseChanges[Change_ID],tblReleaseChanges[Oracle_Severity],""),tblSeverityMap[Severity_Text],tblSeverityMap[Score],0),0)</f>
        <v/>
      </c>
      <c r="T2831">
        <f>ROUND((M2831*0.25)+(N2831*0.20)+(O2831*0.15)+(P2831*0.15)+(Q2831*0.10)+(R2831*0.10)+(S2831*0.05),2)</f>
        <v/>
      </c>
      <c r="U2831">
        <f>IF(T2831&gt;=4.25,"Critical",IF(T2831&gt;=3.5,"High",IF(T2831&gt;=2,"Medium","Low")))</f>
        <v/>
      </c>
    </row>
    <row r="2832">
      <c r="R2832">
        <f>IFERROR(XLOOKUP(XLOOKUP(D2832,tblReleaseChanges[Change_ID],tblReleaseChanges[Oracle_Severity],""),tblSeverityMap[Severity_Text],tblSeverityMap[Score],0),0)</f>
        <v/>
      </c>
      <c r="T2832">
        <f>ROUND((M2832*0.25)+(N2832*0.20)+(O2832*0.15)+(P2832*0.15)+(Q2832*0.10)+(R2832*0.10)+(S2832*0.05),2)</f>
        <v/>
      </c>
      <c r="U2832">
        <f>IF(T2832&gt;=4.25,"Critical",IF(T2832&gt;=3.5,"High",IF(T2832&gt;=2,"Medium","Low")))</f>
        <v/>
      </c>
    </row>
    <row r="2833">
      <c r="R2833">
        <f>IFERROR(XLOOKUP(XLOOKUP(D2833,tblReleaseChanges[Change_ID],tblReleaseChanges[Oracle_Severity],""),tblSeverityMap[Severity_Text],tblSeverityMap[Score],0),0)</f>
        <v/>
      </c>
      <c r="T2833">
        <f>ROUND((M2833*0.25)+(N2833*0.20)+(O2833*0.15)+(P2833*0.15)+(Q2833*0.10)+(R2833*0.10)+(S2833*0.05),2)</f>
        <v/>
      </c>
      <c r="U2833">
        <f>IF(T2833&gt;=4.25,"Critical",IF(T2833&gt;=3.5,"High",IF(T2833&gt;=2,"Medium","Low")))</f>
        <v/>
      </c>
    </row>
    <row r="2834">
      <c r="R2834">
        <f>IFERROR(XLOOKUP(XLOOKUP(D2834,tblReleaseChanges[Change_ID],tblReleaseChanges[Oracle_Severity],""),tblSeverityMap[Severity_Text],tblSeverityMap[Score],0),0)</f>
        <v/>
      </c>
      <c r="T2834">
        <f>ROUND((M2834*0.25)+(N2834*0.20)+(O2834*0.15)+(P2834*0.15)+(Q2834*0.10)+(R2834*0.10)+(S2834*0.05),2)</f>
        <v/>
      </c>
      <c r="U2834">
        <f>IF(T2834&gt;=4.25,"Critical",IF(T2834&gt;=3.5,"High",IF(T2834&gt;=2,"Medium","Low")))</f>
        <v/>
      </c>
    </row>
    <row r="2835">
      <c r="R2835">
        <f>IFERROR(XLOOKUP(XLOOKUP(D2835,tblReleaseChanges[Change_ID],tblReleaseChanges[Oracle_Severity],""),tblSeverityMap[Severity_Text],tblSeverityMap[Score],0),0)</f>
        <v/>
      </c>
      <c r="T2835">
        <f>ROUND((M2835*0.25)+(N2835*0.20)+(O2835*0.15)+(P2835*0.15)+(Q2835*0.10)+(R2835*0.10)+(S2835*0.05),2)</f>
        <v/>
      </c>
      <c r="U2835">
        <f>IF(T2835&gt;=4.25,"Critical",IF(T2835&gt;=3.5,"High",IF(T2835&gt;=2,"Medium","Low")))</f>
        <v/>
      </c>
    </row>
    <row r="2836">
      <c r="R2836">
        <f>IFERROR(XLOOKUP(XLOOKUP(D2836,tblReleaseChanges[Change_ID],tblReleaseChanges[Oracle_Severity],""),tblSeverityMap[Severity_Text],tblSeverityMap[Score],0),0)</f>
        <v/>
      </c>
      <c r="T2836">
        <f>ROUND((M2836*0.25)+(N2836*0.20)+(O2836*0.15)+(P2836*0.15)+(Q2836*0.10)+(R2836*0.10)+(S2836*0.05),2)</f>
        <v/>
      </c>
      <c r="U2836">
        <f>IF(T2836&gt;=4.25,"Critical",IF(T2836&gt;=3.5,"High",IF(T2836&gt;=2,"Medium","Low")))</f>
        <v/>
      </c>
    </row>
    <row r="2837">
      <c r="R2837">
        <f>IFERROR(XLOOKUP(XLOOKUP(D2837,tblReleaseChanges[Change_ID],tblReleaseChanges[Oracle_Severity],""),tblSeverityMap[Severity_Text],tblSeverityMap[Score],0),0)</f>
        <v/>
      </c>
      <c r="T2837">
        <f>ROUND((M2837*0.25)+(N2837*0.20)+(O2837*0.15)+(P2837*0.15)+(Q2837*0.10)+(R2837*0.10)+(S2837*0.05),2)</f>
        <v/>
      </c>
      <c r="U2837">
        <f>IF(T2837&gt;=4.25,"Critical",IF(T2837&gt;=3.5,"High",IF(T2837&gt;=2,"Medium","Low")))</f>
        <v/>
      </c>
    </row>
    <row r="2838">
      <c r="R2838">
        <f>IFERROR(XLOOKUP(XLOOKUP(D2838,tblReleaseChanges[Change_ID],tblReleaseChanges[Oracle_Severity],""),tblSeverityMap[Severity_Text],tblSeverityMap[Score],0),0)</f>
        <v/>
      </c>
      <c r="T2838">
        <f>ROUND((M2838*0.25)+(N2838*0.20)+(O2838*0.15)+(P2838*0.15)+(Q2838*0.10)+(R2838*0.10)+(S2838*0.05),2)</f>
        <v/>
      </c>
      <c r="U2838">
        <f>IF(T2838&gt;=4.25,"Critical",IF(T2838&gt;=3.5,"High",IF(T2838&gt;=2,"Medium","Low")))</f>
        <v/>
      </c>
    </row>
    <row r="2839">
      <c r="R2839">
        <f>IFERROR(XLOOKUP(XLOOKUP(D2839,tblReleaseChanges[Change_ID],tblReleaseChanges[Oracle_Severity],""),tblSeverityMap[Severity_Text],tblSeverityMap[Score],0),0)</f>
        <v/>
      </c>
      <c r="T2839">
        <f>ROUND((M2839*0.25)+(N2839*0.20)+(O2839*0.15)+(P2839*0.15)+(Q2839*0.10)+(R2839*0.10)+(S2839*0.05),2)</f>
        <v/>
      </c>
      <c r="U2839">
        <f>IF(T2839&gt;=4.25,"Critical",IF(T2839&gt;=3.5,"High",IF(T2839&gt;=2,"Medium","Low")))</f>
        <v/>
      </c>
    </row>
    <row r="2840">
      <c r="R2840">
        <f>IFERROR(XLOOKUP(XLOOKUP(D2840,tblReleaseChanges[Change_ID],tblReleaseChanges[Oracle_Severity],""),tblSeverityMap[Severity_Text],tblSeverityMap[Score],0),0)</f>
        <v/>
      </c>
      <c r="T2840">
        <f>ROUND((M2840*0.25)+(N2840*0.20)+(O2840*0.15)+(P2840*0.15)+(Q2840*0.10)+(R2840*0.10)+(S2840*0.05),2)</f>
        <v/>
      </c>
      <c r="U2840">
        <f>IF(T2840&gt;=4.25,"Critical",IF(T2840&gt;=3.5,"High",IF(T2840&gt;=2,"Medium","Low")))</f>
        <v/>
      </c>
    </row>
    <row r="2841">
      <c r="R2841">
        <f>IFERROR(XLOOKUP(XLOOKUP(D2841,tblReleaseChanges[Change_ID],tblReleaseChanges[Oracle_Severity],""),tblSeverityMap[Severity_Text],tblSeverityMap[Score],0),0)</f>
        <v/>
      </c>
      <c r="T2841">
        <f>ROUND((M2841*0.25)+(N2841*0.20)+(O2841*0.15)+(P2841*0.15)+(Q2841*0.10)+(R2841*0.10)+(S2841*0.05),2)</f>
        <v/>
      </c>
      <c r="U2841">
        <f>IF(T2841&gt;=4.25,"Critical",IF(T2841&gt;=3.5,"High",IF(T2841&gt;=2,"Medium","Low")))</f>
        <v/>
      </c>
    </row>
    <row r="2842">
      <c r="R2842">
        <f>IFERROR(XLOOKUP(XLOOKUP(D2842,tblReleaseChanges[Change_ID],tblReleaseChanges[Oracle_Severity],""),tblSeverityMap[Severity_Text],tblSeverityMap[Score],0),0)</f>
        <v/>
      </c>
      <c r="T2842">
        <f>ROUND((M2842*0.25)+(N2842*0.20)+(O2842*0.15)+(P2842*0.15)+(Q2842*0.10)+(R2842*0.10)+(S2842*0.05),2)</f>
        <v/>
      </c>
      <c r="U2842">
        <f>IF(T2842&gt;=4.25,"Critical",IF(T2842&gt;=3.5,"High",IF(T2842&gt;=2,"Medium","Low")))</f>
        <v/>
      </c>
    </row>
    <row r="2843">
      <c r="R2843">
        <f>IFERROR(XLOOKUP(XLOOKUP(D2843,tblReleaseChanges[Change_ID],tblReleaseChanges[Oracle_Severity],""),tblSeverityMap[Severity_Text],tblSeverityMap[Score],0),0)</f>
        <v/>
      </c>
      <c r="T2843">
        <f>ROUND((M2843*0.25)+(N2843*0.20)+(O2843*0.15)+(P2843*0.15)+(Q2843*0.10)+(R2843*0.10)+(S2843*0.05),2)</f>
        <v/>
      </c>
      <c r="U2843">
        <f>IF(T2843&gt;=4.25,"Critical",IF(T2843&gt;=3.5,"High",IF(T2843&gt;=2,"Medium","Low")))</f>
        <v/>
      </c>
    </row>
    <row r="2844">
      <c r="R2844">
        <f>IFERROR(XLOOKUP(XLOOKUP(D2844,tblReleaseChanges[Change_ID],tblReleaseChanges[Oracle_Severity],""),tblSeverityMap[Severity_Text],tblSeverityMap[Score],0),0)</f>
        <v/>
      </c>
      <c r="T2844">
        <f>ROUND((M2844*0.25)+(N2844*0.20)+(O2844*0.15)+(P2844*0.15)+(Q2844*0.10)+(R2844*0.10)+(S2844*0.05),2)</f>
        <v/>
      </c>
      <c r="U2844">
        <f>IF(T2844&gt;=4.25,"Critical",IF(T2844&gt;=3.5,"High",IF(T2844&gt;=2,"Medium","Low")))</f>
        <v/>
      </c>
    </row>
    <row r="2845">
      <c r="R2845">
        <f>IFERROR(XLOOKUP(XLOOKUP(D2845,tblReleaseChanges[Change_ID],tblReleaseChanges[Oracle_Severity],""),tblSeverityMap[Severity_Text],tblSeverityMap[Score],0),0)</f>
        <v/>
      </c>
      <c r="T2845">
        <f>ROUND((M2845*0.25)+(N2845*0.20)+(O2845*0.15)+(P2845*0.15)+(Q2845*0.10)+(R2845*0.10)+(S2845*0.05),2)</f>
        <v/>
      </c>
      <c r="U2845">
        <f>IF(T2845&gt;=4.25,"Critical",IF(T2845&gt;=3.5,"High",IF(T2845&gt;=2,"Medium","Low")))</f>
        <v/>
      </c>
    </row>
    <row r="2846">
      <c r="R2846">
        <f>IFERROR(XLOOKUP(XLOOKUP(D2846,tblReleaseChanges[Change_ID],tblReleaseChanges[Oracle_Severity],""),tblSeverityMap[Severity_Text],tblSeverityMap[Score],0),0)</f>
        <v/>
      </c>
      <c r="T2846">
        <f>ROUND((M2846*0.25)+(N2846*0.20)+(O2846*0.15)+(P2846*0.15)+(Q2846*0.10)+(R2846*0.10)+(S2846*0.05),2)</f>
        <v/>
      </c>
      <c r="U2846">
        <f>IF(T2846&gt;=4.25,"Critical",IF(T2846&gt;=3.5,"High",IF(T2846&gt;=2,"Medium","Low")))</f>
        <v/>
      </c>
    </row>
    <row r="2847">
      <c r="R2847">
        <f>IFERROR(XLOOKUP(XLOOKUP(D2847,tblReleaseChanges[Change_ID],tblReleaseChanges[Oracle_Severity],""),tblSeverityMap[Severity_Text],tblSeverityMap[Score],0),0)</f>
        <v/>
      </c>
      <c r="T2847">
        <f>ROUND((M2847*0.25)+(N2847*0.20)+(O2847*0.15)+(P2847*0.15)+(Q2847*0.10)+(R2847*0.10)+(S2847*0.05),2)</f>
        <v/>
      </c>
      <c r="U2847">
        <f>IF(T2847&gt;=4.25,"Critical",IF(T2847&gt;=3.5,"High",IF(T2847&gt;=2,"Medium","Low")))</f>
        <v/>
      </c>
    </row>
    <row r="2848">
      <c r="R2848">
        <f>IFERROR(XLOOKUP(XLOOKUP(D2848,tblReleaseChanges[Change_ID],tblReleaseChanges[Oracle_Severity],""),tblSeverityMap[Severity_Text],tblSeverityMap[Score],0),0)</f>
        <v/>
      </c>
      <c r="T2848">
        <f>ROUND((M2848*0.25)+(N2848*0.20)+(O2848*0.15)+(P2848*0.15)+(Q2848*0.10)+(R2848*0.10)+(S2848*0.05),2)</f>
        <v/>
      </c>
      <c r="U2848">
        <f>IF(T2848&gt;=4.25,"Critical",IF(T2848&gt;=3.5,"High",IF(T2848&gt;=2,"Medium","Low")))</f>
        <v/>
      </c>
    </row>
    <row r="2849">
      <c r="R2849">
        <f>IFERROR(XLOOKUP(XLOOKUP(D2849,tblReleaseChanges[Change_ID],tblReleaseChanges[Oracle_Severity],""),tblSeverityMap[Severity_Text],tblSeverityMap[Score],0),0)</f>
        <v/>
      </c>
      <c r="T2849">
        <f>ROUND((M2849*0.25)+(N2849*0.20)+(O2849*0.15)+(P2849*0.15)+(Q2849*0.10)+(R2849*0.10)+(S2849*0.05),2)</f>
        <v/>
      </c>
      <c r="U2849">
        <f>IF(T2849&gt;=4.25,"Critical",IF(T2849&gt;=3.5,"High",IF(T2849&gt;=2,"Medium","Low")))</f>
        <v/>
      </c>
    </row>
    <row r="2850">
      <c r="R2850">
        <f>IFERROR(XLOOKUP(XLOOKUP(D2850,tblReleaseChanges[Change_ID],tblReleaseChanges[Oracle_Severity],""),tblSeverityMap[Severity_Text],tblSeverityMap[Score],0),0)</f>
        <v/>
      </c>
      <c r="T2850">
        <f>ROUND((M2850*0.25)+(N2850*0.20)+(O2850*0.15)+(P2850*0.15)+(Q2850*0.10)+(R2850*0.10)+(S2850*0.05),2)</f>
        <v/>
      </c>
      <c r="U2850">
        <f>IF(T2850&gt;=4.25,"Critical",IF(T2850&gt;=3.5,"High",IF(T2850&gt;=2,"Medium","Low")))</f>
        <v/>
      </c>
    </row>
    <row r="2851">
      <c r="R2851">
        <f>IFERROR(XLOOKUP(XLOOKUP(D2851,tblReleaseChanges[Change_ID],tblReleaseChanges[Oracle_Severity],""),tblSeverityMap[Severity_Text],tblSeverityMap[Score],0),0)</f>
        <v/>
      </c>
      <c r="T2851">
        <f>ROUND((M2851*0.25)+(N2851*0.20)+(O2851*0.15)+(P2851*0.15)+(Q2851*0.10)+(R2851*0.10)+(S2851*0.05),2)</f>
        <v/>
      </c>
      <c r="U2851">
        <f>IF(T2851&gt;=4.25,"Critical",IF(T2851&gt;=3.5,"High",IF(T2851&gt;=2,"Medium","Low")))</f>
        <v/>
      </c>
    </row>
    <row r="2852">
      <c r="R2852">
        <f>IFERROR(XLOOKUP(XLOOKUP(D2852,tblReleaseChanges[Change_ID],tblReleaseChanges[Oracle_Severity],""),tblSeverityMap[Severity_Text],tblSeverityMap[Score],0),0)</f>
        <v/>
      </c>
      <c r="T2852">
        <f>ROUND((M2852*0.25)+(N2852*0.20)+(O2852*0.15)+(P2852*0.15)+(Q2852*0.10)+(R2852*0.10)+(S2852*0.05),2)</f>
        <v/>
      </c>
      <c r="U2852">
        <f>IF(T2852&gt;=4.25,"Critical",IF(T2852&gt;=3.5,"High",IF(T2852&gt;=2,"Medium","Low")))</f>
        <v/>
      </c>
    </row>
    <row r="2853">
      <c r="R2853">
        <f>IFERROR(XLOOKUP(XLOOKUP(D2853,tblReleaseChanges[Change_ID],tblReleaseChanges[Oracle_Severity],""),tblSeverityMap[Severity_Text],tblSeverityMap[Score],0),0)</f>
        <v/>
      </c>
      <c r="T2853">
        <f>ROUND((M2853*0.25)+(N2853*0.20)+(O2853*0.15)+(P2853*0.15)+(Q2853*0.10)+(R2853*0.10)+(S2853*0.05),2)</f>
        <v/>
      </c>
      <c r="U2853">
        <f>IF(T2853&gt;=4.25,"Critical",IF(T2853&gt;=3.5,"High",IF(T2853&gt;=2,"Medium","Low")))</f>
        <v/>
      </c>
    </row>
    <row r="2854">
      <c r="R2854">
        <f>IFERROR(XLOOKUP(XLOOKUP(D2854,tblReleaseChanges[Change_ID],tblReleaseChanges[Oracle_Severity],""),tblSeverityMap[Severity_Text],tblSeverityMap[Score],0),0)</f>
        <v/>
      </c>
      <c r="T2854">
        <f>ROUND((M2854*0.25)+(N2854*0.20)+(O2854*0.15)+(P2854*0.15)+(Q2854*0.10)+(R2854*0.10)+(S2854*0.05),2)</f>
        <v/>
      </c>
      <c r="U2854">
        <f>IF(T2854&gt;=4.25,"Critical",IF(T2854&gt;=3.5,"High",IF(T2854&gt;=2,"Medium","Low")))</f>
        <v/>
      </c>
    </row>
    <row r="2855">
      <c r="R2855">
        <f>IFERROR(XLOOKUP(XLOOKUP(D2855,tblReleaseChanges[Change_ID],tblReleaseChanges[Oracle_Severity],""),tblSeverityMap[Severity_Text],tblSeverityMap[Score],0),0)</f>
        <v/>
      </c>
      <c r="T2855">
        <f>ROUND((M2855*0.25)+(N2855*0.20)+(O2855*0.15)+(P2855*0.15)+(Q2855*0.10)+(R2855*0.10)+(S2855*0.05),2)</f>
        <v/>
      </c>
      <c r="U2855">
        <f>IF(T2855&gt;=4.25,"Critical",IF(T2855&gt;=3.5,"High",IF(T2855&gt;=2,"Medium","Low")))</f>
        <v/>
      </c>
    </row>
    <row r="2856">
      <c r="R2856">
        <f>IFERROR(XLOOKUP(XLOOKUP(D2856,tblReleaseChanges[Change_ID],tblReleaseChanges[Oracle_Severity],""),tblSeverityMap[Severity_Text],tblSeverityMap[Score],0),0)</f>
        <v/>
      </c>
      <c r="T2856">
        <f>ROUND((M2856*0.25)+(N2856*0.20)+(O2856*0.15)+(P2856*0.15)+(Q2856*0.10)+(R2856*0.10)+(S2856*0.05),2)</f>
        <v/>
      </c>
      <c r="U2856">
        <f>IF(T2856&gt;=4.25,"Critical",IF(T2856&gt;=3.5,"High",IF(T2856&gt;=2,"Medium","Low")))</f>
        <v/>
      </c>
    </row>
    <row r="2857">
      <c r="R2857">
        <f>IFERROR(XLOOKUP(XLOOKUP(D2857,tblReleaseChanges[Change_ID],tblReleaseChanges[Oracle_Severity],""),tblSeverityMap[Severity_Text],tblSeverityMap[Score],0),0)</f>
        <v/>
      </c>
      <c r="T2857">
        <f>ROUND((M2857*0.25)+(N2857*0.20)+(O2857*0.15)+(P2857*0.15)+(Q2857*0.10)+(R2857*0.10)+(S2857*0.05),2)</f>
        <v/>
      </c>
      <c r="U2857">
        <f>IF(T2857&gt;=4.25,"Critical",IF(T2857&gt;=3.5,"High",IF(T2857&gt;=2,"Medium","Low")))</f>
        <v/>
      </c>
    </row>
    <row r="2858">
      <c r="R2858">
        <f>IFERROR(XLOOKUP(XLOOKUP(D2858,tblReleaseChanges[Change_ID],tblReleaseChanges[Oracle_Severity],""),tblSeverityMap[Severity_Text],tblSeverityMap[Score],0),0)</f>
        <v/>
      </c>
      <c r="T2858">
        <f>ROUND((M2858*0.25)+(N2858*0.20)+(O2858*0.15)+(P2858*0.15)+(Q2858*0.10)+(R2858*0.10)+(S2858*0.05),2)</f>
        <v/>
      </c>
      <c r="U2858">
        <f>IF(T2858&gt;=4.25,"Critical",IF(T2858&gt;=3.5,"High",IF(T2858&gt;=2,"Medium","Low")))</f>
        <v/>
      </c>
    </row>
    <row r="2859">
      <c r="R2859">
        <f>IFERROR(XLOOKUP(XLOOKUP(D2859,tblReleaseChanges[Change_ID],tblReleaseChanges[Oracle_Severity],""),tblSeverityMap[Severity_Text],tblSeverityMap[Score],0),0)</f>
        <v/>
      </c>
      <c r="T2859">
        <f>ROUND((M2859*0.25)+(N2859*0.20)+(O2859*0.15)+(P2859*0.15)+(Q2859*0.10)+(R2859*0.10)+(S2859*0.05),2)</f>
        <v/>
      </c>
      <c r="U2859">
        <f>IF(T2859&gt;=4.25,"Critical",IF(T2859&gt;=3.5,"High",IF(T2859&gt;=2,"Medium","Low")))</f>
        <v/>
      </c>
    </row>
    <row r="2860">
      <c r="R2860">
        <f>IFERROR(XLOOKUP(XLOOKUP(D2860,tblReleaseChanges[Change_ID],tblReleaseChanges[Oracle_Severity],""),tblSeverityMap[Severity_Text],tblSeverityMap[Score],0),0)</f>
        <v/>
      </c>
      <c r="T2860">
        <f>ROUND((M2860*0.25)+(N2860*0.20)+(O2860*0.15)+(P2860*0.15)+(Q2860*0.10)+(R2860*0.10)+(S2860*0.05),2)</f>
        <v/>
      </c>
      <c r="U2860">
        <f>IF(T2860&gt;=4.25,"Critical",IF(T2860&gt;=3.5,"High",IF(T2860&gt;=2,"Medium","Low")))</f>
        <v/>
      </c>
    </row>
    <row r="2861">
      <c r="R2861">
        <f>IFERROR(XLOOKUP(XLOOKUP(D2861,tblReleaseChanges[Change_ID],tblReleaseChanges[Oracle_Severity],""),tblSeverityMap[Severity_Text],tblSeverityMap[Score],0),0)</f>
        <v/>
      </c>
      <c r="T2861">
        <f>ROUND((M2861*0.25)+(N2861*0.20)+(O2861*0.15)+(P2861*0.15)+(Q2861*0.10)+(R2861*0.10)+(S2861*0.05),2)</f>
        <v/>
      </c>
      <c r="U2861">
        <f>IF(T2861&gt;=4.25,"Critical",IF(T2861&gt;=3.5,"High",IF(T2861&gt;=2,"Medium","Low")))</f>
        <v/>
      </c>
    </row>
    <row r="2862">
      <c r="R2862">
        <f>IFERROR(XLOOKUP(XLOOKUP(D2862,tblReleaseChanges[Change_ID],tblReleaseChanges[Oracle_Severity],""),tblSeverityMap[Severity_Text],tblSeverityMap[Score],0),0)</f>
        <v/>
      </c>
      <c r="T2862">
        <f>ROUND((M2862*0.25)+(N2862*0.20)+(O2862*0.15)+(P2862*0.15)+(Q2862*0.10)+(R2862*0.10)+(S2862*0.05),2)</f>
        <v/>
      </c>
      <c r="U2862">
        <f>IF(T2862&gt;=4.25,"Critical",IF(T2862&gt;=3.5,"High",IF(T2862&gt;=2,"Medium","Low")))</f>
        <v/>
      </c>
    </row>
    <row r="2863">
      <c r="R2863">
        <f>IFERROR(XLOOKUP(XLOOKUP(D2863,tblReleaseChanges[Change_ID],tblReleaseChanges[Oracle_Severity],""),tblSeverityMap[Severity_Text],tblSeverityMap[Score],0),0)</f>
        <v/>
      </c>
      <c r="T2863">
        <f>ROUND((M2863*0.25)+(N2863*0.20)+(O2863*0.15)+(P2863*0.15)+(Q2863*0.10)+(R2863*0.10)+(S2863*0.05),2)</f>
        <v/>
      </c>
      <c r="U2863">
        <f>IF(T2863&gt;=4.25,"Critical",IF(T2863&gt;=3.5,"High",IF(T2863&gt;=2,"Medium","Low")))</f>
        <v/>
      </c>
    </row>
    <row r="2864">
      <c r="R2864">
        <f>IFERROR(XLOOKUP(XLOOKUP(D2864,tblReleaseChanges[Change_ID],tblReleaseChanges[Oracle_Severity],""),tblSeverityMap[Severity_Text],tblSeverityMap[Score],0),0)</f>
        <v/>
      </c>
      <c r="T2864">
        <f>ROUND((M2864*0.25)+(N2864*0.20)+(O2864*0.15)+(P2864*0.15)+(Q2864*0.10)+(R2864*0.10)+(S2864*0.05),2)</f>
        <v/>
      </c>
      <c r="U2864">
        <f>IF(T2864&gt;=4.25,"Critical",IF(T2864&gt;=3.5,"High",IF(T2864&gt;=2,"Medium","Low")))</f>
        <v/>
      </c>
    </row>
    <row r="2865">
      <c r="R2865">
        <f>IFERROR(XLOOKUP(XLOOKUP(D2865,tblReleaseChanges[Change_ID],tblReleaseChanges[Oracle_Severity],""),tblSeverityMap[Severity_Text],tblSeverityMap[Score],0),0)</f>
        <v/>
      </c>
      <c r="T2865">
        <f>ROUND((M2865*0.25)+(N2865*0.20)+(O2865*0.15)+(P2865*0.15)+(Q2865*0.10)+(R2865*0.10)+(S2865*0.05),2)</f>
        <v/>
      </c>
      <c r="U2865">
        <f>IF(T2865&gt;=4.25,"Critical",IF(T2865&gt;=3.5,"High",IF(T2865&gt;=2,"Medium","Low")))</f>
        <v/>
      </c>
    </row>
    <row r="2866">
      <c r="R2866">
        <f>IFERROR(XLOOKUP(XLOOKUP(D2866,tblReleaseChanges[Change_ID],tblReleaseChanges[Oracle_Severity],""),tblSeverityMap[Severity_Text],tblSeverityMap[Score],0),0)</f>
        <v/>
      </c>
      <c r="T2866">
        <f>ROUND((M2866*0.25)+(N2866*0.20)+(O2866*0.15)+(P2866*0.15)+(Q2866*0.10)+(R2866*0.10)+(S2866*0.05),2)</f>
        <v/>
      </c>
      <c r="U2866">
        <f>IF(T2866&gt;=4.25,"Critical",IF(T2866&gt;=3.5,"High",IF(T2866&gt;=2,"Medium","Low")))</f>
        <v/>
      </c>
    </row>
    <row r="2867">
      <c r="R2867">
        <f>IFERROR(XLOOKUP(XLOOKUP(D2867,tblReleaseChanges[Change_ID],tblReleaseChanges[Oracle_Severity],""),tblSeverityMap[Severity_Text],tblSeverityMap[Score],0),0)</f>
        <v/>
      </c>
      <c r="T2867">
        <f>ROUND((M2867*0.25)+(N2867*0.20)+(O2867*0.15)+(P2867*0.15)+(Q2867*0.10)+(R2867*0.10)+(S2867*0.05),2)</f>
        <v/>
      </c>
      <c r="U2867">
        <f>IF(T2867&gt;=4.25,"Critical",IF(T2867&gt;=3.5,"High",IF(T2867&gt;=2,"Medium","Low")))</f>
        <v/>
      </c>
    </row>
    <row r="2868">
      <c r="R2868">
        <f>IFERROR(XLOOKUP(XLOOKUP(D2868,tblReleaseChanges[Change_ID],tblReleaseChanges[Oracle_Severity],""),tblSeverityMap[Severity_Text],tblSeverityMap[Score],0),0)</f>
        <v/>
      </c>
      <c r="T2868">
        <f>ROUND((M2868*0.25)+(N2868*0.20)+(O2868*0.15)+(P2868*0.15)+(Q2868*0.10)+(R2868*0.10)+(S2868*0.05),2)</f>
        <v/>
      </c>
      <c r="U2868">
        <f>IF(T2868&gt;=4.25,"Critical",IF(T2868&gt;=3.5,"High",IF(T2868&gt;=2,"Medium","Low")))</f>
        <v/>
      </c>
    </row>
    <row r="2869">
      <c r="R2869">
        <f>IFERROR(XLOOKUP(XLOOKUP(D2869,tblReleaseChanges[Change_ID],tblReleaseChanges[Oracle_Severity],""),tblSeverityMap[Severity_Text],tblSeverityMap[Score],0),0)</f>
        <v/>
      </c>
      <c r="T2869">
        <f>ROUND((M2869*0.25)+(N2869*0.20)+(O2869*0.15)+(P2869*0.15)+(Q2869*0.10)+(R2869*0.10)+(S2869*0.05),2)</f>
        <v/>
      </c>
      <c r="U2869">
        <f>IF(T2869&gt;=4.25,"Critical",IF(T2869&gt;=3.5,"High",IF(T2869&gt;=2,"Medium","Low")))</f>
        <v/>
      </c>
    </row>
    <row r="2870">
      <c r="R2870">
        <f>IFERROR(XLOOKUP(XLOOKUP(D2870,tblReleaseChanges[Change_ID],tblReleaseChanges[Oracle_Severity],""),tblSeverityMap[Severity_Text],tblSeverityMap[Score],0),0)</f>
        <v/>
      </c>
      <c r="T2870">
        <f>ROUND((M2870*0.25)+(N2870*0.20)+(O2870*0.15)+(P2870*0.15)+(Q2870*0.10)+(R2870*0.10)+(S2870*0.05),2)</f>
        <v/>
      </c>
      <c r="U2870">
        <f>IF(T2870&gt;=4.25,"Critical",IF(T2870&gt;=3.5,"High",IF(T2870&gt;=2,"Medium","Low")))</f>
        <v/>
      </c>
    </row>
    <row r="2871">
      <c r="R2871">
        <f>IFERROR(XLOOKUP(XLOOKUP(D2871,tblReleaseChanges[Change_ID],tblReleaseChanges[Oracle_Severity],""),tblSeverityMap[Severity_Text],tblSeverityMap[Score],0),0)</f>
        <v/>
      </c>
      <c r="T2871">
        <f>ROUND((M2871*0.25)+(N2871*0.20)+(O2871*0.15)+(P2871*0.15)+(Q2871*0.10)+(R2871*0.10)+(S2871*0.05),2)</f>
        <v/>
      </c>
      <c r="U2871">
        <f>IF(T2871&gt;=4.25,"Critical",IF(T2871&gt;=3.5,"High",IF(T2871&gt;=2,"Medium","Low")))</f>
        <v/>
      </c>
    </row>
    <row r="2872">
      <c r="R2872">
        <f>IFERROR(XLOOKUP(XLOOKUP(D2872,tblReleaseChanges[Change_ID],tblReleaseChanges[Oracle_Severity],""),tblSeverityMap[Severity_Text],tblSeverityMap[Score],0),0)</f>
        <v/>
      </c>
      <c r="T2872">
        <f>ROUND((M2872*0.25)+(N2872*0.20)+(O2872*0.15)+(P2872*0.15)+(Q2872*0.10)+(R2872*0.10)+(S2872*0.05),2)</f>
        <v/>
      </c>
      <c r="U2872">
        <f>IF(T2872&gt;=4.25,"Critical",IF(T2872&gt;=3.5,"High",IF(T2872&gt;=2,"Medium","Low")))</f>
        <v/>
      </c>
    </row>
    <row r="2873">
      <c r="R2873">
        <f>IFERROR(XLOOKUP(XLOOKUP(D2873,tblReleaseChanges[Change_ID],tblReleaseChanges[Oracle_Severity],""),tblSeverityMap[Severity_Text],tblSeverityMap[Score],0),0)</f>
        <v/>
      </c>
      <c r="T2873">
        <f>ROUND((M2873*0.25)+(N2873*0.20)+(O2873*0.15)+(P2873*0.15)+(Q2873*0.10)+(R2873*0.10)+(S2873*0.05),2)</f>
        <v/>
      </c>
      <c r="U2873">
        <f>IF(T2873&gt;=4.25,"Critical",IF(T2873&gt;=3.5,"High",IF(T2873&gt;=2,"Medium","Low")))</f>
        <v/>
      </c>
    </row>
    <row r="2874">
      <c r="R2874">
        <f>IFERROR(XLOOKUP(XLOOKUP(D2874,tblReleaseChanges[Change_ID],tblReleaseChanges[Oracle_Severity],""),tblSeverityMap[Severity_Text],tblSeverityMap[Score],0),0)</f>
        <v/>
      </c>
      <c r="T2874">
        <f>ROUND((M2874*0.25)+(N2874*0.20)+(O2874*0.15)+(P2874*0.15)+(Q2874*0.10)+(R2874*0.10)+(S2874*0.05),2)</f>
        <v/>
      </c>
      <c r="U2874">
        <f>IF(T2874&gt;=4.25,"Critical",IF(T2874&gt;=3.5,"High",IF(T2874&gt;=2,"Medium","Low")))</f>
        <v/>
      </c>
    </row>
    <row r="2875">
      <c r="R2875">
        <f>IFERROR(XLOOKUP(XLOOKUP(D2875,tblReleaseChanges[Change_ID],tblReleaseChanges[Oracle_Severity],""),tblSeverityMap[Severity_Text],tblSeverityMap[Score],0),0)</f>
        <v/>
      </c>
      <c r="T2875">
        <f>ROUND((M2875*0.25)+(N2875*0.20)+(O2875*0.15)+(P2875*0.15)+(Q2875*0.10)+(R2875*0.10)+(S2875*0.05),2)</f>
        <v/>
      </c>
      <c r="U2875">
        <f>IF(T2875&gt;=4.25,"Critical",IF(T2875&gt;=3.5,"High",IF(T2875&gt;=2,"Medium","Low")))</f>
        <v/>
      </c>
    </row>
    <row r="2876">
      <c r="R2876">
        <f>IFERROR(XLOOKUP(XLOOKUP(D2876,tblReleaseChanges[Change_ID],tblReleaseChanges[Oracle_Severity],""),tblSeverityMap[Severity_Text],tblSeverityMap[Score],0),0)</f>
        <v/>
      </c>
      <c r="T2876">
        <f>ROUND((M2876*0.25)+(N2876*0.20)+(O2876*0.15)+(P2876*0.15)+(Q2876*0.10)+(R2876*0.10)+(S2876*0.05),2)</f>
        <v/>
      </c>
      <c r="U2876">
        <f>IF(T2876&gt;=4.25,"Critical",IF(T2876&gt;=3.5,"High",IF(T2876&gt;=2,"Medium","Low")))</f>
        <v/>
      </c>
    </row>
    <row r="2877">
      <c r="R2877">
        <f>IFERROR(XLOOKUP(XLOOKUP(D2877,tblReleaseChanges[Change_ID],tblReleaseChanges[Oracle_Severity],""),tblSeverityMap[Severity_Text],tblSeverityMap[Score],0),0)</f>
        <v/>
      </c>
      <c r="T2877">
        <f>ROUND((M2877*0.25)+(N2877*0.20)+(O2877*0.15)+(P2877*0.15)+(Q2877*0.10)+(R2877*0.10)+(S2877*0.05),2)</f>
        <v/>
      </c>
      <c r="U2877">
        <f>IF(T2877&gt;=4.25,"Critical",IF(T2877&gt;=3.5,"High",IF(T2877&gt;=2,"Medium","Low")))</f>
        <v/>
      </c>
    </row>
    <row r="2878">
      <c r="R2878">
        <f>IFERROR(XLOOKUP(XLOOKUP(D2878,tblReleaseChanges[Change_ID],tblReleaseChanges[Oracle_Severity],""),tblSeverityMap[Severity_Text],tblSeverityMap[Score],0),0)</f>
        <v/>
      </c>
      <c r="T2878">
        <f>ROUND((M2878*0.25)+(N2878*0.20)+(O2878*0.15)+(P2878*0.15)+(Q2878*0.10)+(R2878*0.10)+(S2878*0.05),2)</f>
        <v/>
      </c>
      <c r="U2878">
        <f>IF(T2878&gt;=4.25,"Critical",IF(T2878&gt;=3.5,"High",IF(T2878&gt;=2,"Medium","Low")))</f>
        <v/>
      </c>
    </row>
    <row r="2879">
      <c r="R2879">
        <f>IFERROR(XLOOKUP(XLOOKUP(D2879,tblReleaseChanges[Change_ID],tblReleaseChanges[Oracle_Severity],""),tblSeverityMap[Severity_Text],tblSeverityMap[Score],0),0)</f>
        <v/>
      </c>
      <c r="T2879">
        <f>ROUND((M2879*0.25)+(N2879*0.20)+(O2879*0.15)+(P2879*0.15)+(Q2879*0.10)+(R2879*0.10)+(S2879*0.05),2)</f>
        <v/>
      </c>
      <c r="U2879">
        <f>IF(T2879&gt;=4.25,"Critical",IF(T2879&gt;=3.5,"High",IF(T2879&gt;=2,"Medium","Low")))</f>
        <v/>
      </c>
    </row>
    <row r="2880">
      <c r="R2880">
        <f>IFERROR(XLOOKUP(XLOOKUP(D2880,tblReleaseChanges[Change_ID],tblReleaseChanges[Oracle_Severity],""),tblSeverityMap[Severity_Text],tblSeverityMap[Score],0),0)</f>
        <v/>
      </c>
      <c r="T2880">
        <f>ROUND((M2880*0.25)+(N2880*0.20)+(O2880*0.15)+(P2880*0.15)+(Q2880*0.10)+(R2880*0.10)+(S2880*0.05),2)</f>
        <v/>
      </c>
      <c r="U2880">
        <f>IF(T2880&gt;=4.25,"Critical",IF(T2880&gt;=3.5,"High",IF(T2880&gt;=2,"Medium","Low")))</f>
        <v/>
      </c>
    </row>
    <row r="2881">
      <c r="R2881">
        <f>IFERROR(XLOOKUP(XLOOKUP(D2881,tblReleaseChanges[Change_ID],tblReleaseChanges[Oracle_Severity],""),tblSeverityMap[Severity_Text],tblSeverityMap[Score],0),0)</f>
        <v/>
      </c>
      <c r="T2881">
        <f>ROUND((M2881*0.25)+(N2881*0.20)+(O2881*0.15)+(P2881*0.15)+(Q2881*0.10)+(R2881*0.10)+(S2881*0.05),2)</f>
        <v/>
      </c>
      <c r="U2881">
        <f>IF(T2881&gt;=4.25,"Critical",IF(T2881&gt;=3.5,"High",IF(T2881&gt;=2,"Medium","Low")))</f>
        <v/>
      </c>
    </row>
    <row r="2882">
      <c r="R2882">
        <f>IFERROR(XLOOKUP(XLOOKUP(D2882,tblReleaseChanges[Change_ID],tblReleaseChanges[Oracle_Severity],""),tblSeverityMap[Severity_Text],tblSeverityMap[Score],0),0)</f>
        <v/>
      </c>
      <c r="T2882">
        <f>ROUND((M2882*0.25)+(N2882*0.20)+(O2882*0.15)+(P2882*0.15)+(Q2882*0.10)+(R2882*0.10)+(S2882*0.05),2)</f>
        <v/>
      </c>
      <c r="U2882">
        <f>IF(T2882&gt;=4.25,"Critical",IF(T2882&gt;=3.5,"High",IF(T2882&gt;=2,"Medium","Low")))</f>
        <v/>
      </c>
    </row>
    <row r="2883">
      <c r="R2883">
        <f>IFERROR(XLOOKUP(XLOOKUP(D2883,tblReleaseChanges[Change_ID],tblReleaseChanges[Oracle_Severity],""),tblSeverityMap[Severity_Text],tblSeverityMap[Score],0),0)</f>
        <v/>
      </c>
      <c r="T2883">
        <f>ROUND((M2883*0.25)+(N2883*0.20)+(O2883*0.15)+(P2883*0.15)+(Q2883*0.10)+(R2883*0.10)+(S2883*0.05),2)</f>
        <v/>
      </c>
      <c r="U2883">
        <f>IF(T2883&gt;=4.25,"Critical",IF(T2883&gt;=3.5,"High",IF(T2883&gt;=2,"Medium","Low")))</f>
        <v/>
      </c>
    </row>
    <row r="2884">
      <c r="R2884">
        <f>IFERROR(XLOOKUP(XLOOKUP(D2884,tblReleaseChanges[Change_ID],tblReleaseChanges[Oracle_Severity],""),tblSeverityMap[Severity_Text],tblSeverityMap[Score],0),0)</f>
        <v/>
      </c>
      <c r="T2884">
        <f>ROUND((M2884*0.25)+(N2884*0.20)+(O2884*0.15)+(P2884*0.15)+(Q2884*0.10)+(R2884*0.10)+(S2884*0.05),2)</f>
        <v/>
      </c>
      <c r="U2884">
        <f>IF(T2884&gt;=4.25,"Critical",IF(T2884&gt;=3.5,"High",IF(T2884&gt;=2,"Medium","Low")))</f>
        <v/>
      </c>
    </row>
    <row r="2885">
      <c r="R2885">
        <f>IFERROR(XLOOKUP(XLOOKUP(D2885,tblReleaseChanges[Change_ID],tblReleaseChanges[Oracle_Severity],""),tblSeverityMap[Severity_Text],tblSeverityMap[Score],0),0)</f>
        <v/>
      </c>
      <c r="T2885">
        <f>ROUND((M2885*0.25)+(N2885*0.20)+(O2885*0.15)+(P2885*0.15)+(Q2885*0.10)+(R2885*0.10)+(S2885*0.05),2)</f>
        <v/>
      </c>
      <c r="U2885">
        <f>IF(T2885&gt;=4.25,"Critical",IF(T2885&gt;=3.5,"High",IF(T2885&gt;=2,"Medium","Low")))</f>
        <v/>
      </c>
    </row>
    <row r="2886">
      <c r="R2886">
        <f>IFERROR(XLOOKUP(XLOOKUP(D2886,tblReleaseChanges[Change_ID],tblReleaseChanges[Oracle_Severity],""),tblSeverityMap[Severity_Text],tblSeverityMap[Score],0),0)</f>
        <v/>
      </c>
      <c r="T2886">
        <f>ROUND((M2886*0.25)+(N2886*0.20)+(O2886*0.15)+(P2886*0.15)+(Q2886*0.10)+(R2886*0.10)+(S2886*0.05),2)</f>
        <v/>
      </c>
      <c r="U2886">
        <f>IF(T2886&gt;=4.25,"Critical",IF(T2886&gt;=3.5,"High",IF(T2886&gt;=2,"Medium","Low")))</f>
        <v/>
      </c>
    </row>
    <row r="2887">
      <c r="R2887">
        <f>IFERROR(XLOOKUP(XLOOKUP(D2887,tblReleaseChanges[Change_ID],tblReleaseChanges[Oracle_Severity],""),tblSeverityMap[Severity_Text],tblSeverityMap[Score],0),0)</f>
        <v/>
      </c>
      <c r="T2887">
        <f>ROUND((M2887*0.25)+(N2887*0.20)+(O2887*0.15)+(P2887*0.15)+(Q2887*0.10)+(R2887*0.10)+(S2887*0.05),2)</f>
        <v/>
      </c>
      <c r="U2887">
        <f>IF(T2887&gt;=4.25,"Critical",IF(T2887&gt;=3.5,"High",IF(T2887&gt;=2,"Medium","Low")))</f>
        <v/>
      </c>
    </row>
    <row r="2888">
      <c r="R2888">
        <f>IFERROR(XLOOKUP(XLOOKUP(D2888,tblReleaseChanges[Change_ID],tblReleaseChanges[Oracle_Severity],""),tblSeverityMap[Severity_Text],tblSeverityMap[Score],0),0)</f>
        <v/>
      </c>
      <c r="T2888">
        <f>ROUND((M2888*0.25)+(N2888*0.20)+(O2888*0.15)+(P2888*0.15)+(Q2888*0.10)+(R2888*0.10)+(S2888*0.05),2)</f>
        <v/>
      </c>
      <c r="U2888">
        <f>IF(T2888&gt;=4.25,"Critical",IF(T2888&gt;=3.5,"High",IF(T2888&gt;=2,"Medium","Low")))</f>
        <v/>
      </c>
    </row>
    <row r="2889">
      <c r="R2889">
        <f>IFERROR(XLOOKUP(XLOOKUP(D2889,tblReleaseChanges[Change_ID],tblReleaseChanges[Oracle_Severity],""),tblSeverityMap[Severity_Text],tblSeverityMap[Score],0),0)</f>
        <v/>
      </c>
      <c r="T2889">
        <f>ROUND((M2889*0.25)+(N2889*0.20)+(O2889*0.15)+(P2889*0.15)+(Q2889*0.10)+(R2889*0.10)+(S2889*0.05),2)</f>
        <v/>
      </c>
      <c r="U2889">
        <f>IF(T2889&gt;=4.25,"Critical",IF(T2889&gt;=3.5,"High",IF(T2889&gt;=2,"Medium","Low")))</f>
        <v/>
      </c>
    </row>
    <row r="2890">
      <c r="R2890">
        <f>IFERROR(XLOOKUP(XLOOKUP(D2890,tblReleaseChanges[Change_ID],tblReleaseChanges[Oracle_Severity],""),tblSeverityMap[Severity_Text],tblSeverityMap[Score],0),0)</f>
        <v/>
      </c>
      <c r="T2890">
        <f>ROUND((M2890*0.25)+(N2890*0.20)+(O2890*0.15)+(P2890*0.15)+(Q2890*0.10)+(R2890*0.10)+(S2890*0.05),2)</f>
        <v/>
      </c>
      <c r="U2890">
        <f>IF(T2890&gt;=4.25,"Critical",IF(T2890&gt;=3.5,"High",IF(T2890&gt;=2,"Medium","Low")))</f>
        <v/>
      </c>
    </row>
    <row r="2891">
      <c r="R2891">
        <f>IFERROR(XLOOKUP(XLOOKUP(D2891,tblReleaseChanges[Change_ID],tblReleaseChanges[Oracle_Severity],""),tblSeverityMap[Severity_Text],tblSeverityMap[Score],0),0)</f>
        <v/>
      </c>
      <c r="T2891">
        <f>ROUND((M2891*0.25)+(N2891*0.20)+(O2891*0.15)+(P2891*0.15)+(Q2891*0.10)+(R2891*0.10)+(S2891*0.05),2)</f>
        <v/>
      </c>
      <c r="U2891">
        <f>IF(T2891&gt;=4.25,"Critical",IF(T2891&gt;=3.5,"High",IF(T2891&gt;=2,"Medium","Low")))</f>
        <v/>
      </c>
    </row>
    <row r="2892">
      <c r="R2892">
        <f>IFERROR(XLOOKUP(XLOOKUP(D2892,tblReleaseChanges[Change_ID],tblReleaseChanges[Oracle_Severity],""),tblSeverityMap[Severity_Text],tblSeverityMap[Score],0),0)</f>
        <v/>
      </c>
      <c r="T2892">
        <f>ROUND((M2892*0.25)+(N2892*0.20)+(O2892*0.15)+(P2892*0.15)+(Q2892*0.10)+(R2892*0.10)+(S2892*0.05),2)</f>
        <v/>
      </c>
      <c r="U2892">
        <f>IF(T2892&gt;=4.25,"Critical",IF(T2892&gt;=3.5,"High",IF(T2892&gt;=2,"Medium","Low")))</f>
        <v/>
      </c>
    </row>
    <row r="2893">
      <c r="R2893">
        <f>IFERROR(XLOOKUP(XLOOKUP(D2893,tblReleaseChanges[Change_ID],tblReleaseChanges[Oracle_Severity],""),tblSeverityMap[Severity_Text],tblSeverityMap[Score],0),0)</f>
        <v/>
      </c>
      <c r="T2893">
        <f>ROUND((M2893*0.25)+(N2893*0.20)+(O2893*0.15)+(P2893*0.15)+(Q2893*0.10)+(R2893*0.10)+(S2893*0.05),2)</f>
        <v/>
      </c>
      <c r="U2893">
        <f>IF(T2893&gt;=4.25,"Critical",IF(T2893&gt;=3.5,"High",IF(T2893&gt;=2,"Medium","Low")))</f>
        <v/>
      </c>
    </row>
    <row r="2894">
      <c r="R2894">
        <f>IFERROR(XLOOKUP(XLOOKUP(D2894,tblReleaseChanges[Change_ID],tblReleaseChanges[Oracle_Severity],""),tblSeverityMap[Severity_Text],tblSeverityMap[Score],0),0)</f>
        <v/>
      </c>
      <c r="T2894">
        <f>ROUND((M2894*0.25)+(N2894*0.20)+(O2894*0.15)+(P2894*0.15)+(Q2894*0.10)+(R2894*0.10)+(S2894*0.05),2)</f>
        <v/>
      </c>
      <c r="U2894">
        <f>IF(T2894&gt;=4.25,"Critical",IF(T2894&gt;=3.5,"High",IF(T2894&gt;=2,"Medium","Low")))</f>
        <v/>
      </c>
    </row>
    <row r="2895">
      <c r="R2895">
        <f>IFERROR(XLOOKUP(XLOOKUP(D2895,tblReleaseChanges[Change_ID],tblReleaseChanges[Oracle_Severity],""),tblSeverityMap[Severity_Text],tblSeverityMap[Score],0),0)</f>
        <v/>
      </c>
      <c r="T2895">
        <f>ROUND((M2895*0.25)+(N2895*0.20)+(O2895*0.15)+(P2895*0.15)+(Q2895*0.10)+(R2895*0.10)+(S2895*0.05),2)</f>
        <v/>
      </c>
      <c r="U2895">
        <f>IF(T2895&gt;=4.25,"Critical",IF(T2895&gt;=3.5,"High",IF(T2895&gt;=2,"Medium","Low")))</f>
        <v/>
      </c>
    </row>
    <row r="2896">
      <c r="R2896">
        <f>IFERROR(XLOOKUP(XLOOKUP(D2896,tblReleaseChanges[Change_ID],tblReleaseChanges[Oracle_Severity],""),tblSeverityMap[Severity_Text],tblSeverityMap[Score],0),0)</f>
        <v/>
      </c>
      <c r="T2896">
        <f>ROUND((M2896*0.25)+(N2896*0.20)+(O2896*0.15)+(P2896*0.15)+(Q2896*0.10)+(R2896*0.10)+(S2896*0.05),2)</f>
        <v/>
      </c>
      <c r="U2896">
        <f>IF(T2896&gt;=4.25,"Critical",IF(T2896&gt;=3.5,"High",IF(T2896&gt;=2,"Medium","Low")))</f>
        <v/>
      </c>
    </row>
    <row r="2897">
      <c r="R2897">
        <f>IFERROR(XLOOKUP(XLOOKUP(D2897,tblReleaseChanges[Change_ID],tblReleaseChanges[Oracle_Severity],""),tblSeverityMap[Severity_Text],tblSeverityMap[Score],0),0)</f>
        <v/>
      </c>
      <c r="T2897">
        <f>ROUND((M2897*0.25)+(N2897*0.20)+(O2897*0.15)+(P2897*0.15)+(Q2897*0.10)+(R2897*0.10)+(S2897*0.05),2)</f>
        <v/>
      </c>
      <c r="U2897">
        <f>IF(T2897&gt;=4.25,"Critical",IF(T2897&gt;=3.5,"High",IF(T2897&gt;=2,"Medium","Low")))</f>
        <v/>
      </c>
    </row>
    <row r="2898">
      <c r="R2898">
        <f>IFERROR(XLOOKUP(XLOOKUP(D2898,tblReleaseChanges[Change_ID],tblReleaseChanges[Oracle_Severity],""),tblSeverityMap[Severity_Text],tblSeverityMap[Score],0),0)</f>
        <v/>
      </c>
      <c r="T2898">
        <f>ROUND((M2898*0.25)+(N2898*0.20)+(O2898*0.15)+(P2898*0.15)+(Q2898*0.10)+(R2898*0.10)+(S2898*0.05),2)</f>
        <v/>
      </c>
      <c r="U2898">
        <f>IF(T2898&gt;=4.25,"Critical",IF(T2898&gt;=3.5,"High",IF(T2898&gt;=2,"Medium","Low")))</f>
        <v/>
      </c>
    </row>
    <row r="2899">
      <c r="R2899">
        <f>IFERROR(XLOOKUP(XLOOKUP(D2899,tblReleaseChanges[Change_ID],tblReleaseChanges[Oracle_Severity],""),tblSeverityMap[Severity_Text],tblSeverityMap[Score],0),0)</f>
        <v/>
      </c>
      <c r="T2899">
        <f>ROUND((M2899*0.25)+(N2899*0.20)+(O2899*0.15)+(P2899*0.15)+(Q2899*0.10)+(R2899*0.10)+(S2899*0.05),2)</f>
        <v/>
      </c>
      <c r="U2899">
        <f>IF(T2899&gt;=4.25,"Critical",IF(T2899&gt;=3.5,"High",IF(T2899&gt;=2,"Medium","Low")))</f>
        <v/>
      </c>
    </row>
    <row r="2900">
      <c r="R2900">
        <f>IFERROR(XLOOKUP(XLOOKUP(D2900,tblReleaseChanges[Change_ID],tblReleaseChanges[Oracle_Severity],""),tblSeverityMap[Severity_Text],tblSeverityMap[Score],0),0)</f>
        <v/>
      </c>
      <c r="T2900">
        <f>ROUND((M2900*0.25)+(N2900*0.20)+(O2900*0.15)+(P2900*0.15)+(Q2900*0.10)+(R2900*0.10)+(S2900*0.05),2)</f>
        <v/>
      </c>
      <c r="U2900">
        <f>IF(T2900&gt;=4.25,"Critical",IF(T2900&gt;=3.5,"High",IF(T2900&gt;=2,"Medium","Low")))</f>
        <v/>
      </c>
    </row>
    <row r="2901">
      <c r="R2901">
        <f>IFERROR(XLOOKUP(XLOOKUP(D2901,tblReleaseChanges[Change_ID],tblReleaseChanges[Oracle_Severity],""),tblSeverityMap[Severity_Text],tblSeverityMap[Score],0),0)</f>
        <v/>
      </c>
      <c r="T2901">
        <f>ROUND((M2901*0.25)+(N2901*0.20)+(O2901*0.15)+(P2901*0.15)+(Q2901*0.10)+(R2901*0.10)+(S2901*0.05),2)</f>
        <v/>
      </c>
      <c r="U2901">
        <f>IF(T2901&gt;=4.25,"Critical",IF(T2901&gt;=3.5,"High",IF(T2901&gt;=2,"Medium","Low")))</f>
        <v/>
      </c>
    </row>
    <row r="2902">
      <c r="R2902">
        <f>IFERROR(XLOOKUP(XLOOKUP(D2902,tblReleaseChanges[Change_ID],tblReleaseChanges[Oracle_Severity],""),tblSeverityMap[Severity_Text],tblSeverityMap[Score],0),0)</f>
        <v/>
      </c>
      <c r="T2902">
        <f>ROUND((M2902*0.25)+(N2902*0.20)+(O2902*0.15)+(P2902*0.15)+(Q2902*0.10)+(R2902*0.10)+(S2902*0.05),2)</f>
        <v/>
      </c>
      <c r="U2902">
        <f>IF(T2902&gt;=4.25,"Critical",IF(T2902&gt;=3.5,"High",IF(T2902&gt;=2,"Medium","Low")))</f>
        <v/>
      </c>
    </row>
    <row r="2903">
      <c r="R2903">
        <f>IFERROR(XLOOKUP(XLOOKUP(D2903,tblReleaseChanges[Change_ID],tblReleaseChanges[Oracle_Severity],""),tblSeverityMap[Severity_Text],tblSeverityMap[Score],0),0)</f>
        <v/>
      </c>
      <c r="T2903">
        <f>ROUND((M2903*0.25)+(N2903*0.20)+(O2903*0.15)+(P2903*0.15)+(Q2903*0.10)+(R2903*0.10)+(S2903*0.05),2)</f>
        <v/>
      </c>
      <c r="U2903">
        <f>IF(T2903&gt;=4.25,"Critical",IF(T2903&gt;=3.5,"High",IF(T2903&gt;=2,"Medium","Low")))</f>
        <v/>
      </c>
    </row>
    <row r="2904">
      <c r="R2904">
        <f>IFERROR(XLOOKUP(XLOOKUP(D2904,tblReleaseChanges[Change_ID],tblReleaseChanges[Oracle_Severity],""),tblSeverityMap[Severity_Text],tblSeverityMap[Score],0),0)</f>
        <v/>
      </c>
      <c r="T2904">
        <f>ROUND((M2904*0.25)+(N2904*0.20)+(O2904*0.15)+(P2904*0.15)+(Q2904*0.10)+(R2904*0.10)+(S2904*0.05),2)</f>
        <v/>
      </c>
      <c r="U2904">
        <f>IF(T2904&gt;=4.25,"Critical",IF(T2904&gt;=3.5,"High",IF(T2904&gt;=2,"Medium","Low")))</f>
        <v/>
      </c>
    </row>
    <row r="2905">
      <c r="R2905">
        <f>IFERROR(XLOOKUP(XLOOKUP(D2905,tblReleaseChanges[Change_ID],tblReleaseChanges[Oracle_Severity],""),tblSeverityMap[Severity_Text],tblSeverityMap[Score],0),0)</f>
        <v/>
      </c>
      <c r="T2905">
        <f>ROUND((M2905*0.25)+(N2905*0.20)+(O2905*0.15)+(P2905*0.15)+(Q2905*0.10)+(R2905*0.10)+(S2905*0.05),2)</f>
        <v/>
      </c>
      <c r="U2905">
        <f>IF(T2905&gt;=4.25,"Critical",IF(T2905&gt;=3.5,"High",IF(T2905&gt;=2,"Medium","Low")))</f>
        <v/>
      </c>
    </row>
    <row r="2906">
      <c r="R2906">
        <f>IFERROR(XLOOKUP(XLOOKUP(D2906,tblReleaseChanges[Change_ID],tblReleaseChanges[Oracle_Severity],""),tblSeverityMap[Severity_Text],tblSeverityMap[Score],0),0)</f>
        <v/>
      </c>
      <c r="T2906">
        <f>ROUND((M2906*0.25)+(N2906*0.20)+(O2906*0.15)+(P2906*0.15)+(Q2906*0.10)+(R2906*0.10)+(S2906*0.05),2)</f>
        <v/>
      </c>
      <c r="U2906">
        <f>IF(T2906&gt;=4.25,"Critical",IF(T2906&gt;=3.5,"High",IF(T2906&gt;=2,"Medium","Low")))</f>
        <v/>
      </c>
    </row>
    <row r="2907">
      <c r="R2907">
        <f>IFERROR(XLOOKUP(XLOOKUP(D2907,tblReleaseChanges[Change_ID],tblReleaseChanges[Oracle_Severity],""),tblSeverityMap[Severity_Text],tblSeverityMap[Score],0),0)</f>
        <v/>
      </c>
      <c r="T2907">
        <f>ROUND((M2907*0.25)+(N2907*0.20)+(O2907*0.15)+(P2907*0.15)+(Q2907*0.10)+(R2907*0.10)+(S2907*0.05),2)</f>
        <v/>
      </c>
      <c r="U2907">
        <f>IF(T2907&gt;=4.25,"Critical",IF(T2907&gt;=3.5,"High",IF(T2907&gt;=2,"Medium","Low")))</f>
        <v/>
      </c>
    </row>
    <row r="2908">
      <c r="R2908">
        <f>IFERROR(XLOOKUP(XLOOKUP(D2908,tblReleaseChanges[Change_ID],tblReleaseChanges[Oracle_Severity],""),tblSeverityMap[Severity_Text],tblSeverityMap[Score],0),0)</f>
        <v/>
      </c>
      <c r="T2908">
        <f>ROUND((M2908*0.25)+(N2908*0.20)+(O2908*0.15)+(P2908*0.15)+(Q2908*0.10)+(R2908*0.10)+(S2908*0.05),2)</f>
        <v/>
      </c>
      <c r="U2908">
        <f>IF(T2908&gt;=4.25,"Critical",IF(T2908&gt;=3.5,"High",IF(T2908&gt;=2,"Medium","Low")))</f>
        <v/>
      </c>
    </row>
    <row r="2909">
      <c r="R2909">
        <f>IFERROR(XLOOKUP(XLOOKUP(D2909,tblReleaseChanges[Change_ID],tblReleaseChanges[Oracle_Severity],""),tblSeverityMap[Severity_Text],tblSeverityMap[Score],0),0)</f>
        <v/>
      </c>
      <c r="T2909">
        <f>ROUND((M2909*0.25)+(N2909*0.20)+(O2909*0.15)+(P2909*0.15)+(Q2909*0.10)+(R2909*0.10)+(S2909*0.05),2)</f>
        <v/>
      </c>
      <c r="U2909">
        <f>IF(T2909&gt;=4.25,"Critical",IF(T2909&gt;=3.5,"High",IF(T2909&gt;=2,"Medium","Low")))</f>
        <v/>
      </c>
    </row>
    <row r="2910">
      <c r="R2910">
        <f>IFERROR(XLOOKUP(XLOOKUP(D2910,tblReleaseChanges[Change_ID],tblReleaseChanges[Oracle_Severity],""),tblSeverityMap[Severity_Text],tblSeverityMap[Score],0),0)</f>
        <v/>
      </c>
      <c r="T2910">
        <f>ROUND((M2910*0.25)+(N2910*0.20)+(O2910*0.15)+(P2910*0.15)+(Q2910*0.10)+(R2910*0.10)+(S2910*0.05),2)</f>
        <v/>
      </c>
      <c r="U2910">
        <f>IF(T2910&gt;=4.25,"Critical",IF(T2910&gt;=3.5,"High",IF(T2910&gt;=2,"Medium","Low")))</f>
        <v/>
      </c>
    </row>
    <row r="2911">
      <c r="R2911">
        <f>IFERROR(XLOOKUP(XLOOKUP(D2911,tblReleaseChanges[Change_ID],tblReleaseChanges[Oracle_Severity],""),tblSeverityMap[Severity_Text],tblSeverityMap[Score],0),0)</f>
        <v/>
      </c>
      <c r="T2911">
        <f>ROUND((M2911*0.25)+(N2911*0.20)+(O2911*0.15)+(P2911*0.15)+(Q2911*0.10)+(R2911*0.10)+(S2911*0.05),2)</f>
        <v/>
      </c>
      <c r="U2911">
        <f>IF(T2911&gt;=4.25,"Critical",IF(T2911&gt;=3.5,"High",IF(T2911&gt;=2,"Medium","Low")))</f>
        <v/>
      </c>
    </row>
    <row r="2912">
      <c r="R2912">
        <f>IFERROR(XLOOKUP(XLOOKUP(D2912,tblReleaseChanges[Change_ID],tblReleaseChanges[Oracle_Severity],""),tblSeverityMap[Severity_Text],tblSeverityMap[Score],0),0)</f>
        <v/>
      </c>
      <c r="T2912">
        <f>ROUND((M2912*0.25)+(N2912*0.20)+(O2912*0.15)+(P2912*0.15)+(Q2912*0.10)+(R2912*0.10)+(S2912*0.05),2)</f>
        <v/>
      </c>
      <c r="U2912">
        <f>IF(T2912&gt;=4.25,"Critical",IF(T2912&gt;=3.5,"High",IF(T2912&gt;=2,"Medium","Low")))</f>
        <v/>
      </c>
    </row>
    <row r="2913">
      <c r="R2913">
        <f>IFERROR(XLOOKUP(XLOOKUP(D2913,tblReleaseChanges[Change_ID],tblReleaseChanges[Oracle_Severity],""),tblSeverityMap[Severity_Text],tblSeverityMap[Score],0),0)</f>
        <v/>
      </c>
      <c r="T2913">
        <f>ROUND((M2913*0.25)+(N2913*0.20)+(O2913*0.15)+(P2913*0.15)+(Q2913*0.10)+(R2913*0.10)+(S2913*0.05),2)</f>
        <v/>
      </c>
      <c r="U2913">
        <f>IF(T2913&gt;=4.25,"Critical",IF(T2913&gt;=3.5,"High",IF(T2913&gt;=2,"Medium","Low")))</f>
        <v/>
      </c>
    </row>
    <row r="2914">
      <c r="R2914">
        <f>IFERROR(XLOOKUP(XLOOKUP(D2914,tblReleaseChanges[Change_ID],tblReleaseChanges[Oracle_Severity],""),tblSeverityMap[Severity_Text],tblSeverityMap[Score],0),0)</f>
        <v/>
      </c>
      <c r="T2914">
        <f>ROUND((M2914*0.25)+(N2914*0.20)+(O2914*0.15)+(P2914*0.15)+(Q2914*0.10)+(R2914*0.10)+(S2914*0.05),2)</f>
        <v/>
      </c>
      <c r="U2914">
        <f>IF(T2914&gt;=4.25,"Critical",IF(T2914&gt;=3.5,"High",IF(T2914&gt;=2,"Medium","Low")))</f>
        <v/>
      </c>
    </row>
    <row r="2915">
      <c r="R2915">
        <f>IFERROR(XLOOKUP(XLOOKUP(D2915,tblReleaseChanges[Change_ID],tblReleaseChanges[Oracle_Severity],""),tblSeverityMap[Severity_Text],tblSeverityMap[Score],0),0)</f>
        <v/>
      </c>
      <c r="T2915">
        <f>ROUND((M2915*0.25)+(N2915*0.20)+(O2915*0.15)+(P2915*0.15)+(Q2915*0.10)+(R2915*0.10)+(S2915*0.05),2)</f>
        <v/>
      </c>
      <c r="U2915">
        <f>IF(T2915&gt;=4.25,"Critical",IF(T2915&gt;=3.5,"High",IF(T2915&gt;=2,"Medium","Low")))</f>
        <v/>
      </c>
    </row>
    <row r="2916">
      <c r="R2916">
        <f>IFERROR(XLOOKUP(XLOOKUP(D2916,tblReleaseChanges[Change_ID],tblReleaseChanges[Oracle_Severity],""),tblSeverityMap[Severity_Text],tblSeverityMap[Score],0),0)</f>
        <v/>
      </c>
      <c r="T2916">
        <f>ROUND((M2916*0.25)+(N2916*0.20)+(O2916*0.15)+(P2916*0.15)+(Q2916*0.10)+(R2916*0.10)+(S2916*0.05),2)</f>
        <v/>
      </c>
      <c r="U2916">
        <f>IF(T2916&gt;=4.25,"Critical",IF(T2916&gt;=3.5,"High",IF(T2916&gt;=2,"Medium","Low")))</f>
        <v/>
      </c>
    </row>
    <row r="2917">
      <c r="R2917">
        <f>IFERROR(XLOOKUP(XLOOKUP(D2917,tblReleaseChanges[Change_ID],tblReleaseChanges[Oracle_Severity],""),tblSeverityMap[Severity_Text],tblSeverityMap[Score],0),0)</f>
        <v/>
      </c>
      <c r="T2917">
        <f>ROUND((M2917*0.25)+(N2917*0.20)+(O2917*0.15)+(P2917*0.15)+(Q2917*0.10)+(R2917*0.10)+(S2917*0.05),2)</f>
        <v/>
      </c>
      <c r="U2917">
        <f>IF(T2917&gt;=4.25,"Critical",IF(T2917&gt;=3.5,"High",IF(T2917&gt;=2,"Medium","Low")))</f>
        <v/>
      </c>
    </row>
    <row r="2918">
      <c r="R2918">
        <f>IFERROR(XLOOKUP(XLOOKUP(D2918,tblReleaseChanges[Change_ID],tblReleaseChanges[Oracle_Severity],""),tblSeverityMap[Severity_Text],tblSeverityMap[Score],0),0)</f>
        <v/>
      </c>
      <c r="T2918">
        <f>ROUND((M2918*0.25)+(N2918*0.20)+(O2918*0.15)+(P2918*0.15)+(Q2918*0.10)+(R2918*0.10)+(S2918*0.05),2)</f>
        <v/>
      </c>
      <c r="U2918">
        <f>IF(T2918&gt;=4.25,"Critical",IF(T2918&gt;=3.5,"High",IF(T2918&gt;=2,"Medium","Low")))</f>
        <v/>
      </c>
    </row>
    <row r="2919">
      <c r="R2919">
        <f>IFERROR(XLOOKUP(XLOOKUP(D2919,tblReleaseChanges[Change_ID],tblReleaseChanges[Oracle_Severity],""),tblSeverityMap[Severity_Text],tblSeverityMap[Score],0),0)</f>
        <v/>
      </c>
      <c r="T2919">
        <f>ROUND((M2919*0.25)+(N2919*0.20)+(O2919*0.15)+(P2919*0.15)+(Q2919*0.10)+(R2919*0.10)+(S2919*0.05),2)</f>
        <v/>
      </c>
      <c r="U2919">
        <f>IF(T2919&gt;=4.25,"Critical",IF(T2919&gt;=3.5,"High",IF(T2919&gt;=2,"Medium","Low")))</f>
        <v/>
      </c>
    </row>
    <row r="2920">
      <c r="R2920">
        <f>IFERROR(XLOOKUP(XLOOKUP(D2920,tblReleaseChanges[Change_ID],tblReleaseChanges[Oracle_Severity],""),tblSeverityMap[Severity_Text],tblSeverityMap[Score],0),0)</f>
        <v/>
      </c>
      <c r="T2920">
        <f>ROUND((M2920*0.25)+(N2920*0.20)+(O2920*0.15)+(P2920*0.15)+(Q2920*0.10)+(R2920*0.10)+(S2920*0.05),2)</f>
        <v/>
      </c>
      <c r="U2920">
        <f>IF(T2920&gt;=4.25,"Critical",IF(T2920&gt;=3.5,"High",IF(T2920&gt;=2,"Medium","Low")))</f>
        <v/>
      </c>
    </row>
    <row r="2921">
      <c r="R2921">
        <f>IFERROR(XLOOKUP(XLOOKUP(D2921,tblReleaseChanges[Change_ID],tblReleaseChanges[Oracle_Severity],""),tblSeverityMap[Severity_Text],tblSeverityMap[Score],0),0)</f>
        <v/>
      </c>
      <c r="T2921">
        <f>ROUND((M2921*0.25)+(N2921*0.20)+(O2921*0.15)+(P2921*0.15)+(Q2921*0.10)+(R2921*0.10)+(S2921*0.05),2)</f>
        <v/>
      </c>
      <c r="U2921">
        <f>IF(T2921&gt;=4.25,"Critical",IF(T2921&gt;=3.5,"High",IF(T2921&gt;=2,"Medium","Low")))</f>
        <v/>
      </c>
    </row>
    <row r="2922">
      <c r="R2922">
        <f>IFERROR(XLOOKUP(XLOOKUP(D2922,tblReleaseChanges[Change_ID],tblReleaseChanges[Oracle_Severity],""),tblSeverityMap[Severity_Text],tblSeverityMap[Score],0),0)</f>
        <v/>
      </c>
      <c r="T2922">
        <f>ROUND((M2922*0.25)+(N2922*0.20)+(O2922*0.15)+(P2922*0.15)+(Q2922*0.10)+(R2922*0.10)+(S2922*0.05),2)</f>
        <v/>
      </c>
      <c r="U2922">
        <f>IF(T2922&gt;=4.25,"Critical",IF(T2922&gt;=3.5,"High",IF(T2922&gt;=2,"Medium","Low")))</f>
        <v/>
      </c>
    </row>
    <row r="2923">
      <c r="R2923">
        <f>IFERROR(XLOOKUP(XLOOKUP(D2923,tblReleaseChanges[Change_ID],tblReleaseChanges[Oracle_Severity],""),tblSeverityMap[Severity_Text],tblSeverityMap[Score],0),0)</f>
        <v/>
      </c>
      <c r="T2923">
        <f>ROUND((M2923*0.25)+(N2923*0.20)+(O2923*0.15)+(P2923*0.15)+(Q2923*0.10)+(R2923*0.10)+(S2923*0.05),2)</f>
        <v/>
      </c>
      <c r="U2923">
        <f>IF(T2923&gt;=4.25,"Critical",IF(T2923&gt;=3.5,"High",IF(T2923&gt;=2,"Medium","Low")))</f>
        <v/>
      </c>
    </row>
    <row r="2924">
      <c r="R2924">
        <f>IFERROR(XLOOKUP(XLOOKUP(D2924,tblReleaseChanges[Change_ID],tblReleaseChanges[Oracle_Severity],""),tblSeverityMap[Severity_Text],tblSeverityMap[Score],0),0)</f>
        <v/>
      </c>
      <c r="T2924">
        <f>ROUND((M2924*0.25)+(N2924*0.20)+(O2924*0.15)+(P2924*0.15)+(Q2924*0.10)+(R2924*0.10)+(S2924*0.05),2)</f>
        <v/>
      </c>
      <c r="U2924">
        <f>IF(T2924&gt;=4.25,"Critical",IF(T2924&gt;=3.5,"High",IF(T2924&gt;=2,"Medium","Low")))</f>
        <v/>
      </c>
    </row>
    <row r="2925">
      <c r="R2925">
        <f>IFERROR(XLOOKUP(XLOOKUP(D2925,tblReleaseChanges[Change_ID],tblReleaseChanges[Oracle_Severity],""),tblSeverityMap[Severity_Text],tblSeverityMap[Score],0),0)</f>
        <v/>
      </c>
      <c r="T2925">
        <f>ROUND((M2925*0.25)+(N2925*0.20)+(O2925*0.15)+(P2925*0.15)+(Q2925*0.10)+(R2925*0.10)+(S2925*0.05),2)</f>
        <v/>
      </c>
      <c r="U2925">
        <f>IF(T2925&gt;=4.25,"Critical",IF(T2925&gt;=3.5,"High",IF(T2925&gt;=2,"Medium","Low")))</f>
        <v/>
      </c>
    </row>
    <row r="2926">
      <c r="R2926">
        <f>IFERROR(XLOOKUP(XLOOKUP(D2926,tblReleaseChanges[Change_ID],tblReleaseChanges[Oracle_Severity],""),tblSeverityMap[Severity_Text],tblSeverityMap[Score],0),0)</f>
        <v/>
      </c>
      <c r="T2926">
        <f>ROUND((M2926*0.25)+(N2926*0.20)+(O2926*0.15)+(P2926*0.15)+(Q2926*0.10)+(R2926*0.10)+(S2926*0.05),2)</f>
        <v/>
      </c>
      <c r="U2926">
        <f>IF(T2926&gt;=4.25,"Critical",IF(T2926&gt;=3.5,"High",IF(T2926&gt;=2,"Medium","Low")))</f>
        <v/>
      </c>
    </row>
    <row r="2927">
      <c r="R2927">
        <f>IFERROR(XLOOKUP(XLOOKUP(D2927,tblReleaseChanges[Change_ID],tblReleaseChanges[Oracle_Severity],""),tblSeverityMap[Severity_Text],tblSeverityMap[Score],0),0)</f>
        <v/>
      </c>
      <c r="T2927">
        <f>ROUND((M2927*0.25)+(N2927*0.20)+(O2927*0.15)+(P2927*0.15)+(Q2927*0.10)+(R2927*0.10)+(S2927*0.05),2)</f>
        <v/>
      </c>
      <c r="U2927">
        <f>IF(T2927&gt;=4.25,"Critical",IF(T2927&gt;=3.5,"High",IF(T2927&gt;=2,"Medium","Low")))</f>
        <v/>
      </c>
    </row>
    <row r="2928">
      <c r="R2928">
        <f>IFERROR(XLOOKUP(XLOOKUP(D2928,tblReleaseChanges[Change_ID],tblReleaseChanges[Oracle_Severity],""),tblSeverityMap[Severity_Text],tblSeverityMap[Score],0),0)</f>
        <v/>
      </c>
      <c r="T2928">
        <f>ROUND((M2928*0.25)+(N2928*0.20)+(O2928*0.15)+(P2928*0.15)+(Q2928*0.10)+(R2928*0.10)+(S2928*0.05),2)</f>
        <v/>
      </c>
      <c r="U2928">
        <f>IF(T2928&gt;=4.25,"Critical",IF(T2928&gt;=3.5,"High",IF(T2928&gt;=2,"Medium","Low")))</f>
        <v/>
      </c>
    </row>
    <row r="2929">
      <c r="R2929">
        <f>IFERROR(XLOOKUP(XLOOKUP(D2929,tblReleaseChanges[Change_ID],tblReleaseChanges[Oracle_Severity],""),tblSeverityMap[Severity_Text],tblSeverityMap[Score],0),0)</f>
        <v/>
      </c>
      <c r="T2929">
        <f>ROUND((M2929*0.25)+(N2929*0.20)+(O2929*0.15)+(P2929*0.15)+(Q2929*0.10)+(R2929*0.10)+(S2929*0.05),2)</f>
        <v/>
      </c>
      <c r="U2929">
        <f>IF(T2929&gt;=4.25,"Critical",IF(T2929&gt;=3.5,"High",IF(T2929&gt;=2,"Medium","Low")))</f>
        <v/>
      </c>
    </row>
    <row r="2930">
      <c r="R2930">
        <f>IFERROR(XLOOKUP(XLOOKUP(D2930,tblReleaseChanges[Change_ID],tblReleaseChanges[Oracle_Severity],""),tblSeverityMap[Severity_Text],tblSeverityMap[Score],0),0)</f>
        <v/>
      </c>
      <c r="T2930">
        <f>ROUND((M2930*0.25)+(N2930*0.20)+(O2930*0.15)+(P2930*0.15)+(Q2930*0.10)+(R2930*0.10)+(S2930*0.05),2)</f>
        <v/>
      </c>
      <c r="U2930">
        <f>IF(T2930&gt;=4.25,"Critical",IF(T2930&gt;=3.5,"High",IF(T2930&gt;=2,"Medium","Low")))</f>
        <v/>
      </c>
    </row>
    <row r="2931">
      <c r="R2931">
        <f>IFERROR(XLOOKUP(XLOOKUP(D2931,tblReleaseChanges[Change_ID],tblReleaseChanges[Oracle_Severity],""),tblSeverityMap[Severity_Text],tblSeverityMap[Score],0),0)</f>
        <v/>
      </c>
      <c r="T2931">
        <f>ROUND((M2931*0.25)+(N2931*0.20)+(O2931*0.15)+(P2931*0.15)+(Q2931*0.10)+(R2931*0.10)+(S2931*0.05),2)</f>
        <v/>
      </c>
      <c r="U2931">
        <f>IF(T2931&gt;=4.25,"Critical",IF(T2931&gt;=3.5,"High",IF(T2931&gt;=2,"Medium","Low")))</f>
        <v/>
      </c>
    </row>
    <row r="2932">
      <c r="R2932">
        <f>IFERROR(XLOOKUP(XLOOKUP(D2932,tblReleaseChanges[Change_ID],tblReleaseChanges[Oracle_Severity],""),tblSeverityMap[Severity_Text],tblSeverityMap[Score],0),0)</f>
        <v/>
      </c>
      <c r="T2932">
        <f>ROUND((M2932*0.25)+(N2932*0.20)+(O2932*0.15)+(P2932*0.15)+(Q2932*0.10)+(R2932*0.10)+(S2932*0.05),2)</f>
        <v/>
      </c>
      <c r="U2932">
        <f>IF(T2932&gt;=4.25,"Critical",IF(T2932&gt;=3.5,"High",IF(T2932&gt;=2,"Medium","Low")))</f>
        <v/>
      </c>
    </row>
    <row r="2933">
      <c r="R2933">
        <f>IFERROR(XLOOKUP(XLOOKUP(D2933,tblReleaseChanges[Change_ID],tblReleaseChanges[Oracle_Severity],""),tblSeverityMap[Severity_Text],tblSeverityMap[Score],0),0)</f>
        <v/>
      </c>
      <c r="T2933">
        <f>ROUND((M2933*0.25)+(N2933*0.20)+(O2933*0.15)+(P2933*0.15)+(Q2933*0.10)+(R2933*0.10)+(S2933*0.05),2)</f>
        <v/>
      </c>
      <c r="U2933">
        <f>IF(T2933&gt;=4.25,"Critical",IF(T2933&gt;=3.5,"High",IF(T2933&gt;=2,"Medium","Low")))</f>
        <v/>
      </c>
    </row>
    <row r="2934">
      <c r="R2934">
        <f>IFERROR(XLOOKUP(XLOOKUP(D2934,tblReleaseChanges[Change_ID],tblReleaseChanges[Oracle_Severity],""),tblSeverityMap[Severity_Text],tblSeverityMap[Score],0),0)</f>
        <v/>
      </c>
      <c r="T2934">
        <f>ROUND((M2934*0.25)+(N2934*0.20)+(O2934*0.15)+(P2934*0.15)+(Q2934*0.10)+(R2934*0.10)+(S2934*0.05),2)</f>
        <v/>
      </c>
      <c r="U2934">
        <f>IF(T2934&gt;=4.25,"Critical",IF(T2934&gt;=3.5,"High",IF(T2934&gt;=2,"Medium","Low")))</f>
        <v/>
      </c>
    </row>
    <row r="2935">
      <c r="R2935">
        <f>IFERROR(XLOOKUP(XLOOKUP(D2935,tblReleaseChanges[Change_ID],tblReleaseChanges[Oracle_Severity],""),tblSeverityMap[Severity_Text],tblSeverityMap[Score],0),0)</f>
        <v/>
      </c>
      <c r="T2935">
        <f>ROUND((M2935*0.25)+(N2935*0.20)+(O2935*0.15)+(P2935*0.15)+(Q2935*0.10)+(R2935*0.10)+(S2935*0.05),2)</f>
        <v/>
      </c>
      <c r="U2935">
        <f>IF(T2935&gt;=4.25,"Critical",IF(T2935&gt;=3.5,"High",IF(T2935&gt;=2,"Medium","Low")))</f>
        <v/>
      </c>
    </row>
    <row r="2936">
      <c r="R2936">
        <f>IFERROR(XLOOKUP(XLOOKUP(D2936,tblReleaseChanges[Change_ID],tblReleaseChanges[Oracle_Severity],""),tblSeverityMap[Severity_Text],tblSeverityMap[Score],0),0)</f>
        <v/>
      </c>
      <c r="T2936">
        <f>ROUND((M2936*0.25)+(N2936*0.20)+(O2936*0.15)+(P2936*0.15)+(Q2936*0.10)+(R2936*0.10)+(S2936*0.05),2)</f>
        <v/>
      </c>
      <c r="U2936">
        <f>IF(T2936&gt;=4.25,"Critical",IF(T2936&gt;=3.5,"High",IF(T2936&gt;=2,"Medium","Low")))</f>
        <v/>
      </c>
    </row>
    <row r="2937">
      <c r="R2937">
        <f>IFERROR(XLOOKUP(XLOOKUP(D2937,tblReleaseChanges[Change_ID],tblReleaseChanges[Oracle_Severity],""),tblSeverityMap[Severity_Text],tblSeverityMap[Score],0),0)</f>
        <v/>
      </c>
      <c r="T2937">
        <f>ROUND((M2937*0.25)+(N2937*0.20)+(O2937*0.15)+(P2937*0.15)+(Q2937*0.10)+(R2937*0.10)+(S2937*0.05),2)</f>
        <v/>
      </c>
      <c r="U2937">
        <f>IF(T2937&gt;=4.25,"Critical",IF(T2937&gt;=3.5,"High",IF(T2937&gt;=2,"Medium","Low")))</f>
        <v/>
      </c>
    </row>
    <row r="2938">
      <c r="R2938">
        <f>IFERROR(XLOOKUP(XLOOKUP(D2938,tblReleaseChanges[Change_ID],tblReleaseChanges[Oracle_Severity],""),tblSeverityMap[Severity_Text],tblSeverityMap[Score],0),0)</f>
        <v/>
      </c>
      <c r="T2938">
        <f>ROUND((M2938*0.25)+(N2938*0.20)+(O2938*0.15)+(P2938*0.15)+(Q2938*0.10)+(R2938*0.10)+(S2938*0.05),2)</f>
        <v/>
      </c>
      <c r="U2938">
        <f>IF(T2938&gt;=4.25,"Critical",IF(T2938&gt;=3.5,"High",IF(T2938&gt;=2,"Medium","Low")))</f>
        <v/>
      </c>
    </row>
    <row r="2939">
      <c r="R2939">
        <f>IFERROR(XLOOKUP(XLOOKUP(D2939,tblReleaseChanges[Change_ID],tblReleaseChanges[Oracle_Severity],""),tblSeverityMap[Severity_Text],tblSeverityMap[Score],0),0)</f>
        <v/>
      </c>
      <c r="T2939">
        <f>ROUND((M2939*0.25)+(N2939*0.20)+(O2939*0.15)+(P2939*0.15)+(Q2939*0.10)+(R2939*0.10)+(S2939*0.05),2)</f>
        <v/>
      </c>
      <c r="U2939">
        <f>IF(T2939&gt;=4.25,"Critical",IF(T2939&gt;=3.5,"High",IF(T2939&gt;=2,"Medium","Low")))</f>
        <v/>
      </c>
    </row>
    <row r="2940">
      <c r="R2940">
        <f>IFERROR(XLOOKUP(XLOOKUP(D2940,tblReleaseChanges[Change_ID],tblReleaseChanges[Oracle_Severity],""),tblSeverityMap[Severity_Text],tblSeverityMap[Score],0),0)</f>
        <v/>
      </c>
      <c r="T2940">
        <f>ROUND((M2940*0.25)+(N2940*0.20)+(O2940*0.15)+(P2940*0.15)+(Q2940*0.10)+(R2940*0.10)+(S2940*0.05),2)</f>
        <v/>
      </c>
      <c r="U2940">
        <f>IF(T2940&gt;=4.25,"Critical",IF(T2940&gt;=3.5,"High",IF(T2940&gt;=2,"Medium","Low")))</f>
        <v/>
      </c>
    </row>
    <row r="2941">
      <c r="R2941">
        <f>IFERROR(XLOOKUP(XLOOKUP(D2941,tblReleaseChanges[Change_ID],tblReleaseChanges[Oracle_Severity],""),tblSeverityMap[Severity_Text],tblSeverityMap[Score],0),0)</f>
        <v/>
      </c>
      <c r="T2941">
        <f>ROUND((M2941*0.25)+(N2941*0.20)+(O2941*0.15)+(P2941*0.15)+(Q2941*0.10)+(R2941*0.10)+(S2941*0.05),2)</f>
        <v/>
      </c>
      <c r="U2941">
        <f>IF(T2941&gt;=4.25,"Critical",IF(T2941&gt;=3.5,"High",IF(T2941&gt;=2,"Medium","Low")))</f>
        <v/>
      </c>
    </row>
    <row r="2942">
      <c r="R2942">
        <f>IFERROR(XLOOKUP(XLOOKUP(D2942,tblReleaseChanges[Change_ID],tblReleaseChanges[Oracle_Severity],""),tblSeverityMap[Severity_Text],tblSeverityMap[Score],0),0)</f>
        <v/>
      </c>
      <c r="T2942">
        <f>ROUND((M2942*0.25)+(N2942*0.20)+(O2942*0.15)+(P2942*0.15)+(Q2942*0.10)+(R2942*0.10)+(S2942*0.05),2)</f>
        <v/>
      </c>
      <c r="U2942">
        <f>IF(T2942&gt;=4.25,"Critical",IF(T2942&gt;=3.5,"High",IF(T2942&gt;=2,"Medium","Low")))</f>
        <v/>
      </c>
    </row>
    <row r="2943">
      <c r="R2943">
        <f>IFERROR(XLOOKUP(XLOOKUP(D2943,tblReleaseChanges[Change_ID],tblReleaseChanges[Oracle_Severity],""),tblSeverityMap[Severity_Text],tblSeverityMap[Score],0),0)</f>
        <v/>
      </c>
      <c r="T2943">
        <f>ROUND((M2943*0.25)+(N2943*0.20)+(O2943*0.15)+(P2943*0.15)+(Q2943*0.10)+(R2943*0.10)+(S2943*0.05),2)</f>
        <v/>
      </c>
      <c r="U2943">
        <f>IF(T2943&gt;=4.25,"Critical",IF(T2943&gt;=3.5,"High",IF(T2943&gt;=2,"Medium","Low")))</f>
        <v/>
      </c>
    </row>
    <row r="2944">
      <c r="R2944">
        <f>IFERROR(XLOOKUP(XLOOKUP(D2944,tblReleaseChanges[Change_ID],tblReleaseChanges[Oracle_Severity],""),tblSeverityMap[Severity_Text],tblSeverityMap[Score],0),0)</f>
        <v/>
      </c>
      <c r="T2944">
        <f>ROUND((M2944*0.25)+(N2944*0.20)+(O2944*0.15)+(P2944*0.15)+(Q2944*0.10)+(R2944*0.10)+(S2944*0.05),2)</f>
        <v/>
      </c>
      <c r="U2944">
        <f>IF(T2944&gt;=4.25,"Critical",IF(T2944&gt;=3.5,"High",IF(T2944&gt;=2,"Medium","Low")))</f>
        <v/>
      </c>
    </row>
    <row r="2945">
      <c r="R2945">
        <f>IFERROR(XLOOKUP(XLOOKUP(D2945,tblReleaseChanges[Change_ID],tblReleaseChanges[Oracle_Severity],""),tblSeverityMap[Severity_Text],tblSeverityMap[Score],0),0)</f>
        <v/>
      </c>
      <c r="T2945">
        <f>ROUND((M2945*0.25)+(N2945*0.20)+(O2945*0.15)+(P2945*0.15)+(Q2945*0.10)+(R2945*0.10)+(S2945*0.05),2)</f>
        <v/>
      </c>
      <c r="U2945">
        <f>IF(T2945&gt;=4.25,"Critical",IF(T2945&gt;=3.5,"High",IF(T2945&gt;=2,"Medium","Low")))</f>
        <v/>
      </c>
    </row>
    <row r="2946">
      <c r="R2946">
        <f>IFERROR(XLOOKUP(XLOOKUP(D2946,tblReleaseChanges[Change_ID],tblReleaseChanges[Oracle_Severity],""),tblSeverityMap[Severity_Text],tblSeverityMap[Score],0),0)</f>
        <v/>
      </c>
      <c r="T2946">
        <f>ROUND((M2946*0.25)+(N2946*0.20)+(O2946*0.15)+(P2946*0.15)+(Q2946*0.10)+(R2946*0.10)+(S2946*0.05),2)</f>
        <v/>
      </c>
      <c r="U2946">
        <f>IF(T2946&gt;=4.25,"Critical",IF(T2946&gt;=3.5,"High",IF(T2946&gt;=2,"Medium","Low")))</f>
        <v/>
      </c>
    </row>
    <row r="2947">
      <c r="R2947">
        <f>IFERROR(XLOOKUP(XLOOKUP(D2947,tblReleaseChanges[Change_ID],tblReleaseChanges[Oracle_Severity],""),tblSeverityMap[Severity_Text],tblSeverityMap[Score],0),0)</f>
        <v/>
      </c>
      <c r="T2947">
        <f>ROUND((M2947*0.25)+(N2947*0.20)+(O2947*0.15)+(P2947*0.15)+(Q2947*0.10)+(R2947*0.10)+(S2947*0.05),2)</f>
        <v/>
      </c>
      <c r="U2947">
        <f>IF(T2947&gt;=4.25,"Critical",IF(T2947&gt;=3.5,"High",IF(T2947&gt;=2,"Medium","Low")))</f>
        <v/>
      </c>
    </row>
    <row r="2948">
      <c r="R2948">
        <f>IFERROR(XLOOKUP(XLOOKUP(D2948,tblReleaseChanges[Change_ID],tblReleaseChanges[Oracle_Severity],""),tblSeverityMap[Severity_Text],tblSeverityMap[Score],0),0)</f>
        <v/>
      </c>
      <c r="T2948">
        <f>ROUND((M2948*0.25)+(N2948*0.20)+(O2948*0.15)+(P2948*0.15)+(Q2948*0.10)+(R2948*0.10)+(S2948*0.05),2)</f>
        <v/>
      </c>
      <c r="U2948">
        <f>IF(T2948&gt;=4.25,"Critical",IF(T2948&gt;=3.5,"High",IF(T2948&gt;=2,"Medium","Low")))</f>
        <v/>
      </c>
    </row>
    <row r="2949">
      <c r="R2949">
        <f>IFERROR(XLOOKUP(XLOOKUP(D2949,tblReleaseChanges[Change_ID],tblReleaseChanges[Oracle_Severity],""),tblSeverityMap[Severity_Text],tblSeverityMap[Score],0),0)</f>
        <v/>
      </c>
      <c r="T2949">
        <f>ROUND((M2949*0.25)+(N2949*0.20)+(O2949*0.15)+(P2949*0.15)+(Q2949*0.10)+(R2949*0.10)+(S2949*0.05),2)</f>
        <v/>
      </c>
      <c r="U2949">
        <f>IF(T2949&gt;=4.25,"Critical",IF(T2949&gt;=3.5,"High",IF(T2949&gt;=2,"Medium","Low")))</f>
        <v/>
      </c>
    </row>
    <row r="2950">
      <c r="R2950">
        <f>IFERROR(XLOOKUP(XLOOKUP(D2950,tblReleaseChanges[Change_ID],tblReleaseChanges[Oracle_Severity],""),tblSeverityMap[Severity_Text],tblSeverityMap[Score],0),0)</f>
        <v/>
      </c>
      <c r="T2950">
        <f>ROUND((M2950*0.25)+(N2950*0.20)+(O2950*0.15)+(P2950*0.15)+(Q2950*0.10)+(R2950*0.10)+(S2950*0.05),2)</f>
        <v/>
      </c>
      <c r="U2950">
        <f>IF(T2950&gt;=4.25,"Critical",IF(T2950&gt;=3.5,"High",IF(T2950&gt;=2,"Medium","Low")))</f>
        <v/>
      </c>
    </row>
    <row r="2951">
      <c r="R2951">
        <f>IFERROR(XLOOKUP(XLOOKUP(D2951,tblReleaseChanges[Change_ID],tblReleaseChanges[Oracle_Severity],""),tblSeverityMap[Severity_Text],tblSeverityMap[Score],0),0)</f>
        <v/>
      </c>
      <c r="T2951">
        <f>ROUND((M2951*0.25)+(N2951*0.20)+(O2951*0.15)+(P2951*0.15)+(Q2951*0.10)+(R2951*0.10)+(S2951*0.05),2)</f>
        <v/>
      </c>
      <c r="U2951">
        <f>IF(T2951&gt;=4.25,"Critical",IF(T2951&gt;=3.5,"High",IF(T2951&gt;=2,"Medium","Low")))</f>
        <v/>
      </c>
    </row>
    <row r="2952">
      <c r="R2952">
        <f>IFERROR(XLOOKUP(XLOOKUP(D2952,tblReleaseChanges[Change_ID],tblReleaseChanges[Oracle_Severity],""),tblSeverityMap[Severity_Text],tblSeverityMap[Score],0),0)</f>
        <v/>
      </c>
      <c r="T2952">
        <f>ROUND((M2952*0.25)+(N2952*0.20)+(O2952*0.15)+(P2952*0.15)+(Q2952*0.10)+(R2952*0.10)+(S2952*0.05),2)</f>
        <v/>
      </c>
      <c r="U2952">
        <f>IF(T2952&gt;=4.25,"Critical",IF(T2952&gt;=3.5,"High",IF(T2952&gt;=2,"Medium","Low")))</f>
        <v/>
      </c>
    </row>
    <row r="2953">
      <c r="R2953">
        <f>IFERROR(XLOOKUP(XLOOKUP(D2953,tblReleaseChanges[Change_ID],tblReleaseChanges[Oracle_Severity],""),tblSeverityMap[Severity_Text],tblSeverityMap[Score],0),0)</f>
        <v/>
      </c>
      <c r="T2953">
        <f>ROUND((M2953*0.25)+(N2953*0.20)+(O2953*0.15)+(P2953*0.15)+(Q2953*0.10)+(R2953*0.10)+(S2953*0.05),2)</f>
        <v/>
      </c>
      <c r="U2953">
        <f>IF(T2953&gt;=4.25,"Critical",IF(T2953&gt;=3.5,"High",IF(T2953&gt;=2,"Medium","Low")))</f>
        <v/>
      </c>
    </row>
    <row r="2954">
      <c r="R2954">
        <f>IFERROR(XLOOKUP(XLOOKUP(D2954,tblReleaseChanges[Change_ID],tblReleaseChanges[Oracle_Severity],""),tblSeverityMap[Severity_Text],tblSeverityMap[Score],0),0)</f>
        <v/>
      </c>
      <c r="T2954">
        <f>ROUND((M2954*0.25)+(N2954*0.20)+(O2954*0.15)+(P2954*0.15)+(Q2954*0.10)+(R2954*0.10)+(S2954*0.05),2)</f>
        <v/>
      </c>
      <c r="U2954">
        <f>IF(T2954&gt;=4.25,"Critical",IF(T2954&gt;=3.5,"High",IF(T2954&gt;=2,"Medium","Low")))</f>
        <v/>
      </c>
    </row>
    <row r="2955">
      <c r="R2955">
        <f>IFERROR(XLOOKUP(XLOOKUP(D2955,tblReleaseChanges[Change_ID],tblReleaseChanges[Oracle_Severity],""),tblSeverityMap[Severity_Text],tblSeverityMap[Score],0),0)</f>
        <v/>
      </c>
      <c r="T2955">
        <f>ROUND((M2955*0.25)+(N2955*0.20)+(O2955*0.15)+(P2955*0.15)+(Q2955*0.10)+(R2955*0.10)+(S2955*0.05),2)</f>
        <v/>
      </c>
      <c r="U2955">
        <f>IF(T2955&gt;=4.25,"Critical",IF(T2955&gt;=3.5,"High",IF(T2955&gt;=2,"Medium","Low")))</f>
        <v/>
      </c>
    </row>
    <row r="2956">
      <c r="R2956">
        <f>IFERROR(XLOOKUP(XLOOKUP(D2956,tblReleaseChanges[Change_ID],tblReleaseChanges[Oracle_Severity],""),tblSeverityMap[Severity_Text],tblSeverityMap[Score],0),0)</f>
        <v/>
      </c>
      <c r="T2956">
        <f>ROUND((M2956*0.25)+(N2956*0.20)+(O2956*0.15)+(P2956*0.15)+(Q2956*0.10)+(R2956*0.10)+(S2956*0.05),2)</f>
        <v/>
      </c>
      <c r="U2956">
        <f>IF(T2956&gt;=4.25,"Critical",IF(T2956&gt;=3.5,"High",IF(T2956&gt;=2,"Medium","Low")))</f>
        <v/>
      </c>
    </row>
    <row r="2957">
      <c r="R2957">
        <f>IFERROR(XLOOKUP(XLOOKUP(D2957,tblReleaseChanges[Change_ID],tblReleaseChanges[Oracle_Severity],""),tblSeverityMap[Severity_Text],tblSeverityMap[Score],0),0)</f>
        <v/>
      </c>
      <c r="T2957">
        <f>ROUND((M2957*0.25)+(N2957*0.20)+(O2957*0.15)+(P2957*0.15)+(Q2957*0.10)+(R2957*0.10)+(S2957*0.05),2)</f>
        <v/>
      </c>
      <c r="U2957">
        <f>IF(T2957&gt;=4.25,"Critical",IF(T2957&gt;=3.5,"High",IF(T2957&gt;=2,"Medium","Low")))</f>
        <v/>
      </c>
    </row>
    <row r="2958">
      <c r="R2958">
        <f>IFERROR(XLOOKUP(XLOOKUP(D2958,tblReleaseChanges[Change_ID],tblReleaseChanges[Oracle_Severity],""),tblSeverityMap[Severity_Text],tblSeverityMap[Score],0),0)</f>
        <v/>
      </c>
      <c r="T2958">
        <f>ROUND((M2958*0.25)+(N2958*0.20)+(O2958*0.15)+(P2958*0.15)+(Q2958*0.10)+(R2958*0.10)+(S2958*0.05),2)</f>
        <v/>
      </c>
      <c r="U2958">
        <f>IF(T2958&gt;=4.25,"Critical",IF(T2958&gt;=3.5,"High",IF(T2958&gt;=2,"Medium","Low")))</f>
        <v/>
      </c>
    </row>
    <row r="2959">
      <c r="R2959">
        <f>IFERROR(XLOOKUP(XLOOKUP(D2959,tblReleaseChanges[Change_ID],tblReleaseChanges[Oracle_Severity],""),tblSeverityMap[Severity_Text],tblSeverityMap[Score],0),0)</f>
        <v/>
      </c>
      <c r="T2959">
        <f>ROUND((M2959*0.25)+(N2959*0.20)+(O2959*0.15)+(P2959*0.15)+(Q2959*0.10)+(R2959*0.10)+(S2959*0.05),2)</f>
        <v/>
      </c>
      <c r="U2959">
        <f>IF(T2959&gt;=4.25,"Critical",IF(T2959&gt;=3.5,"High",IF(T2959&gt;=2,"Medium","Low")))</f>
        <v/>
      </c>
    </row>
    <row r="2960">
      <c r="R2960">
        <f>IFERROR(XLOOKUP(XLOOKUP(D2960,tblReleaseChanges[Change_ID],tblReleaseChanges[Oracle_Severity],""),tblSeverityMap[Severity_Text],tblSeverityMap[Score],0),0)</f>
        <v/>
      </c>
      <c r="T2960">
        <f>ROUND((M2960*0.25)+(N2960*0.20)+(O2960*0.15)+(P2960*0.15)+(Q2960*0.10)+(R2960*0.10)+(S2960*0.05),2)</f>
        <v/>
      </c>
      <c r="U2960">
        <f>IF(T2960&gt;=4.25,"Critical",IF(T2960&gt;=3.5,"High",IF(T2960&gt;=2,"Medium","Low")))</f>
        <v/>
      </c>
    </row>
    <row r="2961">
      <c r="R2961">
        <f>IFERROR(XLOOKUP(XLOOKUP(D2961,tblReleaseChanges[Change_ID],tblReleaseChanges[Oracle_Severity],""),tblSeverityMap[Severity_Text],tblSeverityMap[Score],0),0)</f>
        <v/>
      </c>
      <c r="T2961">
        <f>ROUND((M2961*0.25)+(N2961*0.20)+(O2961*0.15)+(P2961*0.15)+(Q2961*0.10)+(R2961*0.10)+(S2961*0.05),2)</f>
        <v/>
      </c>
      <c r="U2961">
        <f>IF(T2961&gt;=4.25,"Critical",IF(T2961&gt;=3.5,"High",IF(T2961&gt;=2,"Medium","Low")))</f>
        <v/>
      </c>
    </row>
    <row r="2962">
      <c r="R2962">
        <f>IFERROR(XLOOKUP(XLOOKUP(D2962,tblReleaseChanges[Change_ID],tblReleaseChanges[Oracle_Severity],""),tblSeverityMap[Severity_Text],tblSeverityMap[Score],0),0)</f>
        <v/>
      </c>
      <c r="T2962">
        <f>ROUND((M2962*0.25)+(N2962*0.20)+(O2962*0.15)+(P2962*0.15)+(Q2962*0.10)+(R2962*0.10)+(S2962*0.05),2)</f>
        <v/>
      </c>
      <c r="U2962">
        <f>IF(T2962&gt;=4.25,"Critical",IF(T2962&gt;=3.5,"High",IF(T2962&gt;=2,"Medium","Low")))</f>
        <v/>
      </c>
    </row>
    <row r="2963">
      <c r="R2963">
        <f>IFERROR(XLOOKUP(XLOOKUP(D2963,tblReleaseChanges[Change_ID],tblReleaseChanges[Oracle_Severity],""),tblSeverityMap[Severity_Text],tblSeverityMap[Score],0),0)</f>
        <v/>
      </c>
      <c r="T2963">
        <f>ROUND((M2963*0.25)+(N2963*0.20)+(O2963*0.15)+(P2963*0.15)+(Q2963*0.10)+(R2963*0.10)+(S2963*0.05),2)</f>
        <v/>
      </c>
      <c r="U2963">
        <f>IF(T2963&gt;=4.25,"Critical",IF(T2963&gt;=3.5,"High",IF(T2963&gt;=2,"Medium","Low")))</f>
        <v/>
      </c>
    </row>
    <row r="2964">
      <c r="R2964">
        <f>IFERROR(XLOOKUP(XLOOKUP(D2964,tblReleaseChanges[Change_ID],tblReleaseChanges[Oracle_Severity],""),tblSeverityMap[Severity_Text],tblSeverityMap[Score],0),0)</f>
        <v/>
      </c>
      <c r="T2964">
        <f>ROUND((M2964*0.25)+(N2964*0.20)+(O2964*0.15)+(P2964*0.15)+(Q2964*0.10)+(R2964*0.10)+(S2964*0.05),2)</f>
        <v/>
      </c>
      <c r="U2964">
        <f>IF(T2964&gt;=4.25,"Critical",IF(T2964&gt;=3.5,"High",IF(T2964&gt;=2,"Medium","Low")))</f>
        <v/>
      </c>
    </row>
    <row r="2965">
      <c r="R2965">
        <f>IFERROR(XLOOKUP(XLOOKUP(D2965,tblReleaseChanges[Change_ID],tblReleaseChanges[Oracle_Severity],""),tblSeverityMap[Severity_Text],tblSeverityMap[Score],0),0)</f>
        <v/>
      </c>
      <c r="T2965">
        <f>ROUND((M2965*0.25)+(N2965*0.20)+(O2965*0.15)+(P2965*0.15)+(Q2965*0.10)+(R2965*0.10)+(S2965*0.05),2)</f>
        <v/>
      </c>
      <c r="U2965">
        <f>IF(T2965&gt;=4.25,"Critical",IF(T2965&gt;=3.5,"High",IF(T2965&gt;=2,"Medium","Low")))</f>
        <v/>
      </c>
    </row>
    <row r="2966">
      <c r="R2966">
        <f>IFERROR(XLOOKUP(XLOOKUP(D2966,tblReleaseChanges[Change_ID],tblReleaseChanges[Oracle_Severity],""),tblSeverityMap[Severity_Text],tblSeverityMap[Score],0),0)</f>
        <v/>
      </c>
      <c r="T2966">
        <f>ROUND((M2966*0.25)+(N2966*0.20)+(O2966*0.15)+(P2966*0.15)+(Q2966*0.10)+(R2966*0.10)+(S2966*0.05),2)</f>
        <v/>
      </c>
      <c r="U2966">
        <f>IF(T2966&gt;=4.25,"Critical",IF(T2966&gt;=3.5,"High",IF(T2966&gt;=2,"Medium","Low")))</f>
        <v/>
      </c>
    </row>
    <row r="2967">
      <c r="R2967">
        <f>IFERROR(XLOOKUP(XLOOKUP(D2967,tblReleaseChanges[Change_ID],tblReleaseChanges[Oracle_Severity],""),tblSeverityMap[Severity_Text],tblSeverityMap[Score],0),0)</f>
        <v/>
      </c>
      <c r="T2967">
        <f>ROUND((M2967*0.25)+(N2967*0.20)+(O2967*0.15)+(P2967*0.15)+(Q2967*0.10)+(R2967*0.10)+(S2967*0.05),2)</f>
        <v/>
      </c>
      <c r="U2967">
        <f>IF(T2967&gt;=4.25,"Critical",IF(T2967&gt;=3.5,"High",IF(T2967&gt;=2,"Medium","Low")))</f>
        <v/>
      </c>
    </row>
    <row r="2968">
      <c r="R2968">
        <f>IFERROR(XLOOKUP(XLOOKUP(D2968,tblReleaseChanges[Change_ID],tblReleaseChanges[Oracle_Severity],""),tblSeverityMap[Severity_Text],tblSeverityMap[Score],0),0)</f>
        <v/>
      </c>
      <c r="T2968">
        <f>ROUND((M2968*0.25)+(N2968*0.20)+(O2968*0.15)+(P2968*0.15)+(Q2968*0.10)+(R2968*0.10)+(S2968*0.05),2)</f>
        <v/>
      </c>
      <c r="U2968">
        <f>IF(T2968&gt;=4.25,"Critical",IF(T2968&gt;=3.5,"High",IF(T2968&gt;=2,"Medium","Low")))</f>
        <v/>
      </c>
    </row>
    <row r="2969">
      <c r="R2969">
        <f>IFERROR(XLOOKUP(XLOOKUP(D2969,tblReleaseChanges[Change_ID],tblReleaseChanges[Oracle_Severity],""),tblSeverityMap[Severity_Text],tblSeverityMap[Score],0),0)</f>
        <v/>
      </c>
      <c r="T2969">
        <f>ROUND((M2969*0.25)+(N2969*0.20)+(O2969*0.15)+(P2969*0.15)+(Q2969*0.10)+(R2969*0.10)+(S2969*0.05),2)</f>
        <v/>
      </c>
      <c r="U2969">
        <f>IF(T2969&gt;=4.25,"Critical",IF(T2969&gt;=3.5,"High",IF(T2969&gt;=2,"Medium","Low")))</f>
        <v/>
      </c>
    </row>
    <row r="2970">
      <c r="R2970">
        <f>IFERROR(XLOOKUP(XLOOKUP(D2970,tblReleaseChanges[Change_ID],tblReleaseChanges[Oracle_Severity],""),tblSeverityMap[Severity_Text],tblSeverityMap[Score],0),0)</f>
        <v/>
      </c>
      <c r="T2970">
        <f>ROUND((M2970*0.25)+(N2970*0.20)+(O2970*0.15)+(P2970*0.15)+(Q2970*0.10)+(R2970*0.10)+(S2970*0.05),2)</f>
        <v/>
      </c>
      <c r="U2970">
        <f>IF(T2970&gt;=4.25,"Critical",IF(T2970&gt;=3.5,"High",IF(T2970&gt;=2,"Medium","Low")))</f>
        <v/>
      </c>
    </row>
    <row r="2971">
      <c r="R2971">
        <f>IFERROR(XLOOKUP(XLOOKUP(D2971,tblReleaseChanges[Change_ID],tblReleaseChanges[Oracle_Severity],""),tblSeverityMap[Severity_Text],tblSeverityMap[Score],0),0)</f>
        <v/>
      </c>
      <c r="T2971">
        <f>ROUND((M2971*0.25)+(N2971*0.20)+(O2971*0.15)+(P2971*0.15)+(Q2971*0.10)+(R2971*0.10)+(S2971*0.05),2)</f>
        <v/>
      </c>
      <c r="U2971">
        <f>IF(T2971&gt;=4.25,"Critical",IF(T2971&gt;=3.5,"High",IF(T2971&gt;=2,"Medium","Low")))</f>
        <v/>
      </c>
    </row>
    <row r="2972">
      <c r="R2972">
        <f>IFERROR(XLOOKUP(XLOOKUP(D2972,tblReleaseChanges[Change_ID],tblReleaseChanges[Oracle_Severity],""),tblSeverityMap[Severity_Text],tblSeverityMap[Score],0),0)</f>
        <v/>
      </c>
      <c r="T2972">
        <f>ROUND((M2972*0.25)+(N2972*0.20)+(O2972*0.15)+(P2972*0.15)+(Q2972*0.10)+(R2972*0.10)+(S2972*0.05),2)</f>
        <v/>
      </c>
      <c r="U2972">
        <f>IF(T2972&gt;=4.25,"Critical",IF(T2972&gt;=3.5,"High",IF(T2972&gt;=2,"Medium","Low")))</f>
        <v/>
      </c>
    </row>
    <row r="2973">
      <c r="R2973">
        <f>IFERROR(XLOOKUP(XLOOKUP(D2973,tblReleaseChanges[Change_ID],tblReleaseChanges[Oracle_Severity],""),tblSeverityMap[Severity_Text],tblSeverityMap[Score],0),0)</f>
        <v/>
      </c>
      <c r="T2973">
        <f>ROUND((M2973*0.25)+(N2973*0.20)+(O2973*0.15)+(P2973*0.15)+(Q2973*0.10)+(R2973*0.10)+(S2973*0.05),2)</f>
        <v/>
      </c>
      <c r="U2973">
        <f>IF(T2973&gt;=4.25,"Critical",IF(T2973&gt;=3.5,"High",IF(T2973&gt;=2,"Medium","Low")))</f>
        <v/>
      </c>
    </row>
    <row r="2974">
      <c r="R2974">
        <f>IFERROR(XLOOKUP(XLOOKUP(D2974,tblReleaseChanges[Change_ID],tblReleaseChanges[Oracle_Severity],""),tblSeverityMap[Severity_Text],tblSeverityMap[Score],0),0)</f>
        <v/>
      </c>
      <c r="T2974">
        <f>ROUND((M2974*0.25)+(N2974*0.20)+(O2974*0.15)+(P2974*0.15)+(Q2974*0.10)+(R2974*0.10)+(S2974*0.05),2)</f>
        <v/>
      </c>
      <c r="U2974">
        <f>IF(T2974&gt;=4.25,"Critical",IF(T2974&gt;=3.5,"High",IF(T2974&gt;=2,"Medium","Low")))</f>
        <v/>
      </c>
    </row>
    <row r="2975">
      <c r="R2975">
        <f>IFERROR(XLOOKUP(XLOOKUP(D2975,tblReleaseChanges[Change_ID],tblReleaseChanges[Oracle_Severity],""),tblSeverityMap[Severity_Text],tblSeverityMap[Score],0),0)</f>
        <v/>
      </c>
      <c r="T2975">
        <f>ROUND((M2975*0.25)+(N2975*0.20)+(O2975*0.15)+(P2975*0.15)+(Q2975*0.10)+(R2975*0.10)+(S2975*0.05),2)</f>
        <v/>
      </c>
      <c r="U2975">
        <f>IF(T2975&gt;=4.25,"Critical",IF(T2975&gt;=3.5,"High",IF(T2975&gt;=2,"Medium","Low")))</f>
        <v/>
      </c>
    </row>
    <row r="2976">
      <c r="R2976">
        <f>IFERROR(XLOOKUP(XLOOKUP(D2976,tblReleaseChanges[Change_ID],tblReleaseChanges[Oracle_Severity],""),tblSeverityMap[Severity_Text],tblSeverityMap[Score],0),0)</f>
        <v/>
      </c>
      <c r="T2976">
        <f>ROUND((M2976*0.25)+(N2976*0.20)+(O2976*0.15)+(P2976*0.15)+(Q2976*0.10)+(R2976*0.10)+(S2976*0.05),2)</f>
        <v/>
      </c>
      <c r="U2976">
        <f>IF(T2976&gt;=4.25,"Critical",IF(T2976&gt;=3.5,"High",IF(T2976&gt;=2,"Medium","Low")))</f>
        <v/>
      </c>
    </row>
    <row r="2977">
      <c r="R2977">
        <f>IFERROR(XLOOKUP(XLOOKUP(D2977,tblReleaseChanges[Change_ID],tblReleaseChanges[Oracle_Severity],""),tblSeverityMap[Severity_Text],tblSeverityMap[Score],0),0)</f>
        <v/>
      </c>
      <c r="T2977">
        <f>ROUND((M2977*0.25)+(N2977*0.20)+(O2977*0.15)+(P2977*0.15)+(Q2977*0.10)+(R2977*0.10)+(S2977*0.05),2)</f>
        <v/>
      </c>
      <c r="U2977">
        <f>IF(T2977&gt;=4.25,"Critical",IF(T2977&gt;=3.5,"High",IF(T2977&gt;=2,"Medium","Low")))</f>
        <v/>
      </c>
    </row>
    <row r="2978">
      <c r="R2978">
        <f>IFERROR(XLOOKUP(XLOOKUP(D2978,tblReleaseChanges[Change_ID],tblReleaseChanges[Oracle_Severity],""),tblSeverityMap[Severity_Text],tblSeverityMap[Score],0),0)</f>
        <v/>
      </c>
      <c r="T2978">
        <f>ROUND((M2978*0.25)+(N2978*0.20)+(O2978*0.15)+(P2978*0.15)+(Q2978*0.10)+(R2978*0.10)+(S2978*0.05),2)</f>
        <v/>
      </c>
      <c r="U2978">
        <f>IF(T2978&gt;=4.25,"Critical",IF(T2978&gt;=3.5,"High",IF(T2978&gt;=2,"Medium","Low")))</f>
        <v/>
      </c>
    </row>
    <row r="2979">
      <c r="R2979">
        <f>IFERROR(XLOOKUP(XLOOKUP(D2979,tblReleaseChanges[Change_ID],tblReleaseChanges[Oracle_Severity],""),tblSeverityMap[Severity_Text],tblSeverityMap[Score],0),0)</f>
        <v/>
      </c>
      <c r="T2979">
        <f>ROUND((M2979*0.25)+(N2979*0.20)+(O2979*0.15)+(P2979*0.15)+(Q2979*0.10)+(R2979*0.10)+(S2979*0.05),2)</f>
        <v/>
      </c>
      <c r="U2979">
        <f>IF(T2979&gt;=4.25,"Critical",IF(T2979&gt;=3.5,"High",IF(T2979&gt;=2,"Medium","Low")))</f>
        <v/>
      </c>
    </row>
    <row r="2980">
      <c r="R2980">
        <f>IFERROR(XLOOKUP(XLOOKUP(D2980,tblReleaseChanges[Change_ID],tblReleaseChanges[Oracle_Severity],""),tblSeverityMap[Severity_Text],tblSeverityMap[Score],0),0)</f>
        <v/>
      </c>
      <c r="T2980">
        <f>ROUND((M2980*0.25)+(N2980*0.20)+(O2980*0.15)+(P2980*0.15)+(Q2980*0.10)+(R2980*0.10)+(S2980*0.05),2)</f>
        <v/>
      </c>
      <c r="U2980">
        <f>IF(T2980&gt;=4.25,"Critical",IF(T2980&gt;=3.5,"High",IF(T2980&gt;=2,"Medium","Low")))</f>
        <v/>
      </c>
    </row>
    <row r="2981">
      <c r="R2981">
        <f>IFERROR(XLOOKUP(XLOOKUP(D2981,tblReleaseChanges[Change_ID],tblReleaseChanges[Oracle_Severity],""),tblSeverityMap[Severity_Text],tblSeverityMap[Score],0),0)</f>
        <v/>
      </c>
      <c r="T2981">
        <f>ROUND((M2981*0.25)+(N2981*0.20)+(O2981*0.15)+(P2981*0.15)+(Q2981*0.10)+(R2981*0.10)+(S2981*0.05),2)</f>
        <v/>
      </c>
      <c r="U2981">
        <f>IF(T2981&gt;=4.25,"Critical",IF(T2981&gt;=3.5,"High",IF(T2981&gt;=2,"Medium","Low")))</f>
        <v/>
      </c>
    </row>
    <row r="2982">
      <c r="R2982">
        <f>IFERROR(XLOOKUP(XLOOKUP(D2982,tblReleaseChanges[Change_ID],tblReleaseChanges[Oracle_Severity],""),tblSeverityMap[Severity_Text],tblSeverityMap[Score],0),0)</f>
        <v/>
      </c>
      <c r="T2982">
        <f>ROUND((M2982*0.25)+(N2982*0.20)+(O2982*0.15)+(P2982*0.15)+(Q2982*0.10)+(R2982*0.10)+(S2982*0.05),2)</f>
        <v/>
      </c>
      <c r="U2982">
        <f>IF(T2982&gt;=4.25,"Critical",IF(T2982&gt;=3.5,"High",IF(T2982&gt;=2,"Medium","Low")))</f>
        <v/>
      </c>
    </row>
    <row r="2983">
      <c r="R2983">
        <f>IFERROR(XLOOKUP(XLOOKUP(D2983,tblReleaseChanges[Change_ID],tblReleaseChanges[Oracle_Severity],""),tblSeverityMap[Severity_Text],tblSeverityMap[Score],0),0)</f>
        <v/>
      </c>
      <c r="T2983">
        <f>ROUND((M2983*0.25)+(N2983*0.20)+(O2983*0.15)+(P2983*0.15)+(Q2983*0.10)+(R2983*0.10)+(S2983*0.05),2)</f>
        <v/>
      </c>
      <c r="U2983">
        <f>IF(T2983&gt;=4.25,"Critical",IF(T2983&gt;=3.5,"High",IF(T2983&gt;=2,"Medium","Low")))</f>
        <v/>
      </c>
    </row>
    <row r="2984">
      <c r="R2984">
        <f>IFERROR(XLOOKUP(XLOOKUP(D2984,tblReleaseChanges[Change_ID],tblReleaseChanges[Oracle_Severity],""),tblSeverityMap[Severity_Text],tblSeverityMap[Score],0),0)</f>
        <v/>
      </c>
      <c r="T2984">
        <f>ROUND((M2984*0.25)+(N2984*0.20)+(O2984*0.15)+(P2984*0.15)+(Q2984*0.10)+(R2984*0.10)+(S2984*0.05),2)</f>
        <v/>
      </c>
      <c r="U2984">
        <f>IF(T2984&gt;=4.25,"Critical",IF(T2984&gt;=3.5,"High",IF(T2984&gt;=2,"Medium","Low")))</f>
        <v/>
      </c>
    </row>
    <row r="2985">
      <c r="R2985">
        <f>IFERROR(XLOOKUP(XLOOKUP(D2985,tblReleaseChanges[Change_ID],tblReleaseChanges[Oracle_Severity],""),tblSeverityMap[Severity_Text],tblSeverityMap[Score],0),0)</f>
        <v/>
      </c>
      <c r="T2985">
        <f>ROUND((M2985*0.25)+(N2985*0.20)+(O2985*0.15)+(P2985*0.15)+(Q2985*0.10)+(R2985*0.10)+(S2985*0.05),2)</f>
        <v/>
      </c>
      <c r="U2985">
        <f>IF(T2985&gt;=4.25,"Critical",IF(T2985&gt;=3.5,"High",IF(T2985&gt;=2,"Medium","Low")))</f>
        <v/>
      </c>
    </row>
    <row r="2986">
      <c r="R2986">
        <f>IFERROR(XLOOKUP(XLOOKUP(D2986,tblReleaseChanges[Change_ID],tblReleaseChanges[Oracle_Severity],""),tblSeverityMap[Severity_Text],tblSeverityMap[Score],0),0)</f>
        <v/>
      </c>
      <c r="T2986">
        <f>ROUND((M2986*0.25)+(N2986*0.20)+(O2986*0.15)+(P2986*0.15)+(Q2986*0.10)+(R2986*0.10)+(S2986*0.05),2)</f>
        <v/>
      </c>
      <c r="U2986">
        <f>IF(T2986&gt;=4.25,"Critical",IF(T2986&gt;=3.5,"High",IF(T2986&gt;=2,"Medium","Low")))</f>
        <v/>
      </c>
    </row>
    <row r="2987">
      <c r="R2987">
        <f>IFERROR(XLOOKUP(XLOOKUP(D2987,tblReleaseChanges[Change_ID],tblReleaseChanges[Oracle_Severity],""),tblSeverityMap[Severity_Text],tblSeverityMap[Score],0),0)</f>
        <v/>
      </c>
      <c r="T2987">
        <f>ROUND((M2987*0.25)+(N2987*0.20)+(O2987*0.15)+(P2987*0.15)+(Q2987*0.10)+(R2987*0.10)+(S2987*0.05),2)</f>
        <v/>
      </c>
      <c r="U2987">
        <f>IF(T2987&gt;=4.25,"Critical",IF(T2987&gt;=3.5,"High",IF(T2987&gt;=2,"Medium","Low")))</f>
        <v/>
      </c>
    </row>
    <row r="2988">
      <c r="R2988">
        <f>IFERROR(XLOOKUP(XLOOKUP(D2988,tblReleaseChanges[Change_ID],tblReleaseChanges[Oracle_Severity],""),tblSeverityMap[Severity_Text],tblSeverityMap[Score],0),0)</f>
        <v/>
      </c>
      <c r="T2988">
        <f>ROUND((M2988*0.25)+(N2988*0.20)+(O2988*0.15)+(P2988*0.15)+(Q2988*0.10)+(R2988*0.10)+(S2988*0.05),2)</f>
        <v/>
      </c>
      <c r="U2988">
        <f>IF(T2988&gt;=4.25,"Critical",IF(T2988&gt;=3.5,"High",IF(T2988&gt;=2,"Medium","Low")))</f>
        <v/>
      </c>
    </row>
    <row r="2989">
      <c r="R2989">
        <f>IFERROR(XLOOKUP(XLOOKUP(D2989,tblReleaseChanges[Change_ID],tblReleaseChanges[Oracle_Severity],""),tblSeverityMap[Severity_Text],tblSeverityMap[Score],0),0)</f>
        <v/>
      </c>
      <c r="T2989">
        <f>ROUND((M2989*0.25)+(N2989*0.20)+(O2989*0.15)+(P2989*0.15)+(Q2989*0.10)+(R2989*0.10)+(S2989*0.05),2)</f>
        <v/>
      </c>
      <c r="U2989">
        <f>IF(T2989&gt;=4.25,"Critical",IF(T2989&gt;=3.5,"High",IF(T2989&gt;=2,"Medium","Low")))</f>
        <v/>
      </c>
    </row>
    <row r="2990">
      <c r="R2990">
        <f>IFERROR(XLOOKUP(XLOOKUP(D2990,tblReleaseChanges[Change_ID],tblReleaseChanges[Oracle_Severity],""),tblSeverityMap[Severity_Text],tblSeverityMap[Score],0),0)</f>
        <v/>
      </c>
      <c r="T2990">
        <f>ROUND((M2990*0.25)+(N2990*0.20)+(O2990*0.15)+(P2990*0.15)+(Q2990*0.10)+(R2990*0.10)+(S2990*0.05),2)</f>
        <v/>
      </c>
      <c r="U2990">
        <f>IF(T2990&gt;=4.25,"Critical",IF(T2990&gt;=3.5,"High",IF(T2990&gt;=2,"Medium","Low")))</f>
        <v/>
      </c>
    </row>
    <row r="2991">
      <c r="R2991">
        <f>IFERROR(XLOOKUP(XLOOKUP(D2991,tblReleaseChanges[Change_ID],tblReleaseChanges[Oracle_Severity],""),tblSeverityMap[Severity_Text],tblSeverityMap[Score],0),0)</f>
        <v/>
      </c>
      <c r="T2991">
        <f>ROUND((M2991*0.25)+(N2991*0.20)+(O2991*0.15)+(P2991*0.15)+(Q2991*0.10)+(R2991*0.10)+(S2991*0.05),2)</f>
        <v/>
      </c>
      <c r="U2991">
        <f>IF(T2991&gt;=4.25,"Critical",IF(T2991&gt;=3.5,"High",IF(T2991&gt;=2,"Medium","Low")))</f>
        <v/>
      </c>
    </row>
    <row r="2992">
      <c r="R2992">
        <f>IFERROR(XLOOKUP(XLOOKUP(D2992,tblReleaseChanges[Change_ID],tblReleaseChanges[Oracle_Severity],""),tblSeverityMap[Severity_Text],tblSeverityMap[Score],0),0)</f>
        <v/>
      </c>
      <c r="T2992">
        <f>ROUND((M2992*0.25)+(N2992*0.20)+(O2992*0.15)+(P2992*0.15)+(Q2992*0.10)+(R2992*0.10)+(S2992*0.05),2)</f>
        <v/>
      </c>
      <c r="U2992">
        <f>IF(T2992&gt;=4.25,"Critical",IF(T2992&gt;=3.5,"High",IF(T2992&gt;=2,"Medium","Low")))</f>
        <v/>
      </c>
    </row>
    <row r="2993">
      <c r="R2993">
        <f>IFERROR(XLOOKUP(XLOOKUP(D2993,tblReleaseChanges[Change_ID],tblReleaseChanges[Oracle_Severity],""),tblSeverityMap[Severity_Text],tblSeverityMap[Score],0),0)</f>
        <v/>
      </c>
      <c r="T2993">
        <f>ROUND((M2993*0.25)+(N2993*0.20)+(O2993*0.15)+(P2993*0.15)+(Q2993*0.10)+(R2993*0.10)+(S2993*0.05),2)</f>
        <v/>
      </c>
      <c r="U2993">
        <f>IF(T2993&gt;=4.25,"Critical",IF(T2993&gt;=3.5,"High",IF(T2993&gt;=2,"Medium","Low")))</f>
        <v/>
      </c>
    </row>
    <row r="2994">
      <c r="R2994">
        <f>IFERROR(XLOOKUP(XLOOKUP(D2994,tblReleaseChanges[Change_ID],tblReleaseChanges[Oracle_Severity],""),tblSeverityMap[Severity_Text],tblSeverityMap[Score],0),0)</f>
        <v/>
      </c>
      <c r="T2994">
        <f>ROUND((M2994*0.25)+(N2994*0.20)+(O2994*0.15)+(P2994*0.15)+(Q2994*0.10)+(R2994*0.10)+(S2994*0.05),2)</f>
        <v/>
      </c>
      <c r="U2994">
        <f>IF(T2994&gt;=4.25,"Critical",IF(T2994&gt;=3.5,"High",IF(T2994&gt;=2,"Medium","Low")))</f>
        <v/>
      </c>
    </row>
    <row r="2995">
      <c r="R2995">
        <f>IFERROR(XLOOKUP(XLOOKUP(D2995,tblReleaseChanges[Change_ID],tblReleaseChanges[Oracle_Severity],""),tblSeverityMap[Severity_Text],tblSeverityMap[Score],0),0)</f>
        <v/>
      </c>
      <c r="T2995">
        <f>ROUND((M2995*0.25)+(N2995*0.20)+(O2995*0.15)+(P2995*0.15)+(Q2995*0.10)+(R2995*0.10)+(S2995*0.05),2)</f>
        <v/>
      </c>
      <c r="U2995">
        <f>IF(T2995&gt;=4.25,"Critical",IF(T2995&gt;=3.5,"High",IF(T2995&gt;=2,"Medium","Low")))</f>
        <v/>
      </c>
    </row>
    <row r="2996">
      <c r="R2996">
        <f>IFERROR(XLOOKUP(XLOOKUP(D2996,tblReleaseChanges[Change_ID],tblReleaseChanges[Oracle_Severity],""),tblSeverityMap[Severity_Text],tblSeverityMap[Score],0),0)</f>
        <v/>
      </c>
      <c r="T2996">
        <f>ROUND((M2996*0.25)+(N2996*0.20)+(O2996*0.15)+(P2996*0.15)+(Q2996*0.10)+(R2996*0.10)+(S2996*0.05),2)</f>
        <v/>
      </c>
      <c r="U2996">
        <f>IF(T2996&gt;=4.25,"Critical",IF(T2996&gt;=3.5,"High",IF(T2996&gt;=2,"Medium","Low")))</f>
        <v/>
      </c>
    </row>
    <row r="2997">
      <c r="R2997">
        <f>IFERROR(XLOOKUP(XLOOKUP(D2997,tblReleaseChanges[Change_ID],tblReleaseChanges[Oracle_Severity],""),tblSeverityMap[Severity_Text],tblSeverityMap[Score],0),0)</f>
        <v/>
      </c>
      <c r="T2997">
        <f>ROUND((M2997*0.25)+(N2997*0.20)+(O2997*0.15)+(P2997*0.15)+(Q2997*0.10)+(R2997*0.10)+(S2997*0.05),2)</f>
        <v/>
      </c>
      <c r="U2997">
        <f>IF(T2997&gt;=4.25,"Critical",IF(T2997&gt;=3.5,"High",IF(T2997&gt;=2,"Medium","Low")))</f>
        <v/>
      </c>
    </row>
    <row r="2998">
      <c r="R2998">
        <f>IFERROR(XLOOKUP(XLOOKUP(D2998,tblReleaseChanges[Change_ID],tblReleaseChanges[Oracle_Severity],""),tblSeverityMap[Severity_Text],tblSeverityMap[Score],0),0)</f>
        <v/>
      </c>
      <c r="T2998">
        <f>ROUND((M2998*0.25)+(N2998*0.20)+(O2998*0.15)+(P2998*0.15)+(Q2998*0.10)+(R2998*0.10)+(S2998*0.05),2)</f>
        <v/>
      </c>
      <c r="U2998">
        <f>IF(T2998&gt;=4.25,"Critical",IF(T2998&gt;=3.5,"High",IF(T2998&gt;=2,"Medium","Low")))</f>
        <v/>
      </c>
    </row>
    <row r="2999">
      <c r="R2999">
        <f>IFERROR(XLOOKUP(XLOOKUP(D2999,tblReleaseChanges[Change_ID],tblReleaseChanges[Oracle_Severity],""),tblSeverityMap[Severity_Text],tblSeverityMap[Score],0),0)</f>
        <v/>
      </c>
      <c r="T2999">
        <f>ROUND((M2999*0.25)+(N2999*0.20)+(O2999*0.15)+(P2999*0.15)+(Q2999*0.10)+(R2999*0.10)+(S2999*0.05),2)</f>
        <v/>
      </c>
      <c r="U2999">
        <f>IF(T2999&gt;=4.25,"Critical",IF(T2999&gt;=3.5,"High",IF(T2999&gt;=2,"Medium","Low")))</f>
        <v/>
      </c>
    </row>
    <row r="3000">
      <c r="R3000">
        <f>IFERROR(XLOOKUP(XLOOKUP(D3000,tblReleaseChanges[Change_ID],tblReleaseChanges[Oracle_Severity],""),tblSeverityMap[Severity_Text],tblSeverityMap[Score],0),0)</f>
        <v/>
      </c>
      <c r="T3000">
        <f>ROUND((M3000*0.25)+(N3000*0.20)+(O3000*0.15)+(P3000*0.15)+(Q3000*0.10)+(R3000*0.10)+(S3000*0.05),2)</f>
        <v/>
      </c>
      <c r="U3000">
        <f>IF(T3000&gt;=4.25,"Critical",IF(T3000&gt;=3.5,"High",IF(T3000&gt;=2,"Medium","Low")))</f>
        <v/>
      </c>
    </row>
    <row r="3001">
      <c r="R3001">
        <f>IFERROR(XLOOKUP(XLOOKUP(D3001,tblReleaseChanges[Change_ID],tblReleaseChanges[Oracle_Severity],""),tblSeverityMap[Severity_Text],tblSeverityMap[Score],0),0)</f>
        <v/>
      </c>
      <c r="T3001">
        <f>ROUND((M3001*0.25)+(N3001*0.20)+(O3001*0.15)+(P3001*0.15)+(Q3001*0.10)+(R3001*0.10)+(S3001*0.05),2)</f>
        <v/>
      </c>
      <c r="U3001">
        <f>IF(T3001&gt;=4.25,"Critical",IF(T3001&gt;=3.5,"High",IF(T3001&gt;=2,"Medium","Low")))</f>
        <v/>
      </c>
    </row>
    <row r="3002">
      <c r="R3002">
        <f>IFERROR(XLOOKUP(XLOOKUP(D3002,tblReleaseChanges[Change_ID],tblReleaseChanges[Oracle_Severity],""),tblSeverityMap[Severity_Text],tblSeverityMap[Score],0),0)</f>
        <v/>
      </c>
      <c r="T3002">
        <f>ROUND((M3002*0.25)+(N3002*0.20)+(O3002*0.15)+(P3002*0.15)+(Q3002*0.10)+(R3002*0.10)+(S3002*0.05),2)</f>
        <v/>
      </c>
      <c r="U3002">
        <f>IF(T3002&gt;=4.25,"Critical",IF(T3002&gt;=3.5,"High",IF(T3002&gt;=2,"Medium","Low")))</f>
        <v/>
      </c>
    </row>
    <row r="3003">
      <c r="R3003">
        <f>IFERROR(XLOOKUP(XLOOKUP(D3003,tblReleaseChanges[Change_ID],tblReleaseChanges[Oracle_Severity],""),tblSeverityMap[Severity_Text],tblSeverityMap[Score],0),0)</f>
        <v/>
      </c>
      <c r="T3003">
        <f>ROUND((M3003*0.25)+(N3003*0.20)+(O3003*0.15)+(P3003*0.15)+(Q3003*0.10)+(R3003*0.10)+(S3003*0.05),2)</f>
        <v/>
      </c>
      <c r="U3003">
        <f>IF(T3003&gt;=4.25,"Critical",IF(T3003&gt;=3.5,"High",IF(T3003&gt;=2,"Medium","Low")))</f>
        <v/>
      </c>
    </row>
    <row r="3004">
      <c r="R3004">
        <f>IFERROR(XLOOKUP(XLOOKUP(D3004,tblReleaseChanges[Change_ID],tblReleaseChanges[Oracle_Severity],""),tblSeverityMap[Severity_Text],tblSeverityMap[Score],0),0)</f>
        <v/>
      </c>
      <c r="T3004">
        <f>ROUND((M3004*0.25)+(N3004*0.20)+(O3004*0.15)+(P3004*0.15)+(Q3004*0.10)+(R3004*0.10)+(S3004*0.05),2)</f>
        <v/>
      </c>
      <c r="U3004">
        <f>IF(T3004&gt;=4.25,"Critical",IF(T3004&gt;=3.5,"High",IF(T3004&gt;=2,"Medium","Low")))</f>
        <v/>
      </c>
    </row>
    <row r="3005">
      <c r="R3005">
        <f>IFERROR(XLOOKUP(XLOOKUP(D3005,tblReleaseChanges[Change_ID],tblReleaseChanges[Oracle_Severity],""),tblSeverityMap[Severity_Text],tblSeverityMap[Score],0),0)</f>
        <v/>
      </c>
      <c r="T3005">
        <f>ROUND((M3005*0.25)+(N3005*0.20)+(O3005*0.15)+(P3005*0.15)+(Q3005*0.10)+(R3005*0.10)+(S3005*0.05),2)</f>
        <v/>
      </c>
      <c r="U3005">
        <f>IF(T3005&gt;=4.25,"Critical",IF(T3005&gt;=3.5,"High",IF(T3005&gt;=2,"Medium","Low")))</f>
        <v/>
      </c>
    </row>
    <row r="3006">
      <c r="R3006">
        <f>IFERROR(XLOOKUP(XLOOKUP(D3006,tblReleaseChanges[Change_ID],tblReleaseChanges[Oracle_Severity],""),tblSeverityMap[Severity_Text],tblSeverityMap[Score],0),0)</f>
        <v/>
      </c>
      <c r="T3006">
        <f>ROUND((M3006*0.25)+(N3006*0.20)+(O3006*0.15)+(P3006*0.15)+(Q3006*0.10)+(R3006*0.10)+(S3006*0.05),2)</f>
        <v/>
      </c>
      <c r="U3006">
        <f>IF(T3006&gt;=4.25,"Critical",IF(T3006&gt;=3.5,"High",IF(T3006&gt;=2,"Medium","Low")))</f>
        <v/>
      </c>
    </row>
    <row r="3007">
      <c r="R3007">
        <f>IFERROR(XLOOKUP(XLOOKUP(D3007,tblReleaseChanges[Change_ID],tblReleaseChanges[Oracle_Severity],""),tblSeverityMap[Severity_Text],tblSeverityMap[Score],0),0)</f>
        <v/>
      </c>
      <c r="T3007">
        <f>ROUND((M3007*0.25)+(N3007*0.20)+(O3007*0.15)+(P3007*0.15)+(Q3007*0.10)+(R3007*0.10)+(S3007*0.05),2)</f>
        <v/>
      </c>
      <c r="U3007">
        <f>IF(T3007&gt;=4.25,"Critical",IF(T3007&gt;=3.5,"High",IF(T3007&gt;=2,"Medium","Low")))</f>
        <v/>
      </c>
    </row>
    <row r="3008">
      <c r="R3008">
        <f>IFERROR(XLOOKUP(XLOOKUP(D3008,tblReleaseChanges[Change_ID],tblReleaseChanges[Oracle_Severity],""),tblSeverityMap[Severity_Text],tblSeverityMap[Score],0),0)</f>
        <v/>
      </c>
      <c r="T3008">
        <f>ROUND((M3008*0.25)+(N3008*0.20)+(O3008*0.15)+(P3008*0.15)+(Q3008*0.10)+(R3008*0.10)+(S3008*0.05),2)</f>
        <v/>
      </c>
      <c r="U3008">
        <f>IF(T3008&gt;=4.25,"Critical",IF(T3008&gt;=3.5,"High",IF(T3008&gt;=2,"Medium","Low")))</f>
        <v/>
      </c>
    </row>
    <row r="3009">
      <c r="R3009">
        <f>IFERROR(XLOOKUP(XLOOKUP(D3009,tblReleaseChanges[Change_ID],tblReleaseChanges[Oracle_Severity],""),tblSeverityMap[Severity_Text],tblSeverityMap[Score],0),0)</f>
        <v/>
      </c>
      <c r="T3009">
        <f>ROUND((M3009*0.25)+(N3009*0.20)+(O3009*0.15)+(P3009*0.15)+(Q3009*0.10)+(R3009*0.10)+(S3009*0.05),2)</f>
        <v/>
      </c>
      <c r="U3009">
        <f>IF(T3009&gt;=4.25,"Critical",IF(T3009&gt;=3.5,"High",IF(T3009&gt;=2,"Medium","Low")))</f>
        <v/>
      </c>
    </row>
    <row r="3010">
      <c r="R3010">
        <f>IFERROR(XLOOKUP(XLOOKUP(D3010,tblReleaseChanges[Change_ID],tblReleaseChanges[Oracle_Severity],""),tblSeverityMap[Severity_Text],tblSeverityMap[Score],0),0)</f>
        <v/>
      </c>
      <c r="T3010">
        <f>ROUND((M3010*0.25)+(N3010*0.20)+(O3010*0.15)+(P3010*0.15)+(Q3010*0.10)+(R3010*0.10)+(S3010*0.05),2)</f>
        <v/>
      </c>
      <c r="U3010">
        <f>IF(T3010&gt;=4.25,"Critical",IF(T3010&gt;=3.5,"High",IF(T3010&gt;=2,"Medium","Low")))</f>
        <v/>
      </c>
    </row>
    <row r="3011">
      <c r="R3011">
        <f>IFERROR(XLOOKUP(XLOOKUP(D3011,tblReleaseChanges[Change_ID],tblReleaseChanges[Oracle_Severity],""),tblSeverityMap[Severity_Text],tblSeverityMap[Score],0),0)</f>
        <v/>
      </c>
      <c r="T3011">
        <f>ROUND((M3011*0.25)+(N3011*0.20)+(O3011*0.15)+(P3011*0.15)+(Q3011*0.10)+(R3011*0.10)+(S3011*0.05),2)</f>
        <v/>
      </c>
      <c r="U3011">
        <f>IF(T3011&gt;=4.25,"Critical",IF(T3011&gt;=3.5,"High",IF(T3011&gt;=2,"Medium","Low")))</f>
        <v/>
      </c>
    </row>
    <row r="3012">
      <c r="R3012">
        <f>IFERROR(XLOOKUP(XLOOKUP(D3012,tblReleaseChanges[Change_ID],tblReleaseChanges[Oracle_Severity],""),tblSeverityMap[Severity_Text],tblSeverityMap[Score],0),0)</f>
        <v/>
      </c>
      <c r="T3012">
        <f>ROUND((M3012*0.25)+(N3012*0.20)+(O3012*0.15)+(P3012*0.15)+(Q3012*0.10)+(R3012*0.10)+(S3012*0.05),2)</f>
        <v/>
      </c>
      <c r="U3012">
        <f>IF(T3012&gt;=4.25,"Critical",IF(T3012&gt;=3.5,"High",IF(T3012&gt;=2,"Medium","Low")))</f>
        <v/>
      </c>
    </row>
    <row r="3013">
      <c r="R3013">
        <f>IFERROR(XLOOKUP(XLOOKUP(D3013,tblReleaseChanges[Change_ID],tblReleaseChanges[Oracle_Severity],""),tblSeverityMap[Severity_Text],tblSeverityMap[Score],0),0)</f>
        <v/>
      </c>
      <c r="T3013">
        <f>ROUND((M3013*0.25)+(N3013*0.20)+(O3013*0.15)+(P3013*0.15)+(Q3013*0.10)+(R3013*0.10)+(S3013*0.05),2)</f>
        <v/>
      </c>
      <c r="U3013">
        <f>IF(T3013&gt;=4.25,"Critical",IF(T3013&gt;=3.5,"High",IF(T3013&gt;=2,"Medium","Low")))</f>
        <v/>
      </c>
    </row>
    <row r="3014">
      <c r="R3014">
        <f>IFERROR(XLOOKUP(XLOOKUP(D3014,tblReleaseChanges[Change_ID],tblReleaseChanges[Oracle_Severity],""),tblSeverityMap[Severity_Text],tblSeverityMap[Score],0),0)</f>
        <v/>
      </c>
      <c r="T3014">
        <f>ROUND((M3014*0.25)+(N3014*0.20)+(O3014*0.15)+(P3014*0.15)+(Q3014*0.10)+(R3014*0.10)+(S3014*0.05),2)</f>
        <v/>
      </c>
      <c r="U3014">
        <f>IF(T3014&gt;=4.25,"Critical",IF(T3014&gt;=3.5,"High",IF(T3014&gt;=2,"Medium","Low")))</f>
        <v/>
      </c>
    </row>
    <row r="3015">
      <c r="R3015">
        <f>IFERROR(XLOOKUP(XLOOKUP(D3015,tblReleaseChanges[Change_ID],tblReleaseChanges[Oracle_Severity],""),tblSeverityMap[Severity_Text],tblSeverityMap[Score],0),0)</f>
        <v/>
      </c>
      <c r="T3015">
        <f>ROUND((M3015*0.25)+(N3015*0.20)+(O3015*0.15)+(P3015*0.15)+(Q3015*0.10)+(R3015*0.10)+(S3015*0.05),2)</f>
        <v/>
      </c>
      <c r="U3015">
        <f>IF(T3015&gt;=4.25,"Critical",IF(T3015&gt;=3.5,"High",IF(T3015&gt;=2,"Medium","Low")))</f>
        <v/>
      </c>
    </row>
    <row r="3016">
      <c r="R3016">
        <f>IFERROR(XLOOKUP(XLOOKUP(D3016,tblReleaseChanges[Change_ID],tblReleaseChanges[Oracle_Severity],""),tblSeverityMap[Severity_Text],tblSeverityMap[Score],0),0)</f>
        <v/>
      </c>
      <c r="T3016">
        <f>ROUND((M3016*0.25)+(N3016*0.20)+(O3016*0.15)+(P3016*0.15)+(Q3016*0.10)+(R3016*0.10)+(S3016*0.05),2)</f>
        <v/>
      </c>
      <c r="U3016">
        <f>IF(T3016&gt;=4.25,"Critical",IF(T3016&gt;=3.5,"High",IF(T3016&gt;=2,"Medium","Low")))</f>
        <v/>
      </c>
    </row>
    <row r="3017">
      <c r="R3017">
        <f>IFERROR(XLOOKUP(XLOOKUP(D3017,tblReleaseChanges[Change_ID],tblReleaseChanges[Oracle_Severity],""),tblSeverityMap[Severity_Text],tblSeverityMap[Score],0),0)</f>
        <v/>
      </c>
      <c r="T3017">
        <f>ROUND((M3017*0.25)+(N3017*0.20)+(O3017*0.15)+(P3017*0.15)+(Q3017*0.10)+(R3017*0.10)+(S3017*0.05),2)</f>
        <v/>
      </c>
      <c r="U3017">
        <f>IF(T3017&gt;=4.25,"Critical",IF(T3017&gt;=3.5,"High",IF(T3017&gt;=2,"Medium","Low")))</f>
        <v/>
      </c>
    </row>
    <row r="3018">
      <c r="R3018">
        <f>IFERROR(XLOOKUP(XLOOKUP(D3018,tblReleaseChanges[Change_ID],tblReleaseChanges[Oracle_Severity],""),tblSeverityMap[Severity_Text],tblSeverityMap[Score],0),0)</f>
        <v/>
      </c>
      <c r="T3018">
        <f>ROUND((M3018*0.25)+(N3018*0.20)+(O3018*0.15)+(P3018*0.15)+(Q3018*0.10)+(R3018*0.10)+(S3018*0.05),2)</f>
        <v/>
      </c>
      <c r="U3018">
        <f>IF(T3018&gt;=4.25,"Critical",IF(T3018&gt;=3.5,"High",IF(T3018&gt;=2,"Medium","Low")))</f>
        <v/>
      </c>
    </row>
    <row r="3019">
      <c r="R3019">
        <f>IFERROR(XLOOKUP(XLOOKUP(D3019,tblReleaseChanges[Change_ID],tblReleaseChanges[Oracle_Severity],""),tblSeverityMap[Severity_Text],tblSeverityMap[Score],0),0)</f>
        <v/>
      </c>
      <c r="T3019">
        <f>ROUND((M3019*0.25)+(N3019*0.20)+(O3019*0.15)+(P3019*0.15)+(Q3019*0.10)+(R3019*0.10)+(S3019*0.05),2)</f>
        <v/>
      </c>
      <c r="U3019">
        <f>IF(T3019&gt;=4.25,"Critical",IF(T3019&gt;=3.5,"High",IF(T3019&gt;=2,"Medium","Low")))</f>
        <v/>
      </c>
    </row>
    <row r="3020">
      <c r="R3020">
        <f>IFERROR(XLOOKUP(XLOOKUP(D3020,tblReleaseChanges[Change_ID],tblReleaseChanges[Oracle_Severity],""),tblSeverityMap[Severity_Text],tblSeverityMap[Score],0),0)</f>
        <v/>
      </c>
      <c r="T3020">
        <f>ROUND((M3020*0.25)+(N3020*0.20)+(O3020*0.15)+(P3020*0.15)+(Q3020*0.10)+(R3020*0.10)+(S3020*0.05),2)</f>
        <v/>
      </c>
      <c r="U3020">
        <f>IF(T3020&gt;=4.25,"Critical",IF(T3020&gt;=3.5,"High",IF(T3020&gt;=2,"Medium","Low")))</f>
        <v/>
      </c>
    </row>
    <row r="3021">
      <c r="R3021">
        <f>IFERROR(XLOOKUP(XLOOKUP(D3021,tblReleaseChanges[Change_ID],tblReleaseChanges[Oracle_Severity],""),tblSeverityMap[Severity_Text],tblSeverityMap[Score],0),0)</f>
        <v/>
      </c>
      <c r="T3021">
        <f>ROUND((M3021*0.25)+(N3021*0.20)+(O3021*0.15)+(P3021*0.15)+(Q3021*0.10)+(R3021*0.10)+(S3021*0.05),2)</f>
        <v/>
      </c>
      <c r="U3021">
        <f>IF(T3021&gt;=4.25,"Critical",IF(T3021&gt;=3.5,"High",IF(T3021&gt;=2,"Medium","Low")))</f>
        <v/>
      </c>
    </row>
    <row r="3022">
      <c r="R3022">
        <f>IFERROR(XLOOKUP(XLOOKUP(D3022,tblReleaseChanges[Change_ID],tblReleaseChanges[Oracle_Severity],""),tblSeverityMap[Severity_Text],tblSeverityMap[Score],0),0)</f>
        <v/>
      </c>
      <c r="T3022">
        <f>ROUND((M3022*0.25)+(N3022*0.20)+(O3022*0.15)+(P3022*0.15)+(Q3022*0.10)+(R3022*0.10)+(S3022*0.05),2)</f>
        <v/>
      </c>
      <c r="U3022">
        <f>IF(T3022&gt;=4.25,"Critical",IF(T3022&gt;=3.5,"High",IF(T3022&gt;=2,"Medium","Low")))</f>
        <v/>
      </c>
    </row>
    <row r="3023">
      <c r="R3023">
        <f>IFERROR(XLOOKUP(XLOOKUP(D3023,tblReleaseChanges[Change_ID],tblReleaseChanges[Oracle_Severity],""),tblSeverityMap[Severity_Text],tblSeverityMap[Score],0),0)</f>
        <v/>
      </c>
      <c r="T3023">
        <f>ROUND((M3023*0.25)+(N3023*0.20)+(O3023*0.15)+(P3023*0.15)+(Q3023*0.10)+(R3023*0.10)+(S3023*0.05),2)</f>
        <v/>
      </c>
      <c r="U3023">
        <f>IF(T3023&gt;=4.25,"Critical",IF(T3023&gt;=3.5,"High",IF(T3023&gt;=2,"Medium","Low")))</f>
        <v/>
      </c>
    </row>
    <row r="3024">
      <c r="R3024">
        <f>IFERROR(XLOOKUP(XLOOKUP(D3024,tblReleaseChanges[Change_ID],tblReleaseChanges[Oracle_Severity],""),tblSeverityMap[Severity_Text],tblSeverityMap[Score],0),0)</f>
        <v/>
      </c>
      <c r="T3024">
        <f>ROUND((M3024*0.25)+(N3024*0.20)+(O3024*0.15)+(P3024*0.15)+(Q3024*0.10)+(R3024*0.10)+(S3024*0.05),2)</f>
        <v/>
      </c>
      <c r="U3024">
        <f>IF(T3024&gt;=4.25,"Critical",IF(T3024&gt;=3.5,"High",IF(T3024&gt;=2,"Medium","Low")))</f>
        <v/>
      </c>
    </row>
    <row r="3025">
      <c r="R3025">
        <f>IFERROR(XLOOKUP(XLOOKUP(D3025,tblReleaseChanges[Change_ID],tblReleaseChanges[Oracle_Severity],""),tblSeverityMap[Severity_Text],tblSeverityMap[Score],0),0)</f>
        <v/>
      </c>
      <c r="T3025">
        <f>ROUND((M3025*0.25)+(N3025*0.20)+(O3025*0.15)+(P3025*0.15)+(Q3025*0.10)+(R3025*0.10)+(S3025*0.05),2)</f>
        <v/>
      </c>
      <c r="U3025">
        <f>IF(T3025&gt;=4.25,"Critical",IF(T3025&gt;=3.5,"High",IF(T3025&gt;=2,"Medium","Low")))</f>
        <v/>
      </c>
    </row>
    <row r="3026">
      <c r="R3026">
        <f>IFERROR(XLOOKUP(XLOOKUP(D3026,tblReleaseChanges[Change_ID],tblReleaseChanges[Oracle_Severity],""),tblSeverityMap[Severity_Text],tblSeverityMap[Score],0),0)</f>
        <v/>
      </c>
      <c r="T3026">
        <f>ROUND((M3026*0.25)+(N3026*0.20)+(O3026*0.15)+(P3026*0.15)+(Q3026*0.10)+(R3026*0.10)+(S3026*0.05),2)</f>
        <v/>
      </c>
      <c r="U3026">
        <f>IF(T3026&gt;=4.25,"Critical",IF(T3026&gt;=3.5,"High",IF(T3026&gt;=2,"Medium","Low")))</f>
        <v/>
      </c>
    </row>
    <row r="3027">
      <c r="R3027">
        <f>IFERROR(XLOOKUP(XLOOKUP(D3027,tblReleaseChanges[Change_ID],tblReleaseChanges[Oracle_Severity],""),tblSeverityMap[Severity_Text],tblSeverityMap[Score],0),0)</f>
        <v/>
      </c>
      <c r="T3027">
        <f>ROUND((M3027*0.25)+(N3027*0.20)+(O3027*0.15)+(P3027*0.15)+(Q3027*0.10)+(R3027*0.10)+(S3027*0.05),2)</f>
        <v/>
      </c>
      <c r="U3027">
        <f>IF(T3027&gt;=4.25,"Critical",IF(T3027&gt;=3.5,"High",IF(T3027&gt;=2,"Medium","Low")))</f>
        <v/>
      </c>
    </row>
    <row r="3028">
      <c r="R3028">
        <f>IFERROR(XLOOKUP(XLOOKUP(D3028,tblReleaseChanges[Change_ID],tblReleaseChanges[Oracle_Severity],""),tblSeverityMap[Severity_Text],tblSeverityMap[Score],0),0)</f>
        <v/>
      </c>
      <c r="T3028">
        <f>ROUND((M3028*0.25)+(N3028*0.20)+(O3028*0.15)+(P3028*0.15)+(Q3028*0.10)+(R3028*0.10)+(S3028*0.05),2)</f>
        <v/>
      </c>
      <c r="U3028">
        <f>IF(T3028&gt;=4.25,"Critical",IF(T3028&gt;=3.5,"High",IF(T3028&gt;=2,"Medium","Low")))</f>
        <v/>
      </c>
    </row>
    <row r="3029">
      <c r="R3029">
        <f>IFERROR(XLOOKUP(XLOOKUP(D3029,tblReleaseChanges[Change_ID],tblReleaseChanges[Oracle_Severity],""),tblSeverityMap[Severity_Text],tblSeverityMap[Score],0),0)</f>
        <v/>
      </c>
      <c r="T3029">
        <f>ROUND((M3029*0.25)+(N3029*0.20)+(O3029*0.15)+(P3029*0.15)+(Q3029*0.10)+(R3029*0.10)+(S3029*0.05),2)</f>
        <v/>
      </c>
      <c r="U3029">
        <f>IF(T3029&gt;=4.25,"Critical",IF(T3029&gt;=3.5,"High",IF(T3029&gt;=2,"Medium","Low")))</f>
        <v/>
      </c>
    </row>
    <row r="3030">
      <c r="R3030">
        <f>IFERROR(XLOOKUP(XLOOKUP(D3030,tblReleaseChanges[Change_ID],tblReleaseChanges[Oracle_Severity],""),tblSeverityMap[Severity_Text],tblSeverityMap[Score],0),0)</f>
        <v/>
      </c>
      <c r="T3030">
        <f>ROUND((M3030*0.25)+(N3030*0.20)+(O3030*0.15)+(P3030*0.15)+(Q3030*0.10)+(R3030*0.10)+(S3030*0.05),2)</f>
        <v/>
      </c>
      <c r="U3030">
        <f>IF(T3030&gt;=4.25,"Critical",IF(T3030&gt;=3.5,"High",IF(T3030&gt;=2,"Medium","Low")))</f>
        <v/>
      </c>
    </row>
    <row r="3031">
      <c r="R3031">
        <f>IFERROR(XLOOKUP(XLOOKUP(D3031,tblReleaseChanges[Change_ID],tblReleaseChanges[Oracle_Severity],""),tblSeverityMap[Severity_Text],tblSeverityMap[Score],0),0)</f>
        <v/>
      </c>
      <c r="T3031">
        <f>ROUND((M3031*0.25)+(N3031*0.20)+(O3031*0.15)+(P3031*0.15)+(Q3031*0.10)+(R3031*0.10)+(S3031*0.05),2)</f>
        <v/>
      </c>
      <c r="U3031">
        <f>IF(T3031&gt;=4.25,"Critical",IF(T3031&gt;=3.5,"High",IF(T3031&gt;=2,"Medium","Low")))</f>
        <v/>
      </c>
    </row>
    <row r="3032">
      <c r="R3032">
        <f>IFERROR(XLOOKUP(XLOOKUP(D3032,tblReleaseChanges[Change_ID],tblReleaseChanges[Oracle_Severity],""),tblSeverityMap[Severity_Text],tblSeverityMap[Score],0),0)</f>
        <v/>
      </c>
      <c r="T3032">
        <f>ROUND((M3032*0.25)+(N3032*0.20)+(O3032*0.15)+(P3032*0.15)+(Q3032*0.10)+(R3032*0.10)+(S3032*0.05),2)</f>
        <v/>
      </c>
      <c r="U3032">
        <f>IF(T3032&gt;=4.25,"Critical",IF(T3032&gt;=3.5,"High",IF(T3032&gt;=2,"Medium","Low")))</f>
        <v/>
      </c>
    </row>
    <row r="3033">
      <c r="R3033">
        <f>IFERROR(XLOOKUP(XLOOKUP(D3033,tblReleaseChanges[Change_ID],tblReleaseChanges[Oracle_Severity],""),tblSeverityMap[Severity_Text],tblSeverityMap[Score],0),0)</f>
        <v/>
      </c>
      <c r="T3033">
        <f>ROUND((M3033*0.25)+(N3033*0.20)+(O3033*0.15)+(P3033*0.15)+(Q3033*0.10)+(R3033*0.10)+(S3033*0.05),2)</f>
        <v/>
      </c>
      <c r="U3033">
        <f>IF(T3033&gt;=4.25,"Critical",IF(T3033&gt;=3.5,"High",IF(T3033&gt;=2,"Medium","Low")))</f>
        <v/>
      </c>
    </row>
    <row r="3034">
      <c r="R3034">
        <f>IFERROR(XLOOKUP(XLOOKUP(D3034,tblReleaseChanges[Change_ID],tblReleaseChanges[Oracle_Severity],""),tblSeverityMap[Severity_Text],tblSeverityMap[Score],0),0)</f>
        <v/>
      </c>
      <c r="T3034">
        <f>ROUND((M3034*0.25)+(N3034*0.20)+(O3034*0.15)+(P3034*0.15)+(Q3034*0.10)+(R3034*0.10)+(S3034*0.05),2)</f>
        <v/>
      </c>
      <c r="U3034">
        <f>IF(T3034&gt;=4.25,"Critical",IF(T3034&gt;=3.5,"High",IF(T3034&gt;=2,"Medium","Low")))</f>
        <v/>
      </c>
    </row>
    <row r="3035">
      <c r="R3035">
        <f>IFERROR(XLOOKUP(XLOOKUP(D3035,tblReleaseChanges[Change_ID],tblReleaseChanges[Oracle_Severity],""),tblSeverityMap[Severity_Text],tblSeverityMap[Score],0),0)</f>
        <v/>
      </c>
      <c r="T3035">
        <f>ROUND((M3035*0.25)+(N3035*0.20)+(O3035*0.15)+(P3035*0.15)+(Q3035*0.10)+(R3035*0.10)+(S3035*0.05),2)</f>
        <v/>
      </c>
      <c r="U3035">
        <f>IF(T3035&gt;=4.25,"Critical",IF(T3035&gt;=3.5,"High",IF(T3035&gt;=2,"Medium","Low")))</f>
        <v/>
      </c>
    </row>
    <row r="3036">
      <c r="R3036">
        <f>IFERROR(XLOOKUP(XLOOKUP(D3036,tblReleaseChanges[Change_ID],tblReleaseChanges[Oracle_Severity],""),tblSeverityMap[Severity_Text],tblSeverityMap[Score],0),0)</f>
        <v/>
      </c>
      <c r="T3036">
        <f>ROUND((M3036*0.25)+(N3036*0.20)+(O3036*0.15)+(P3036*0.15)+(Q3036*0.10)+(R3036*0.10)+(S3036*0.05),2)</f>
        <v/>
      </c>
      <c r="U3036">
        <f>IF(T3036&gt;=4.25,"Critical",IF(T3036&gt;=3.5,"High",IF(T3036&gt;=2,"Medium","Low")))</f>
        <v/>
      </c>
    </row>
    <row r="3037">
      <c r="R3037">
        <f>IFERROR(XLOOKUP(XLOOKUP(D3037,tblReleaseChanges[Change_ID],tblReleaseChanges[Oracle_Severity],""),tblSeverityMap[Severity_Text],tblSeverityMap[Score],0),0)</f>
        <v/>
      </c>
      <c r="T3037">
        <f>ROUND((M3037*0.25)+(N3037*0.20)+(O3037*0.15)+(P3037*0.15)+(Q3037*0.10)+(R3037*0.10)+(S3037*0.05),2)</f>
        <v/>
      </c>
      <c r="U3037">
        <f>IF(T3037&gt;=4.25,"Critical",IF(T3037&gt;=3.5,"High",IF(T3037&gt;=2,"Medium","Low")))</f>
        <v/>
      </c>
    </row>
    <row r="3038">
      <c r="R3038">
        <f>IFERROR(XLOOKUP(XLOOKUP(D3038,tblReleaseChanges[Change_ID],tblReleaseChanges[Oracle_Severity],""),tblSeverityMap[Severity_Text],tblSeverityMap[Score],0),0)</f>
        <v/>
      </c>
      <c r="T3038">
        <f>ROUND((M3038*0.25)+(N3038*0.20)+(O3038*0.15)+(P3038*0.15)+(Q3038*0.10)+(R3038*0.10)+(S3038*0.05),2)</f>
        <v/>
      </c>
      <c r="U3038">
        <f>IF(T3038&gt;=4.25,"Critical",IF(T3038&gt;=3.5,"High",IF(T3038&gt;=2,"Medium","Low")))</f>
        <v/>
      </c>
    </row>
    <row r="3039">
      <c r="R3039">
        <f>IFERROR(XLOOKUP(XLOOKUP(D3039,tblReleaseChanges[Change_ID],tblReleaseChanges[Oracle_Severity],""),tblSeverityMap[Severity_Text],tblSeverityMap[Score],0),0)</f>
        <v/>
      </c>
      <c r="T3039">
        <f>ROUND((M3039*0.25)+(N3039*0.20)+(O3039*0.15)+(P3039*0.15)+(Q3039*0.10)+(R3039*0.10)+(S3039*0.05),2)</f>
        <v/>
      </c>
      <c r="U3039">
        <f>IF(T3039&gt;=4.25,"Critical",IF(T3039&gt;=3.5,"High",IF(T3039&gt;=2,"Medium","Low")))</f>
        <v/>
      </c>
    </row>
    <row r="3040">
      <c r="R3040">
        <f>IFERROR(XLOOKUP(XLOOKUP(D3040,tblReleaseChanges[Change_ID],tblReleaseChanges[Oracle_Severity],""),tblSeverityMap[Severity_Text],tblSeverityMap[Score],0),0)</f>
        <v/>
      </c>
      <c r="T3040">
        <f>ROUND((M3040*0.25)+(N3040*0.20)+(O3040*0.15)+(P3040*0.15)+(Q3040*0.10)+(R3040*0.10)+(S3040*0.05),2)</f>
        <v/>
      </c>
      <c r="U3040">
        <f>IF(T3040&gt;=4.25,"Critical",IF(T3040&gt;=3.5,"High",IF(T3040&gt;=2,"Medium","Low")))</f>
        <v/>
      </c>
    </row>
    <row r="3041">
      <c r="R3041">
        <f>IFERROR(XLOOKUP(XLOOKUP(D3041,tblReleaseChanges[Change_ID],tblReleaseChanges[Oracle_Severity],""),tblSeverityMap[Severity_Text],tblSeverityMap[Score],0),0)</f>
        <v/>
      </c>
      <c r="T3041">
        <f>ROUND((M3041*0.25)+(N3041*0.20)+(O3041*0.15)+(P3041*0.15)+(Q3041*0.10)+(R3041*0.10)+(S3041*0.05),2)</f>
        <v/>
      </c>
      <c r="U3041">
        <f>IF(T3041&gt;=4.25,"Critical",IF(T3041&gt;=3.5,"High",IF(T3041&gt;=2,"Medium","Low")))</f>
        <v/>
      </c>
    </row>
    <row r="3042">
      <c r="R3042">
        <f>IFERROR(XLOOKUP(XLOOKUP(D3042,tblReleaseChanges[Change_ID],tblReleaseChanges[Oracle_Severity],""),tblSeverityMap[Severity_Text],tblSeverityMap[Score],0),0)</f>
        <v/>
      </c>
      <c r="T3042">
        <f>ROUND((M3042*0.25)+(N3042*0.20)+(O3042*0.15)+(P3042*0.15)+(Q3042*0.10)+(R3042*0.10)+(S3042*0.05),2)</f>
        <v/>
      </c>
      <c r="U3042">
        <f>IF(T3042&gt;=4.25,"Critical",IF(T3042&gt;=3.5,"High",IF(T3042&gt;=2,"Medium","Low")))</f>
        <v/>
      </c>
    </row>
    <row r="3043">
      <c r="R3043">
        <f>IFERROR(XLOOKUP(XLOOKUP(D3043,tblReleaseChanges[Change_ID],tblReleaseChanges[Oracle_Severity],""),tblSeverityMap[Severity_Text],tblSeverityMap[Score],0),0)</f>
        <v/>
      </c>
      <c r="T3043">
        <f>ROUND((M3043*0.25)+(N3043*0.20)+(O3043*0.15)+(P3043*0.15)+(Q3043*0.10)+(R3043*0.10)+(S3043*0.05),2)</f>
        <v/>
      </c>
      <c r="U3043">
        <f>IF(T3043&gt;=4.25,"Critical",IF(T3043&gt;=3.5,"High",IF(T3043&gt;=2,"Medium","Low")))</f>
        <v/>
      </c>
    </row>
    <row r="3044">
      <c r="R3044">
        <f>IFERROR(XLOOKUP(XLOOKUP(D3044,tblReleaseChanges[Change_ID],tblReleaseChanges[Oracle_Severity],""),tblSeverityMap[Severity_Text],tblSeverityMap[Score],0),0)</f>
        <v/>
      </c>
      <c r="T3044">
        <f>ROUND((M3044*0.25)+(N3044*0.20)+(O3044*0.15)+(P3044*0.15)+(Q3044*0.10)+(R3044*0.10)+(S3044*0.05),2)</f>
        <v/>
      </c>
      <c r="U3044">
        <f>IF(T3044&gt;=4.25,"Critical",IF(T3044&gt;=3.5,"High",IF(T3044&gt;=2,"Medium","Low")))</f>
        <v/>
      </c>
    </row>
    <row r="3045">
      <c r="R3045">
        <f>IFERROR(XLOOKUP(XLOOKUP(D3045,tblReleaseChanges[Change_ID],tblReleaseChanges[Oracle_Severity],""),tblSeverityMap[Severity_Text],tblSeverityMap[Score],0),0)</f>
        <v/>
      </c>
      <c r="T3045">
        <f>ROUND((M3045*0.25)+(N3045*0.20)+(O3045*0.15)+(P3045*0.15)+(Q3045*0.10)+(R3045*0.10)+(S3045*0.05),2)</f>
        <v/>
      </c>
      <c r="U3045">
        <f>IF(T3045&gt;=4.25,"Critical",IF(T3045&gt;=3.5,"High",IF(T3045&gt;=2,"Medium","Low")))</f>
        <v/>
      </c>
    </row>
    <row r="3046">
      <c r="R3046">
        <f>IFERROR(XLOOKUP(XLOOKUP(D3046,tblReleaseChanges[Change_ID],tblReleaseChanges[Oracle_Severity],""),tblSeverityMap[Severity_Text],tblSeverityMap[Score],0),0)</f>
        <v/>
      </c>
      <c r="T3046">
        <f>ROUND((M3046*0.25)+(N3046*0.20)+(O3046*0.15)+(P3046*0.15)+(Q3046*0.10)+(R3046*0.10)+(S3046*0.05),2)</f>
        <v/>
      </c>
      <c r="U3046">
        <f>IF(T3046&gt;=4.25,"Critical",IF(T3046&gt;=3.5,"High",IF(T3046&gt;=2,"Medium","Low")))</f>
        <v/>
      </c>
    </row>
    <row r="3047">
      <c r="R3047">
        <f>IFERROR(XLOOKUP(XLOOKUP(D3047,tblReleaseChanges[Change_ID],tblReleaseChanges[Oracle_Severity],""),tblSeverityMap[Severity_Text],tblSeverityMap[Score],0),0)</f>
        <v/>
      </c>
      <c r="T3047">
        <f>ROUND((M3047*0.25)+(N3047*0.20)+(O3047*0.15)+(P3047*0.15)+(Q3047*0.10)+(R3047*0.10)+(S3047*0.05),2)</f>
        <v/>
      </c>
      <c r="U3047">
        <f>IF(T3047&gt;=4.25,"Critical",IF(T3047&gt;=3.5,"High",IF(T3047&gt;=2,"Medium","Low")))</f>
        <v/>
      </c>
    </row>
    <row r="3048">
      <c r="R3048">
        <f>IFERROR(XLOOKUP(XLOOKUP(D3048,tblReleaseChanges[Change_ID],tblReleaseChanges[Oracle_Severity],""),tblSeverityMap[Severity_Text],tblSeverityMap[Score],0),0)</f>
        <v/>
      </c>
      <c r="T3048">
        <f>ROUND((M3048*0.25)+(N3048*0.20)+(O3048*0.15)+(P3048*0.15)+(Q3048*0.10)+(R3048*0.10)+(S3048*0.05),2)</f>
        <v/>
      </c>
      <c r="U3048">
        <f>IF(T3048&gt;=4.25,"Critical",IF(T3048&gt;=3.5,"High",IF(T3048&gt;=2,"Medium","Low")))</f>
        <v/>
      </c>
    </row>
    <row r="3049">
      <c r="R3049">
        <f>IFERROR(XLOOKUP(XLOOKUP(D3049,tblReleaseChanges[Change_ID],tblReleaseChanges[Oracle_Severity],""),tblSeverityMap[Severity_Text],tblSeverityMap[Score],0),0)</f>
        <v/>
      </c>
      <c r="T3049">
        <f>ROUND((M3049*0.25)+(N3049*0.20)+(O3049*0.15)+(P3049*0.15)+(Q3049*0.10)+(R3049*0.10)+(S3049*0.05),2)</f>
        <v/>
      </c>
      <c r="U3049">
        <f>IF(T3049&gt;=4.25,"Critical",IF(T3049&gt;=3.5,"High",IF(T3049&gt;=2,"Medium","Low")))</f>
        <v/>
      </c>
    </row>
    <row r="3050">
      <c r="R3050">
        <f>IFERROR(XLOOKUP(XLOOKUP(D3050,tblReleaseChanges[Change_ID],tblReleaseChanges[Oracle_Severity],""),tblSeverityMap[Severity_Text],tblSeverityMap[Score],0),0)</f>
        <v/>
      </c>
      <c r="T3050">
        <f>ROUND((M3050*0.25)+(N3050*0.20)+(O3050*0.15)+(P3050*0.15)+(Q3050*0.10)+(R3050*0.10)+(S3050*0.05),2)</f>
        <v/>
      </c>
      <c r="U3050">
        <f>IF(T3050&gt;=4.25,"Critical",IF(T3050&gt;=3.5,"High",IF(T3050&gt;=2,"Medium","Low")))</f>
        <v/>
      </c>
    </row>
    <row r="3051">
      <c r="R3051">
        <f>IFERROR(XLOOKUP(XLOOKUP(D3051,tblReleaseChanges[Change_ID],tblReleaseChanges[Oracle_Severity],""),tblSeverityMap[Severity_Text],tblSeverityMap[Score],0),0)</f>
        <v/>
      </c>
      <c r="T3051">
        <f>ROUND((M3051*0.25)+(N3051*0.20)+(O3051*0.15)+(P3051*0.15)+(Q3051*0.10)+(R3051*0.10)+(S3051*0.05),2)</f>
        <v/>
      </c>
      <c r="U3051">
        <f>IF(T3051&gt;=4.25,"Critical",IF(T3051&gt;=3.5,"High",IF(T3051&gt;=2,"Medium","Low")))</f>
        <v/>
      </c>
    </row>
    <row r="3052">
      <c r="R3052">
        <f>IFERROR(XLOOKUP(XLOOKUP(D3052,tblReleaseChanges[Change_ID],tblReleaseChanges[Oracle_Severity],""),tblSeverityMap[Severity_Text],tblSeverityMap[Score],0),0)</f>
        <v/>
      </c>
      <c r="T3052">
        <f>ROUND((M3052*0.25)+(N3052*0.20)+(O3052*0.15)+(P3052*0.15)+(Q3052*0.10)+(R3052*0.10)+(S3052*0.05),2)</f>
        <v/>
      </c>
      <c r="U3052">
        <f>IF(T3052&gt;=4.25,"Critical",IF(T3052&gt;=3.5,"High",IF(T3052&gt;=2,"Medium","Low")))</f>
        <v/>
      </c>
    </row>
    <row r="3053">
      <c r="R3053">
        <f>IFERROR(XLOOKUP(XLOOKUP(D3053,tblReleaseChanges[Change_ID],tblReleaseChanges[Oracle_Severity],""),tblSeverityMap[Severity_Text],tblSeverityMap[Score],0),0)</f>
        <v/>
      </c>
      <c r="T3053">
        <f>ROUND((M3053*0.25)+(N3053*0.20)+(O3053*0.15)+(P3053*0.15)+(Q3053*0.10)+(R3053*0.10)+(S3053*0.05),2)</f>
        <v/>
      </c>
      <c r="U3053">
        <f>IF(T3053&gt;=4.25,"Critical",IF(T3053&gt;=3.5,"High",IF(T3053&gt;=2,"Medium","Low")))</f>
        <v/>
      </c>
    </row>
    <row r="3054">
      <c r="R3054">
        <f>IFERROR(XLOOKUP(XLOOKUP(D3054,tblReleaseChanges[Change_ID],tblReleaseChanges[Oracle_Severity],""),tblSeverityMap[Severity_Text],tblSeverityMap[Score],0),0)</f>
        <v/>
      </c>
      <c r="T3054">
        <f>ROUND((M3054*0.25)+(N3054*0.20)+(O3054*0.15)+(P3054*0.15)+(Q3054*0.10)+(R3054*0.10)+(S3054*0.05),2)</f>
        <v/>
      </c>
      <c r="U3054">
        <f>IF(T3054&gt;=4.25,"Critical",IF(T3054&gt;=3.5,"High",IF(T3054&gt;=2,"Medium","Low")))</f>
        <v/>
      </c>
    </row>
    <row r="3055">
      <c r="R3055">
        <f>IFERROR(XLOOKUP(XLOOKUP(D3055,tblReleaseChanges[Change_ID],tblReleaseChanges[Oracle_Severity],""),tblSeverityMap[Severity_Text],tblSeverityMap[Score],0),0)</f>
        <v/>
      </c>
      <c r="T3055">
        <f>ROUND((M3055*0.25)+(N3055*0.20)+(O3055*0.15)+(P3055*0.15)+(Q3055*0.10)+(R3055*0.10)+(S3055*0.05),2)</f>
        <v/>
      </c>
      <c r="U3055">
        <f>IF(T3055&gt;=4.25,"Critical",IF(T3055&gt;=3.5,"High",IF(T3055&gt;=2,"Medium","Low")))</f>
        <v/>
      </c>
    </row>
    <row r="3056">
      <c r="R3056">
        <f>IFERROR(XLOOKUP(XLOOKUP(D3056,tblReleaseChanges[Change_ID],tblReleaseChanges[Oracle_Severity],""),tblSeverityMap[Severity_Text],tblSeverityMap[Score],0),0)</f>
        <v/>
      </c>
      <c r="T3056">
        <f>ROUND((M3056*0.25)+(N3056*0.20)+(O3056*0.15)+(P3056*0.15)+(Q3056*0.10)+(R3056*0.10)+(S3056*0.05),2)</f>
        <v/>
      </c>
      <c r="U3056">
        <f>IF(T3056&gt;=4.25,"Critical",IF(T3056&gt;=3.5,"High",IF(T3056&gt;=2,"Medium","Low")))</f>
        <v/>
      </c>
    </row>
    <row r="3057">
      <c r="R3057">
        <f>IFERROR(XLOOKUP(XLOOKUP(D3057,tblReleaseChanges[Change_ID],tblReleaseChanges[Oracle_Severity],""),tblSeverityMap[Severity_Text],tblSeverityMap[Score],0),0)</f>
        <v/>
      </c>
      <c r="T3057">
        <f>ROUND((M3057*0.25)+(N3057*0.20)+(O3057*0.15)+(P3057*0.15)+(Q3057*0.10)+(R3057*0.10)+(S3057*0.05),2)</f>
        <v/>
      </c>
      <c r="U3057">
        <f>IF(T3057&gt;=4.25,"Critical",IF(T3057&gt;=3.5,"High",IF(T3057&gt;=2,"Medium","Low")))</f>
        <v/>
      </c>
    </row>
    <row r="3058">
      <c r="R3058">
        <f>IFERROR(XLOOKUP(XLOOKUP(D3058,tblReleaseChanges[Change_ID],tblReleaseChanges[Oracle_Severity],""),tblSeverityMap[Severity_Text],tblSeverityMap[Score],0),0)</f>
        <v/>
      </c>
      <c r="T3058">
        <f>ROUND((M3058*0.25)+(N3058*0.20)+(O3058*0.15)+(P3058*0.15)+(Q3058*0.10)+(R3058*0.10)+(S3058*0.05),2)</f>
        <v/>
      </c>
      <c r="U3058">
        <f>IF(T3058&gt;=4.25,"Critical",IF(T3058&gt;=3.5,"High",IF(T3058&gt;=2,"Medium","Low")))</f>
        <v/>
      </c>
    </row>
    <row r="3059">
      <c r="R3059">
        <f>IFERROR(XLOOKUP(XLOOKUP(D3059,tblReleaseChanges[Change_ID],tblReleaseChanges[Oracle_Severity],""),tblSeverityMap[Severity_Text],tblSeverityMap[Score],0),0)</f>
        <v/>
      </c>
      <c r="T3059">
        <f>ROUND((M3059*0.25)+(N3059*0.20)+(O3059*0.15)+(P3059*0.15)+(Q3059*0.10)+(R3059*0.10)+(S3059*0.05),2)</f>
        <v/>
      </c>
      <c r="U3059">
        <f>IF(T3059&gt;=4.25,"Critical",IF(T3059&gt;=3.5,"High",IF(T3059&gt;=2,"Medium","Low")))</f>
        <v/>
      </c>
    </row>
    <row r="3060">
      <c r="R3060">
        <f>IFERROR(XLOOKUP(XLOOKUP(D3060,tblReleaseChanges[Change_ID],tblReleaseChanges[Oracle_Severity],""),tblSeverityMap[Severity_Text],tblSeverityMap[Score],0),0)</f>
        <v/>
      </c>
      <c r="T3060">
        <f>ROUND((M3060*0.25)+(N3060*0.20)+(O3060*0.15)+(P3060*0.15)+(Q3060*0.10)+(R3060*0.10)+(S3060*0.05),2)</f>
        <v/>
      </c>
      <c r="U3060">
        <f>IF(T3060&gt;=4.25,"Critical",IF(T3060&gt;=3.5,"High",IF(T3060&gt;=2,"Medium","Low")))</f>
        <v/>
      </c>
    </row>
    <row r="3061">
      <c r="R3061">
        <f>IFERROR(XLOOKUP(XLOOKUP(D3061,tblReleaseChanges[Change_ID],tblReleaseChanges[Oracle_Severity],""),tblSeverityMap[Severity_Text],tblSeverityMap[Score],0),0)</f>
        <v/>
      </c>
      <c r="T3061">
        <f>ROUND((M3061*0.25)+(N3061*0.20)+(O3061*0.15)+(P3061*0.15)+(Q3061*0.10)+(R3061*0.10)+(S3061*0.05),2)</f>
        <v/>
      </c>
      <c r="U3061">
        <f>IF(T3061&gt;=4.25,"Critical",IF(T3061&gt;=3.5,"High",IF(T3061&gt;=2,"Medium","Low")))</f>
        <v/>
      </c>
    </row>
    <row r="3062">
      <c r="R3062">
        <f>IFERROR(XLOOKUP(XLOOKUP(D3062,tblReleaseChanges[Change_ID],tblReleaseChanges[Oracle_Severity],""),tblSeverityMap[Severity_Text],tblSeverityMap[Score],0),0)</f>
        <v/>
      </c>
      <c r="T3062">
        <f>ROUND((M3062*0.25)+(N3062*0.20)+(O3062*0.15)+(P3062*0.15)+(Q3062*0.10)+(R3062*0.10)+(S3062*0.05),2)</f>
        <v/>
      </c>
      <c r="U3062">
        <f>IF(T3062&gt;=4.25,"Critical",IF(T3062&gt;=3.5,"High",IF(T3062&gt;=2,"Medium","Low")))</f>
        <v/>
      </c>
    </row>
    <row r="3063">
      <c r="R3063">
        <f>IFERROR(XLOOKUP(XLOOKUP(D3063,tblReleaseChanges[Change_ID],tblReleaseChanges[Oracle_Severity],""),tblSeverityMap[Severity_Text],tblSeverityMap[Score],0),0)</f>
        <v/>
      </c>
      <c r="T3063">
        <f>ROUND((M3063*0.25)+(N3063*0.20)+(O3063*0.15)+(P3063*0.15)+(Q3063*0.10)+(R3063*0.10)+(S3063*0.05),2)</f>
        <v/>
      </c>
      <c r="U3063">
        <f>IF(T3063&gt;=4.25,"Critical",IF(T3063&gt;=3.5,"High",IF(T3063&gt;=2,"Medium","Low")))</f>
        <v/>
      </c>
    </row>
    <row r="3064">
      <c r="R3064">
        <f>IFERROR(XLOOKUP(XLOOKUP(D3064,tblReleaseChanges[Change_ID],tblReleaseChanges[Oracle_Severity],""),tblSeverityMap[Severity_Text],tblSeverityMap[Score],0),0)</f>
        <v/>
      </c>
      <c r="T3064">
        <f>ROUND((M3064*0.25)+(N3064*0.20)+(O3064*0.15)+(P3064*0.15)+(Q3064*0.10)+(R3064*0.10)+(S3064*0.05),2)</f>
        <v/>
      </c>
      <c r="U3064">
        <f>IF(T3064&gt;=4.25,"Critical",IF(T3064&gt;=3.5,"High",IF(T3064&gt;=2,"Medium","Low")))</f>
        <v/>
      </c>
    </row>
    <row r="3065">
      <c r="R3065">
        <f>IFERROR(XLOOKUP(XLOOKUP(D3065,tblReleaseChanges[Change_ID],tblReleaseChanges[Oracle_Severity],""),tblSeverityMap[Severity_Text],tblSeverityMap[Score],0),0)</f>
        <v/>
      </c>
      <c r="T3065">
        <f>ROUND((M3065*0.25)+(N3065*0.20)+(O3065*0.15)+(P3065*0.15)+(Q3065*0.10)+(R3065*0.10)+(S3065*0.05),2)</f>
        <v/>
      </c>
      <c r="U3065">
        <f>IF(T3065&gt;=4.25,"Critical",IF(T3065&gt;=3.5,"High",IF(T3065&gt;=2,"Medium","Low")))</f>
        <v/>
      </c>
    </row>
    <row r="3066">
      <c r="R3066">
        <f>IFERROR(XLOOKUP(XLOOKUP(D3066,tblReleaseChanges[Change_ID],tblReleaseChanges[Oracle_Severity],""),tblSeverityMap[Severity_Text],tblSeverityMap[Score],0),0)</f>
        <v/>
      </c>
      <c r="T3066">
        <f>ROUND((M3066*0.25)+(N3066*0.20)+(O3066*0.15)+(P3066*0.15)+(Q3066*0.10)+(R3066*0.10)+(S3066*0.05),2)</f>
        <v/>
      </c>
      <c r="U3066">
        <f>IF(T3066&gt;=4.25,"Critical",IF(T3066&gt;=3.5,"High",IF(T3066&gt;=2,"Medium","Low")))</f>
        <v/>
      </c>
    </row>
    <row r="3067">
      <c r="R3067">
        <f>IFERROR(XLOOKUP(XLOOKUP(D3067,tblReleaseChanges[Change_ID],tblReleaseChanges[Oracle_Severity],""),tblSeverityMap[Severity_Text],tblSeverityMap[Score],0),0)</f>
        <v/>
      </c>
      <c r="T3067">
        <f>ROUND((M3067*0.25)+(N3067*0.20)+(O3067*0.15)+(P3067*0.15)+(Q3067*0.10)+(R3067*0.10)+(S3067*0.05),2)</f>
        <v/>
      </c>
      <c r="U3067">
        <f>IF(T3067&gt;=4.25,"Critical",IF(T3067&gt;=3.5,"High",IF(T3067&gt;=2,"Medium","Low")))</f>
        <v/>
      </c>
    </row>
    <row r="3068">
      <c r="R3068">
        <f>IFERROR(XLOOKUP(XLOOKUP(D3068,tblReleaseChanges[Change_ID],tblReleaseChanges[Oracle_Severity],""),tblSeverityMap[Severity_Text],tblSeverityMap[Score],0),0)</f>
        <v/>
      </c>
      <c r="T3068">
        <f>ROUND((M3068*0.25)+(N3068*0.20)+(O3068*0.15)+(P3068*0.15)+(Q3068*0.10)+(R3068*0.10)+(S3068*0.05),2)</f>
        <v/>
      </c>
      <c r="U3068">
        <f>IF(T3068&gt;=4.25,"Critical",IF(T3068&gt;=3.5,"High",IF(T3068&gt;=2,"Medium","Low")))</f>
        <v/>
      </c>
    </row>
    <row r="3069">
      <c r="R3069">
        <f>IFERROR(XLOOKUP(XLOOKUP(D3069,tblReleaseChanges[Change_ID],tblReleaseChanges[Oracle_Severity],""),tblSeverityMap[Severity_Text],tblSeverityMap[Score],0),0)</f>
        <v/>
      </c>
      <c r="T3069">
        <f>ROUND((M3069*0.25)+(N3069*0.20)+(O3069*0.15)+(P3069*0.15)+(Q3069*0.10)+(R3069*0.10)+(S3069*0.05),2)</f>
        <v/>
      </c>
      <c r="U3069">
        <f>IF(T3069&gt;=4.25,"Critical",IF(T3069&gt;=3.5,"High",IF(T3069&gt;=2,"Medium","Low")))</f>
        <v/>
      </c>
    </row>
    <row r="3070">
      <c r="R3070">
        <f>IFERROR(XLOOKUP(XLOOKUP(D3070,tblReleaseChanges[Change_ID],tblReleaseChanges[Oracle_Severity],""),tblSeverityMap[Severity_Text],tblSeverityMap[Score],0),0)</f>
        <v/>
      </c>
      <c r="T3070">
        <f>ROUND((M3070*0.25)+(N3070*0.20)+(O3070*0.15)+(P3070*0.15)+(Q3070*0.10)+(R3070*0.10)+(S3070*0.05),2)</f>
        <v/>
      </c>
      <c r="U3070">
        <f>IF(T3070&gt;=4.25,"Critical",IF(T3070&gt;=3.5,"High",IF(T3070&gt;=2,"Medium","Low")))</f>
        <v/>
      </c>
    </row>
    <row r="3071">
      <c r="R3071">
        <f>IFERROR(XLOOKUP(XLOOKUP(D3071,tblReleaseChanges[Change_ID],tblReleaseChanges[Oracle_Severity],""),tblSeverityMap[Severity_Text],tblSeverityMap[Score],0),0)</f>
        <v/>
      </c>
      <c r="T3071">
        <f>ROUND((M3071*0.25)+(N3071*0.20)+(O3071*0.15)+(P3071*0.15)+(Q3071*0.10)+(R3071*0.10)+(S3071*0.05),2)</f>
        <v/>
      </c>
      <c r="U3071">
        <f>IF(T3071&gt;=4.25,"Critical",IF(T3071&gt;=3.5,"High",IF(T3071&gt;=2,"Medium","Low")))</f>
        <v/>
      </c>
    </row>
    <row r="3072">
      <c r="R3072">
        <f>IFERROR(XLOOKUP(XLOOKUP(D3072,tblReleaseChanges[Change_ID],tblReleaseChanges[Oracle_Severity],""),tblSeverityMap[Severity_Text],tblSeverityMap[Score],0),0)</f>
        <v/>
      </c>
      <c r="T3072">
        <f>ROUND((M3072*0.25)+(N3072*0.20)+(O3072*0.15)+(P3072*0.15)+(Q3072*0.10)+(R3072*0.10)+(S3072*0.05),2)</f>
        <v/>
      </c>
      <c r="U3072">
        <f>IF(T3072&gt;=4.25,"Critical",IF(T3072&gt;=3.5,"High",IF(T3072&gt;=2,"Medium","Low")))</f>
        <v/>
      </c>
    </row>
    <row r="3073">
      <c r="R3073">
        <f>IFERROR(XLOOKUP(XLOOKUP(D3073,tblReleaseChanges[Change_ID],tblReleaseChanges[Oracle_Severity],""),tblSeverityMap[Severity_Text],tblSeverityMap[Score],0),0)</f>
        <v/>
      </c>
      <c r="T3073">
        <f>ROUND((M3073*0.25)+(N3073*0.20)+(O3073*0.15)+(P3073*0.15)+(Q3073*0.10)+(R3073*0.10)+(S3073*0.05),2)</f>
        <v/>
      </c>
      <c r="U3073">
        <f>IF(T3073&gt;=4.25,"Critical",IF(T3073&gt;=3.5,"High",IF(T3073&gt;=2,"Medium","Low")))</f>
        <v/>
      </c>
    </row>
    <row r="3074">
      <c r="R3074">
        <f>IFERROR(XLOOKUP(XLOOKUP(D3074,tblReleaseChanges[Change_ID],tblReleaseChanges[Oracle_Severity],""),tblSeverityMap[Severity_Text],tblSeverityMap[Score],0),0)</f>
        <v/>
      </c>
      <c r="T3074">
        <f>ROUND((M3074*0.25)+(N3074*0.20)+(O3074*0.15)+(P3074*0.15)+(Q3074*0.10)+(R3074*0.10)+(S3074*0.05),2)</f>
        <v/>
      </c>
      <c r="U3074">
        <f>IF(T3074&gt;=4.25,"Critical",IF(T3074&gt;=3.5,"High",IF(T3074&gt;=2,"Medium","Low")))</f>
        <v/>
      </c>
    </row>
    <row r="3075">
      <c r="R3075">
        <f>IFERROR(XLOOKUP(XLOOKUP(D3075,tblReleaseChanges[Change_ID],tblReleaseChanges[Oracle_Severity],""),tblSeverityMap[Severity_Text],tblSeverityMap[Score],0),0)</f>
        <v/>
      </c>
      <c r="T3075">
        <f>ROUND((M3075*0.25)+(N3075*0.20)+(O3075*0.15)+(P3075*0.15)+(Q3075*0.10)+(R3075*0.10)+(S3075*0.05),2)</f>
        <v/>
      </c>
      <c r="U3075">
        <f>IF(T3075&gt;=4.25,"Critical",IF(T3075&gt;=3.5,"High",IF(T3075&gt;=2,"Medium","Low")))</f>
        <v/>
      </c>
    </row>
    <row r="3076">
      <c r="R3076">
        <f>IFERROR(XLOOKUP(XLOOKUP(D3076,tblReleaseChanges[Change_ID],tblReleaseChanges[Oracle_Severity],""),tblSeverityMap[Severity_Text],tblSeverityMap[Score],0),0)</f>
        <v/>
      </c>
      <c r="T3076">
        <f>ROUND((M3076*0.25)+(N3076*0.20)+(O3076*0.15)+(P3076*0.15)+(Q3076*0.10)+(R3076*0.10)+(S3076*0.05),2)</f>
        <v/>
      </c>
      <c r="U3076">
        <f>IF(T3076&gt;=4.25,"Critical",IF(T3076&gt;=3.5,"High",IF(T3076&gt;=2,"Medium","Low")))</f>
        <v/>
      </c>
    </row>
    <row r="3077">
      <c r="R3077">
        <f>IFERROR(XLOOKUP(XLOOKUP(D3077,tblReleaseChanges[Change_ID],tblReleaseChanges[Oracle_Severity],""),tblSeverityMap[Severity_Text],tblSeverityMap[Score],0),0)</f>
        <v/>
      </c>
      <c r="T3077">
        <f>ROUND((M3077*0.25)+(N3077*0.20)+(O3077*0.15)+(P3077*0.15)+(Q3077*0.10)+(R3077*0.10)+(S3077*0.05),2)</f>
        <v/>
      </c>
      <c r="U3077">
        <f>IF(T3077&gt;=4.25,"Critical",IF(T3077&gt;=3.5,"High",IF(T3077&gt;=2,"Medium","Low")))</f>
        <v/>
      </c>
    </row>
    <row r="3078">
      <c r="R3078">
        <f>IFERROR(XLOOKUP(XLOOKUP(D3078,tblReleaseChanges[Change_ID],tblReleaseChanges[Oracle_Severity],""),tblSeverityMap[Severity_Text],tblSeverityMap[Score],0),0)</f>
        <v/>
      </c>
      <c r="T3078">
        <f>ROUND((M3078*0.25)+(N3078*0.20)+(O3078*0.15)+(P3078*0.15)+(Q3078*0.10)+(R3078*0.10)+(S3078*0.05),2)</f>
        <v/>
      </c>
      <c r="U3078">
        <f>IF(T3078&gt;=4.25,"Critical",IF(T3078&gt;=3.5,"High",IF(T3078&gt;=2,"Medium","Low")))</f>
        <v/>
      </c>
    </row>
    <row r="3079">
      <c r="R3079">
        <f>IFERROR(XLOOKUP(XLOOKUP(D3079,tblReleaseChanges[Change_ID],tblReleaseChanges[Oracle_Severity],""),tblSeverityMap[Severity_Text],tblSeverityMap[Score],0),0)</f>
        <v/>
      </c>
      <c r="T3079">
        <f>ROUND((M3079*0.25)+(N3079*0.20)+(O3079*0.15)+(P3079*0.15)+(Q3079*0.10)+(R3079*0.10)+(S3079*0.05),2)</f>
        <v/>
      </c>
      <c r="U3079">
        <f>IF(T3079&gt;=4.25,"Critical",IF(T3079&gt;=3.5,"High",IF(T3079&gt;=2,"Medium","Low")))</f>
        <v/>
      </c>
    </row>
    <row r="3080">
      <c r="R3080">
        <f>IFERROR(XLOOKUP(XLOOKUP(D3080,tblReleaseChanges[Change_ID],tblReleaseChanges[Oracle_Severity],""),tblSeverityMap[Severity_Text],tblSeverityMap[Score],0),0)</f>
        <v/>
      </c>
      <c r="T3080">
        <f>ROUND((M3080*0.25)+(N3080*0.20)+(O3080*0.15)+(P3080*0.15)+(Q3080*0.10)+(R3080*0.10)+(S3080*0.05),2)</f>
        <v/>
      </c>
      <c r="U3080">
        <f>IF(T3080&gt;=4.25,"Critical",IF(T3080&gt;=3.5,"High",IF(T3080&gt;=2,"Medium","Low")))</f>
        <v/>
      </c>
    </row>
    <row r="3081">
      <c r="R3081">
        <f>IFERROR(XLOOKUP(XLOOKUP(D3081,tblReleaseChanges[Change_ID],tblReleaseChanges[Oracle_Severity],""),tblSeverityMap[Severity_Text],tblSeverityMap[Score],0),0)</f>
        <v/>
      </c>
      <c r="T3081">
        <f>ROUND((M3081*0.25)+(N3081*0.20)+(O3081*0.15)+(P3081*0.15)+(Q3081*0.10)+(R3081*0.10)+(S3081*0.05),2)</f>
        <v/>
      </c>
      <c r="U3081">
        <f>IF(T3081&gt;=4.25,"Critical",IF(T3081&gt;=3.5,"High",IF(T3081&gt;=2,"Medium","Low")))</f>
        <v/>
      </c>
    </row>
    <row r="3082">
      <c r="R3082">
        <f>IFERROR(XLOOKUP(XLOOKUP(D3082,tblReleaseChanges[Change_ID],tblReleaseChanges[Oracle_Severity],""),tblSeverityMap[Severity_Text],tblSeverityMap[Score],0),0)</f>
        <v/>
      </c>
      <c r="T3082">
        <f>ROUND((M3082*0.25)+(N3082*0.20)+(O3082*0.15)+(P3082*0.15)+(Q3082*0.10)+(R3082*0.10)+(S3082*0.05),2)</f>
        <v/>
      </c>
      <c r="U3082">
        <f>IF(T3082&gt;=4.25,"Critical",IF(T3082&gt;=3.5,"High",IF(T3082&gt;=2,"Medium","Low")))</f>
        <v/>
      </c>
    </row>
    <row r="3083">
      <c r="R3083">
        <f>IFERROR(XLOOKUP(XLOOKUP(D3083,tblReleaseChanges[Change_ID],tblReleaseChanges[Oracle_Severity],""),tblSeverityMap[Severity_Text],tblSeverityMap[Score],0),0)</f>
        <v/>
      </c>
      <c r="T3083">
        <f>ROUND((M3083*0.25)+(N3083*0.20)+(O3083*0.15)+(P3083*0.15)+(Q3083*0.10)+(R3083*0.10)+(S3083*0.05),2)</f>
        <v/>
      </c>
      <c r="U3083">
        <f>IF(T3083&gt;=4.25,"Critical",IF(T3083&gt;=3.5,"High",IF(T3083&gt;=2,"Medium","Low")))</f>
        <v/>
      </c>
    </row>
    <row r="3084">
      <c r="R3084">
        <f>IFERROR(XLOOKUP(XLOOKUP(D3084,tblReleaseChanges[Change_ID],tblReleaseChanges[Oracle_Severity],""),tblSeverityMap[Severity_Text],tblSeverityMap[Score],0),0)</f>
        <v/>
      </c>
      <c r="T3084">
        <f>ROUND((M3084*0.25)+(N3084*0.20)+(O3084*0.15)+(P3084*0.15)+(Q3084*0.10)+(R3084*0.10)+(S3084*0.05),2)</f>
        <v/>
      </c>
      <c r="U3084">
        <f>IF(T3084&gt;=4.25,"Critical",IF(T3084&gt;=3.5,"High",IF(T3084&gt;=2,"Medium","Low")))</f>
        <v/>
      </c>
    </row>
    <row r="3085">
      <c r="R3085">
        <f>IFERROR(XLOOKUP(XLOOKUP(D3085,tblReleaseChanges[Change_ID],tblReleaseChanges[Oracle_Severity],""),tblSeverityMap[Severity_Text],tblSeverityMap[Score],0),0)</f>
        <v/>
      </c>
      <c r="T3085">
        <f>ROUND((M3085*0.25)+(N3085*0.20)+(O3085*0.15)+(P3085*0.15)+(Q3085*0.10)+(R3085*0.10)+(S3085*0.05),2)</f>
        <v/>
      </c>
      <c r="U3085">
        <f>IF(T3085&gt;=4.25,"Critical",IF(T3085&gt;=3.5,"High",IF(T3085&gt;=2,"Medium","Low")))</f>
        <v/>
      </c>
    </row>
    <row r="3086">
      <c r="R3086">
        <f>IFERROR(XLOOKUP(XLOOKUP(D3086,tblReleaseChanges[Change_ID],tblReleaseChanges[Oracle_Severity],""),tblSeverityMap[Severity_Text],tblSeverityMap[Score],0),0)</f>
        <v/>
      </c>
      <c r="T3086">
        <f>ROUND((M3086*0.25)+(N3086*0.20)+(O3086*0.15)+(P3086*0.15)+(Q3086*0.10)+(R3086*0.10)+(S3086*0.05),2)</f>
        <v/>
      </c>
      <c r="U3086">
        <f>IF(T3086&gt;=4.25,"Critical",IF(T3086&gt;=3.5,"High",IF(T3086&gt;=2,"Medium","Low")))</f>
        <v/>
      </c>
    </row>
    <row r="3087">
      <c r="R3087">
        <f>IFERROR(XLOOKUP(XLOOKUP(D3087,tblReleaseChanges[Change_ID],tblReleaseChanges[Oracle_Severity],""),tblSeverityMap[Severity_Text],tblSeverityMap[Score],0),0)</f>
        <v/>
      </c>
      <c r="T3087">
        <f>ROUND((M3087*0.25)+(N3087*0.20)+(O3087*0.15)+(P3087*0.15)+(Q3087*0.10)+(R3087*0.10)+(S3087*0.05),2)</f>
        <v/>
      </c>
      <c r="U3087">
        <f>IF(T3087&gt;=4.25,"Critical",IF(T3087&gt;=3.5,"High",IF(T3087&gt;=2,"Medium","Low")))</f>
        <v/>
      </c>
    </row>
    <row r="3088">
      <c r="R3088">
        <f>IFERROR(XLOOKUP(XLOOKUP(D3088,tblReleaseChanges[Change_ID],tblReleaseChanges[Oracle_Severity],""),tblSeverityMap[Severity_Text],tblSeverityMap[Score],0),0)</f>
        <v/>
      </c>
      <c r="T3088">
        <f>ROUND((M3088*0.25)+(N3088*0.20)+(O3088*0.15)+(P3088*0.15)+(Q3088*0.10)+(R3088*0.10)+(S3088*0.05),2)</f>
        <v/>
      </c>
      <c r="U3088">
        <f>IF(T3088&gt;=4.25,"Critical",IF(T3088&gt;=3.5,"High",IF(T3088&gt;=2,"Medium","Low")))</f>
        <v/>
      </c>
    </row>
    <row r="3089">
      <c r="R3089">
        <f>IFERROR(XLOOKUP(XLOOKUP(D3089,tblReleaseChanges[Change_ID],tblReleaseChanges[Oracle_Severity],""),tblSeverityMap[Severity_Text],tblSeverityMap[Score],0),0)</f>
        <v/>
      </c>
      <c r="T3089">
        <f>ROUND((M3089*0.25)+(N3089*0.20)+(O3089*0.15)+(P3089*0.15)+(Q3089*0.10)+(R3089*0.10)+(S3089*0.05),2)</f>
        <v/>
      </c>
      <c r="U3089">
        <f>IF(T3089&gt;=4.25,"Critical",IF(T3089&gt;=3.5,"High",IF(T3089&gt;=2,"Medium","Low")))</f>
        <v/>
      </c>
    </row>
    <row r="3090">
      <c r="R3090">
        <f>IFERROR(XLOOKUP(XLOOKUP(D3090,tblReleaseChanges[Change_ID],tblReleaseChanges[Oracle_Severity],""),tblSeverityMap[Severity_Text],tblSeverityMap[Score],0),0)</f>
        <v/>
      </c>
      <c r="T3090">
        <f>ROUND((M3090*0.25)+(N3090*0.20)+(O3090*0.15)+(P3090*0.15)+(Q3090*0.10)+(R3090*0.10)+(S3090*0.05),2)</f>
        <v/>
      </c>
      <c r="U3090">
        <f>IF(T3090&gt;=4.25,"Critical",IF(T3090&gt;=3.5,"High",IF(T3090&gt;=2,"Medium","Low")))</f>
        <v/>
      </c>
    </row>
    <row r="3091">
      <c r="R3091">
        <f>IFERROR(XLOOKUP(XLOOKUP(D3091,tblReleaseChanges[Change_ID],tblReleaseChanges[Oracle_Severity],""),tblSeverityMap[Severity_Text],tblSeverityMap[Score],0),0)</f>
        <v/>
      </c>
      <c r="T3091">
        <f>ROUND((M3091*0.25)+(N3091*0.20)+(O3091*0.15)+(P3091*0.15)+(Q3091*0.10)+(R3091*0.10)+(S3091*0.05),2)</f>
        <v/>
      </c>
      <c r="U3091">
        <f>IF(T3091&gt;=4.25,"Critical",IF(T3091&gt;=3.5,"High",IF(T3091&gt;=2,"Medium","Low")))</f>
        <v/>
      </c>
    </row>
    <row r="3092">
      <c r="R3092">
        <f>IFERROR(XLOOKUP(XLOOKUP(D3092,tblReleaseChanges[Change_ID],tblReleaseChanges[Oracle_Severity],""),tblSeverityMap[Severity_Text],tblSeverityMap[Score],0),0)</f>
        <v/>
      </c>
      <c r="T3092">
        <f>ROUND((M3092*0.25)+(N3092*0.20)+(O3092*0.15)+(P3092*0.15)+(Q3092*0.10)+(R3092*0.10)+(S3092*0.05),2)</f>
        <v/>
      </c>
      <c r="U3092">
        <f>IF(T3092&gt;=4.25,"Critical",IF(T3092&gt;=3.5,"High",IF(T3092&gt;=2,"Medium","Low")))</f>
        <v/>
      </c>
    </row>
    <row r="3093">
      <c r="R3093">
        <f>IFERROR(XLOOKUP(XLOOKUP(D3093,tblReleaseChanges[Change_ID],tblReleaseChanges[Oracle_Severity],""),tblSeverityMap[Severity_Text],tblSeverityMap[Score],0),0)</f>
        <v/>
      </c>
      <c r="T3093">
        <f>ROUND((M3093*0.25)+(N3093*0.20)+(O3093*0.15)+(P3093*0.15)+(Q3093*0.10)+(R3093*0.10)+(S3093*0.05),2)</f>
        <v/>
      </c>
      <c r="U3093">
        <f>IF(T3093&gt;=4.25,"Critical",IF(T3093&gt;=3.5,"High",IF(T3093&gt;=2,"Medium","Low")))</f>
        <v/>
      </c>
    </row>
    <row r="3094">
      <c r="R3094">
        <f>IFERROR(XLOOKUP(XLOOKUP(D3094,tblReleaseChanges[Change_ID],tblReleaseChanges[Oracle_Severity],""),tblSeverityMap[Severity_Text],tblSeverityMap[Score],0),0)</f>
        <v/>
      </c>
      <c r="T3094">
        <f>ROUND((M3094*0.25)+(N3094*0.20)+(O3094*0.15)+(P3094*0.15)+(Q3094*0.10)+(R3094*0.10)+(S3094*0.05),2)</f>
        <v/>
      </c>
      <c r="U3094">
        <f>IF(T3094&gt;=4.25,"Critical",IF(T3094&gt;=3.5,"High",IF(T3094&gt;=2,"Medium","Low")))</f>
        <v/>
      </c>
    </row>
    <row r="3095">
      <c r="R3095">
        <f>IFERROR(XLOOKUP(XLOOKUP(D3095,tblReleaseChanges[Change_ID],tblReleaseChanges[Oracle_Severity],""),tblSeverityMap[Severity_Text],tblSeverityMap[Score],0),0)</f>
        <v/>
      </c>
      <c r="T3095">
        <f>ROUND((M3095*0.25)+(N3095*0.20)+(O3095*0.15)+(P3095*0.15)+(Q3095*0.10)+(R3095*0.10)+(S3095*0.05),2)</f>
        <v/>
      </c>
      <c r="U3095">
        <f>IF(T3095&gt;=4.25,"Critical",IF(T3095&gt;=3.5,"High",IF(T3095&gt;=2,"Medium","Low")))</f>
        <v/>
      </c>
    </row>
    <row r="3096">
      <c r="R3096">
        <f>IFERROR(XLOOKUP(XLOOKUP(D3096,tblReleaseChanges[Change_ID],tblReleaseChanges[Oracle_Severity],""),tblSeverityMap[Severity_Text],tblSeverityMap[Score],0),0)</f>
        <v/>
      </c>
      <c r="T3096">
        <f>ROUND((M3096*0.25)+(N3096*0.20)+(O3096*0.15)+(P3096*0.15)+(Q3096*0.10)+(R3096*0.10)+(S3096*0.05),2)</f>
        <v/>
      </c>
      <c r="U3096">
        <f>IF(T3096&gt;=4.25,"Critical",IF(T3096&gt;=3.5,"High",IF(T3096&gt;=2,"Medium","Low")))</f>
        <v/>
      </c>
    </row>
    <row r="3097">
      <c r="R3097">
        <f>IFERROR(XLOOKUP(XLOOKUP(D3097,tblReleaseChanges[Change_ID],tblReleaseChanges[Oracle_Severity],""),tblSeverityMap[Severity_Text],tblSeverityMap[Score],0),0)</f>
        <v/>
      </c>
      <c r="T3097">
        <f>ROUND((M3097*0.25)+(N3097*0.20)+(O3097*0.15)+(P3097*0.15)+(Q3097*0.10)+(R3097*0.10)+(S3097*0.05),2)</f>
        <v/>
      </c>
      <c r="U3097">
        <f>IF(T3097&gt;=4.25,"Critical",IF(T3097&gt;=3.5,"High",IF(T3097&gt;=2,"Medium","Low")))</f>
        <v/>
      </c>
    </row>
    <row r="3098">
      <c r="R3098">
        <f>IFERROR(XLOOKUP(XLOOKUP(D3098,tblReleaseChanges[Change_ID],tblReleaseChanges[Oracle_Severity],""),tblSeverityMap[Severity_Text],tblSeverityMap[Score],0),0)</f>
        <v/>
      </c>
      <c r="T3098">
        <f>ROUND((M3098*0.25)+(N3098*0.20)+(O3098*0.15)+(P3098*0.15)+(Q3098*0.10)+(R3098*0.10)+(S3098*0.05),2)</f>
        <v/>
      </c>
      <c r="U3098">
        <f>IF(T3098&gt;=4.25,"Critical",IF(T3098&gt;=3.5,"High",IF(T3098&gt;=2,"Medium","Low")))</f>
        <v/>
      </c>
    </row>
    <row r="3099">
      <c r="R3099">
        <f>IFERROR(XLOOKUP(XLOOKUP(D3099,tblReleaseChanges[Change_ID],tblReleaseChanges[Oracle_Severity],""),tblSeverityMap[Severity_Text],tblSeverityMap[Score],0),0)</f>
        <v/>
      </c>
      <c r="T3099">
        <f>ROUND((M3099*0.25)+(N3099*0.20)+(O3099*0.15)+(P3099*0.15)+(Q3099*0.10)+(R3099*0.10)+(S3099*0.05),2)</f>
        <v/>
      </c>
      <c r="U3099">
        <f>IF(T3099&gt;=4.25,"Critical",IF(T3099&gt;=3.5,"High",IF(T3099&gt;=2,"Medium","Low")))</f>
        <v/>
      </c>
    </row>
    <row r="3100">
      <c r="R3100">
        <f>IFERROR(XLOOKUP(XLOOKUP(D3100,tblReleaseChanges[Change_ID],tblReleaseChanges[Oracle_Severity],""),tblSeverityMap[Severity_Text],tblSeverityMap[Score],0),0)</f>
        <v/>
      </c>
      <c r="T3100">
        <f>ROUND((M3100*0.25)+(N3100*0.20)+(O3100*0.15)+(P3100*0.15)+(Q3100*0.10)+(R3100*0.10)+(S3100*0.05),2)</f>
        <v/>
      </c>
      <c r="U3100">
        <f>IF(T3100&gt;=4.25,"Critical",IF(T3100&gt;=3.5,"High",IF(T3100&gt;=2,"Medium","Low")))</f>
        <v/>
      </c>
    </row>
    <row r="3101">
      <c r="R3101">
        <f>IFERROR(XLOOKUP(XLOOKUP(D3101,tblReleaseChanges[Change_ID],tblReleaseChanges[Oracle_Severity],""),tblSeverityMap[Severity_Text],tblSeverityMap[Score],0),0)</f>
        <v/>
      </c>
      <c r="T3101">
        <f>ROUND((M3101*0.25)+(N3101*0.20)+(O3101*0.15)+(P3101*0.15)+(Q3101*0.10)+(R3101*0.10)+(S3101*0.05),2)</f>
        <v/>
      </c>
      <c r="U3101">
        <f>IF(T3101&gt;=4.25,"Critical",IF(T3101&gt;=3.5,"High",IF(T3101&gt;=2,"Medium","Low")))</f>
        <v/>
      </c>
    </row>
    <row r="3102">
      <c r="R3102">
        <f>IFERROR(XLOOKUP(XLOOKUP(D3102,tblReleaseChanges[Change_ID],tblReleaseChanges[Oracle_Severity],""),tblSeverityMap[Severity_Text],tblSeverityMap[Score],0),0)</f>
        <v/>
      </c>
      <c r="T3102">
        <f>ROUND((M3102*0.25)+(N3102*0.20)+(O3102*0.15)+(P3102*0.15)+(Q3102*0.10)+(R3102*0.10)+(S3102*0.05),2)</f>
        <v/>
      </c>
      <c r="U3102">
        <f>IF(T3102&gt;=4.25,"Critical",IF(T3102&gt;=3.5,"High",IF(T3102&gt;=2,"Medium","Low")))</f>
        <v/>
      </c>
    </row>
    <row r="3103">
      <c r="R3103">
        <f>IFERROR(XLOOKUP(XLOOKUP(D3103,tblReleaseChanges[Change_ID],tblReleaseChanges[Oracle_Severity],""),tblSeverityMap[Severity_Text],tblSeverityMap[Score],0),0)</f>
        <v/>
      </c>
      <c r="T3103">
        <f>ROUND((M3103*0.25)+(N3103*0.20)+(O3103*0.15)+(P3103*0.15)+(Q3103*0.10)+(R3103*0.10)+(S3103*0.05),2)</f>
        <v/>
      </c>
      <c r="U3103">
        <f>IF(T3103&gt;=4.25,"Critical",IF(T3103&gt;=3.5,"High",IF(T3103&gt;=2,"Medium","Low")))</f>
        <v/>
      </c>
    </row>
    <row r="3104">
      <c r="R3104">
        <f>IFERROR(XLOOKUP(XLOOKUP(D3104,tblReleaseChanges[Change_ID],tblReleaseChanges[Oracle_Severity],""),tblSeverityMap[Severity_Text],tblSeverityMap[Score],0),0)</f>
        <v/>
      </c>
      <c r="T3104">
        <f>ROUND((M3104*0.25)+(N3104*0.20)+(O3104*0.15)+(P3104*0.15)+(Q3104*0.10)+(R3104*0.10)+(S3104*0.05),2)</f>
        <v/>
      </c>
      <c r="U3104">
        <f>IF(T3104&gt;=4.25,"Critical",IF(T3104&gt;=3.5,"High",IF(T3104&gt;=2,"Medium","Low")))</f>
        <v/>
      </c>
    </row>
    <row r="3105">
      <c r="R3105">
        <f>IFERROR(XLOOKUP(XLOOKUP(D3105,tblReleaseChanges[Change_ID],tblReleaseChanges[Oracle_Severity],""),tblSeverityMap[Severity_Text],tblSeverityMap[Score],0),0)</f>
        <v/>
      </c>
      <c r="T3105">
        <f>ROUND((M3105*0.25)+(N3105*0.20)+(O3105*0.15)+(P3105*0.15)+(Q3105*0.10)+(R3105*0.10)+(S3105*0.05),2)</f>
        <v/>
      </c>
      <c r="U3105">
        <f>IF(T3105&gt;=4.25,"Critical",IF(T3105&gt;=3.5,"High",IF(T3105&gt;=2,"Medium","Low")))</f>
        <v/>
      </c>
    </row>
    <row r="3106">
      <c r="R3106">
        <f>IFERROR(XLOOKUP(XLOOKUP(D3106,tblReleaseChanges[Change_ID],tblReleaseChanges[Oracle_Severity],""),tblSeverityMap[Severity_Text],tblSeverityMap[Score],0),0)</f>
        <v/>
      </c>
      <c r="T3106">
        <f>ROUND((M3106*0.25)+(N3106*0.20)+(O3106*0.15)+(P3106*0.15)+(Q3106*0.10)+(R3106*0.10)+(S3106*0.05),2)</f>
        <v/>
      </c>
      <c r="U3106">
        <f>IF(T3106&gt;=4.25,"Critical",IF(T3106&gt;=3.5,"High",IF(T3106&gt;=2,"Medium","Low")))</f>
        <v/>
      </c>
    </row>
    <row r="3107">
      <c r="R3107">
        <f>IFERROR(XLOOKUP(XLOOKUP(D3107,tblReleaseChanges[Change_ID],tblReleaseChanges[Oracle_Severity],""),tblSeverityMap[Severity_Text],tblSeverityMap[Score],0),0)</f>
        <v/>
      </c>
      <c r="T3107">
        <f>ROUND((M3107*0.25)+(N3107*0.20)+(O3107*0.15)+(P3107*0.15)+(Q3107*0.10)+(R3107*0.10)+(S3107*0.05),2)</f>
        <v/>
      </c>
      <c r="U3107">
        <f>IF(T3107&gt;=4.25,"Critical",IF(T3107&gt;=3.5,"High",IF(T3107&gt;=2,"Medium","Low")))</f>
        <v/>
      </c>
    </row>
    <row r="3108">
      <c r="R3108">
        <f>IFERROR(XLOOKUP(XLOOKUP(D3108,tblReleaseChanges[Change_ID],tblReleaseChanges[Oracle_Severity],""),tblSeverityMap[Severity_Text],tblSeverityMap[Score],0),0)</f>
        <v/>
      </c>
      <c r="T3108">
        <f>ROUND((M3108*0.25)+(N3108*0.20)+(O3108*0.15)+(P3108*0.15)+(Q3108*0.10)+(R3108*0.10)+(S3108*0.05),2)</f>
        <v/>
      </c>
      <c r="U3108">
        <f>IF(T3108&gt;=4.25,"Critical",IF(T3108&gt;=3.5,"High",IF(T3108&gt;=2,"Medium","Low")))</f>
        <v/>
      </c>
    </row>
    <row r="3109">
      <c r="R3109">
        <f>IFERROR(XLOOKUP(XLOOKUP(D3109,tblReleaseChanges[Change_ID],tblReleaseChanges[Oracle_Severity],""),tblSeverityMap[Severity_Text],tblSeverityMap[Score],0),0)</f>
        <v/>
      </c>
      <c r="T3109">
        <f>ROUND((M3109*0.25)+(N3109*0.20)+(O3109*0.15)+(P3109*0.15)+(Q3109*0.10)+(R3109*0.10)+(S3109*0.05),2)</f>
        <v/>
      </c>
      <c r="U3109">
        <f>IF(T3109&gt;=4.25,"Critical",IF(T3109&gt;=3.5,"High",IF(T3109&gt;=2,"Medium","Low")))</f>
        <v/>
      </c>
    </row>
    <row r="3110">
      <c r="R3110">
        <f>IFERROR(XLOOKUP(XLOOKUP(D3110,tblReleaseChanges[Change_ID],tblReleaseChanges[Oracle_Severity],""),tblSeverityMap[Severity_Text],tblSeverityMap[Score],0),0)</f>
        <v/>
      </c>
      <c r="T3110">
        <f>ROUND((M3110*0.25)+(N3110*0.20)+(O3110*0.15)+(P3110*0.15)+(Q3110*0.10)+(R3110*0.10)+(S3110*0.05),2)</f>
        <v/>
      </c>
      <c r="U3110">
        <f>IF(T3110&gt;=4.25,"Critical",IF(T3110&gt;=3.5,"High",IF(T3110&gt;=2,"Medium","Low")))</f>
        <v/>
      </c>
    </row>
    <row r="3111">
      <c r="R3111">
        <f>IFERROR(XLOOKUP(XLOOKUP(D3111,tblReleaseChanges[Change_ID],tblReleaseChanges[Oracle_Severity],""),tblSeverityMap[Severity_Text],tblSeverityMap[Score],0),0)</f>
        <v/>
      </c>
      <c r="T3111">
        <f>ROUND((M3111*0.25)+(N3111*0.20)+(O3111*0.15)+(P3111*0.15)+(Q3111*0.10)+(R3111*0.10)+(S3111*0.05),2)</f>
        <v/>
      </c>
      <c r="U3111">
        <f>IF(T3111&gt;=4.25,"Critical",IF(T3111&gt;=3.5,"High",IF(T3111&gt;=2,"Medium","Low")))</f>
        <v/>
      </c>
    </row>
    <row r="3112">
      <c r="R3112">
        <f>IFERROR(XLOOKUP(XLOOKUP(D3112,tblReleaseChanges[Change_ID],tblReleaseChanges[Oracle_Severity],""),tblSeverityMap[Severity_Text],tblSeverityMap[Score],0),0)</f>
        <v/>
      </c>
      <c r="T3112">
        <f>ROUND((M3112*0.25)+(N3112*0.20)+(O3112*0.15)+(P3112*0.15)+(Q3112*0.10)+(R3112*0.10)+(S3112*0.05),2)</f>
        <v/>
      </c>
      <c r="U3112">
        <f>IF(T3112&gt;=4.25,"Critical",IF(T3112&gt;=3.5,"High",IF(T3112&gt;=2,"Medium","Low")))</f>
        <v/>
      </c>
    </row>
    <row r="3113">
      <c r="R3113">
        <f>IFERROR(XLOOKUP(XLOOKUP(D3113,tblReleaseChanges[Change_ID],tblReleaseChanges[Oracle_Severity],""),tblSeverityMap[Severity_Text],tblSeverityMap[Score],0),0)</f>
        <v/>
      </c>
      <c r="T3113">
        <f>ROUND((M3113*0.25)+(N3113*0.20)+(O3113*0.15)+(P3113*0.15)+(Q3113*0.10)+(R3113*0.10)+(S3113*0.05),2)</f>
        <v/>
      </c>
      <c r="U3113">
        <f>IF(T3113&gt;=4.25,"Critical",IF(T3113&gt;=3.5,"High",IF(T3113&gt;=2,"Medium","Low")))</f>
        <v/>
      </c>
    </row>
    <row r="3114">
      <c r="R3114">
        <f>IFERROR(XLOOKUP(XLOOKUP(D3114,tblReleaseChanges[Change_ID],tblReleaseChanges[Oracle_Severity],""),tblSeverityMap[Severity_Text],tblSeverityMap[Score],0),0)</f>
        <v/>
      </c>
      <c r="T3114">
        <f>ROUND((M3114*0.25)+(N3114*0.20)+(O3114*0.15)+(P3114*0.15)+(Q3114*0.10)+(R3114*0.10)+(S3114*0.05),2)</f>
        <v/>
      </c>
      <c r="U3114">
        <f>IF(T3114&gt;=4.25,"Critical",IF(T3114&gt;=3.5,"High",IF(T3114&gt;=2,"Medium","Low")))</f>
        <v/>
      </c>
    </row>
    <row r="3115">
      <c r="R3115">
        <f>IFERROR(XLOOKUP(XLOOKUP(D3115,tblReleaseChanges[Change_ID],tblReleaseChanges[Oracle_Severity],""),tblSeverityMap[Severity_Text],tblSeverityMap[Score],0),0)</f>
        <v/>
      </c>
      <c r="T3115">
        <f>ROUND((M3115*0.25)+(N3115*0.20)+(O3115*0.15)+(P3115*0.15)+(Q3115*0.10)+(R3115*0.10)+(S3115*0.05),2)</f>
        <v/>
      </c>
      <c r="U3115">
        <f>IF(T3115&gt;=4.25,"Critical",IF(T3115&gt;=3.5,"High",IF(T3115&gt;=2,"Medium","Low")))</f>
        <v/>
      </c>
    </row>
    <row r="3116">
      <c r="R3116">
        <f>IFERROR(XLOOKUP(XLOOKUP(D3116,tblReleaseChanges[Change_ID],tblReleaseChanges[Oracle_Severity],""),tblSeverityMap[Severity_Text],tblSeverityMap[Score],0),0)</f>
        <v/>
      </c>
      <c r="T3116">
        <f>ROUND((M3116*0.25)+(N3116*0.20)+(O3116*0.15)+(P3116*0.15)+(Q3116*0.10)+(R3116*0.10)+(S3116*0.05),2)</f>
        <v/>
      </c>
      <c r="U3116">
        <f>IF(T3116&gt;=4.25,"Critical",IF(T3116&gt;=3.5,"High",IF(T3116&gt;=2,"Medium","Low")))</f>
        <v/>
      </c>
    </row>
    <row r="3117">
      <c r="R3117">
        <f>IFERROR(XLOOKUP(XLOOKUP(D3117,tblReleaseChanges[Change_ID],tblReleaseChanges[Oracle_Severity],""),tblSeverityMap[Severity_Text],tblSeverityMap[Score],0),0)</f>
        <v/>
      </c>
      <c r="T3117">
        <f>ROUND((M3117*0.25)+(N3117*0.20)+(O3117*0.15)+(P3117*0.15)+(Q3117*0.10)+(R3117*0.10)+(S3117*0.05),2)</f>
        <v/>
      </c>
      <c r="U3117">
        <f>IF(T3117&gt;=4.25,"Critical",IF(T3117&gt;=3.5,"High",IF(T3117&gt;=2,"Medium","Low")))</f>
        <v/>
      </c>
    </row>
    <row r="3118">
      <c r="R3118">
        <f>IFERROR(XLOOKUP(XLOOKUP(D3118,tblReleaseChanges[Change_ID],tblReleaseChanges[Oracle_Severity],""),tblSeverityMap[Severity_Text],tblSeverityMap[Score],0),0)</f>
        <v/>
      </c>
      <c r="T3118">
        <f>ROUND((M3118*0.25)+(N3118*0.20)+(O3118*0.15)+(P3118*0.15)+(Q3118*0.10)+(R3118*0.10)+(S3118*0.05),2)</f>
        <v/>
      </c>
      <c r="U3118">
        <f>IF(T3118&gt;=4.25,"Critical",IF(T3118&gt;=3.5,"High",IF(T3118&gt;=2,"Medium","Low")))</f>
        <v/>
      </c>
    </row>
    <row r="3119">
      <c r="R3119">
        <f>IFERROR(XLOOKUP(XLOOKUP(D3119,tblReleaseChanges[Change_ID],tblReleaseChanges[Oracle_Severity],""),tblSeverityMap[Severity_Text],tblSeverityMap[Score],0),0)</f>
        <v/>
      </c>
      <c r="T3119">
        <f>ROUND((M3119*0.25)+(N3119*0.20)+(O3119*0.15)+(P3119*0.15)+(Q3119*0.10)+(R3119*0.10)+(S3119*0.05),2)</f>
        <v/>
      </c>
      <c r="U3119">
        <f>IF(T3119&gt;=4.25,"Critical",IF(T3119&gt;=3.5,"High",IF(T3119&gt;=2,"Medium","Low")))</f>
        <v/>
      </c>
    </row>
    <row r="3120">
      <c r="R3120">
        <f>IFERROR(XLOOKUP(XLOOKUP(D3120,tblReleaseChanges[Change_ID],tblReleaseChanges[Oracle_Severity],""),tblSeverityMap[Severity_Text],tblSeverityMap[Score],0),0)</f>
        <v/>
      </c>
      <c r="T3120">
        <f>ROUND((M3120*0.25)+(N3120*0.20)+(O3120*0.15)+(P3120*0.15)+(Q3120*0.10)+(R3120*0.10)+(S3120*0.05),2)</f>
        <v/>
      </c>
      <c r="U3120">
        <f>IF(T3120&gt;=4.25,"Critical",IF(T3120&gt;=3.5,"High",IF(T3120&gt;=2,"Medium","Low")))</f>
        <v/>
      </c>
    </row>
    <row r="3121">
      <c r="R3121">
        <f>IFERROR(XLOOKUP(XLOOKUP(D3121,tblReleaseChanges[Change_ID],tblReleaseChanges[Oracle_Severity],""),tblSeverityMap[Severity_Text],tblSeverityMap[Score],0),0)</f>
        <v/>
      </c>
      <c r="T3121">
        <f>ROUND((M3121*0.25)+(N3121*0.20)+(O3121*0.15)+(P3121*0.15)+(Q3121*0.10)+(R3121*0.10)+(S3121*0.05),2)</f>
        <v/>
      </c>
      <c r="U3121">
        <f>IF(T3121&gt;=4.25,"Critical",IF(T3121&gt;=3.5,"High",IF(T3121&gt;=2,"Medium","Low")))</f>
        <v/>
      </c>
    </row>
    <row r="3122">
      <c r="R3122">
        <f>IFERROR(XLOOKUP(XLOOKUP(D3122,tblReleaseChanges[Change_ID],tblReleaseChanges[Oracle_Severity],""),tblSeverityMap[Severity_Text],tblSeverityMap[Score],0),0)</f>
        <v/>
      </c>
      <c r="T3122">
        <f>ROUND((M3122*0.25)+(N3122*0.20)+(O3122*0.15)+(P3122*0.15)+(Q3122*0.10)+(R3122*0.10)+(S3122*0.05),2)</f>
        <v/>
      </c>
      <c r="U3122">
        <f>IF(T3122&gt;=4.25,"Critical",IF(T3122&gt;=3.5,"High",IF(T3122&gt;=2,"Medium","Low")))</f>
        <v/>
      </c>
    </row>
    <row r="3123">
      <c r="R3123">
        <f>IFERROR(XLOOKUP(XLOOKUP(D3123,tblReleaseChanges[Change_ID],tblReleaseChanges[Oracle_Severity],""),tblSeverityMap[Severity_Text],tblSeverityMap[Score],0),0)</f>
        <v/>
      </c>
      <c r="T3123">
        <f>ROUND((M3123*0.25)+(N3123*0.20)+(O3123*0.15)+(P3123*0.15)+(Q3123*0.10)+(R3123*0.10)+(S3123*0.05),2)</f>
        <v/>
      </c>
      <c r="U3123">
        <f>IF(T3123&gt;=4.25,"Critical",IF(T3123&gt;=3.5,"High",IF(T3123&gt;=2,"Medium","Low")))</f>
        <v/>
      </c>
    </row>
    <row r="3124">
      <c r="R3124">
        <f>IFERROR(XLOOKUP(XLOOKUP(D3124,tblReleaseChanges[Change_ID],tblReleaseChanges[Oracle_Severity],""),tblSeverityMap[Severity_Text],tblSeverityMap[Score],0),0)</f>
        <v/>
      </c>
      <c r="T3124">
        <f>ROUND((M3124*0.25)+(N3124*0.20)+(O3124*0.15)+(P3124*0.15)+(Q3124*0.10)+(R3124*0.10)+(S3124*0.05),2)</f>
        <v/>
      </c>
      <c r="U3124">
        <f>IF(T3124&gt;=4.25,"Critical",IF(T3124&gt;=3.5,"High",IF(T3124&gt;=2,"Medium","Low")))</f>
        <v/>
      </c>
    </row>
    <row r="3125">
      <c r="R3125">
        <f>IFERROR(XLOOKUP(XLOOKUP(D3125,tblReleaseChanges[Change_ID],tblReleaseChanges[Oracle_Severity],""),tblSeverityMap[Severity_Text],tblSeverityMap[Score],0),0)</f>
        <v/>
      </c>
      <c r="T3125">
        <f>ROUND((M3125*0.25)+(N3125*0.20)+(O3125*0.15)+(P3125*0.15)+(Q3125*0.10)+(R3125*0.10)+(S3125*0.05),2)</f>
        <v/>
      </c>
      <c r="U3125">
        <f>IF(T3125&gt;=4.25,"Critical",IF(T3125&gt;=3.5,"High",IF(T3125&gt;=2,"Medium","Low")))</f>
        <v/>
      </c>
    </row>
    <row r="3126">
      <c r="R3126">
        <f>IFERROR(XLOOKUP(XLOOKUP(D3126,tblReleaseChanges[Change_ID],tblReleaseChanges[Oracle_Severity],""),tblSeverityMap[Severity_Text],tblSeverityMap[Score],0),0)</f>
        <v/>
      </c>
      <c r="T3126">
        <f>ROUND((M3126*0.25)+(N3126*0.20)+(O3126*0.15)+(P3126*0.15)+(Q3126*0.10)+(R3126*0.10)+(S3126*0.05),2)</f>
        <v/>
      </c>
      <c r="U3126">
        <f>IF(T3126&gt;=4.25,"Critical",IF(T3126&gt;=3.5,"High",IF(T3126&gt;=2,"Medium","Low")))</f>
        <v/>
      </c>
    </row>
    <row r="3127">
      <c r="R3127">
        <f>IFERROR(XLOOKUP(XLOOKUP(D3127,tblReleaseChanges[Change_ID],tblReleaseChanges[Oracle_Severity],""),tblSeverityMap[Severity_Text],tblSeverityMap[Score],0),0)</f>
        <v/>
      </c>
      <c r="T3127">
        <f>ROUND((M3127*0.25)+(N3127*0.20)+(O3127*0.15)+(P3127*0.15)+(Q3127*0.10)+(R3127*0.10)+(S3127*0.05),2)</f>
        <v/>
      </c>
      <c r="U3127">
        <f>IF(T3127&gt;=4.25,"Critical",IF(T3127&gt;=3.5,"High",IF(T3127&gt;=2,"Medium","Low")))</f>
        <v/>
      </c>
    </row>
    <row r="3128">
      <c r="R3128">
        <f>IFERROR(XLOOKUP(XLOOKUP(D3128,tblReleaseChanges[Change_ID],tblReleaseChanges[Oracle_Severity],""),tblSeverityMap[Severity_Text],tblSeverityMap[Score],0),0)</f>
        <v/>
      </c>
      <c r="T3128">
        <f>ROUND((M3128*0.25)+(N3128*0.20)+(O3128*0.15)+(P3128*0.15)+(Q3128*0.10)+(R3128*0.10)+(S3128*0.05),2)</f>
        <v/>
      </c>
      <c r="U3128">
        <f>IF(T3128&gt;=4.25,"Critical",IF(T3128&gt;=3.5,"High",IF(T3128&gt;=2,"Medium","Low")))</f>
        <v/>
      </c>
    </row>
    <row r="3129">
      <c r="R3129">
        <f>IFERROR(XLOOKUP(XLOOKUP(D3129,tblReleaseChanges[Change_ID],tblReleaseChanges[Oracle_Severity],""),tblSeverityMap[Severity_Text],tblSeverityMap[Score],0),0)</f>
        <v/>
      </c>
      <c r="T3129">
        <f>ROUND((M3129*0.25)+(N3129*0.20)+(O3129*0.15)+(P3129*0.15)+(Q3129*0.10)+(R3129*0.10)+(S3129*0.05),2)</f>
        <v/>
      </c>
      <c r="U3129">
        <f>IF(T3129&gt;=4.25,"Critical",IF(T3129&gt;=3.5,"High",IF(T3129&gt;=2,"Medium","Low")))</f>
        <v/>
      </c>
    </row>
    <row r="3130">
      <c r="R3130">
        <f>IFERROR(XLOOKUP(XLOOKUP(D3130,tblReleaseChanges[Change_ID],tblReleaseChanges[Oracle_Severity],""),tblSeverityMap[Severity_Text],tblSeverityMap[Score],0),0)</f>
        <v/>
      </c>
      <c r="T3130">
        <f>ROUND((M3130*0.25)+(N3130*0.20)+(O3130*0.15)+(P3130*0.15)+(Q3130*0.10)+(R3130*0.10)+(S3130*0.05),2)</f>
        <v/>
      </c>
      <c r="U3130">
        <f>IF(T3130&gt;=4.25,"Critical",IF(T3130&gt;=3.5,"High",IF(T3130&gt;=2,"Medium","Low")))</f>
        <v/>
      </c>
    </row>
    <row r="3131">
      <c r="R3131">
        <f>IFERROR(XLOOKUP(XLOOKUP(D3131,tblReleaseChanges[Change_ID],tblReleaseChanges[Oracle_Severity],""),tblSeverityMap[Severity_Text],tblSeverityMap[Score],0),0)</f>
        <v/>
      </c>
      <c r="T3131">
        <f>ROUND((M3131*0.25)+(N3131*0.20)+(O3131*0.15)+(P3131*0.15)+(Q3131*0.10)+(R3131*0.10)+(S3131*0.05),2)</f>
        <v/>
      </c>
      <c r="U3131">
        <f>IF(T3131&gt;=4.25,"Critical",IF(T3131&gt;=3.5,"High",IF(T3131&gt;=2,"Medium","Low")))</f>
        <v/>
      </c>
    </row>
    <row r="3132">
      <c r="R3132">
        <f>IFERROR(XLOOKUP(XLOOKUP(D3132,tblReleaseChanges[Change_ID],tblReleaseChanges[Oracle_Severity],""),tblSeverityMap[Severity_Text],tblSeverityMap[Score],0),0)</f>
        <v/>
      </c>
      <c r="T3132">
        <f>ROUND((M3132*0.25)+(N3132*0.20)+(O3132*0.15)+(P3132*0.15)+(Q3132*0.10)+(R3132*0.10)+(S3132*0.05),2)</f>
        <v/>
      </c>
      <c r="U3132">
        <f>IF(T3132&gt;=4.25,"Critical",IF(T3132&gt;=3.5,"High",IF(T3132&gt;=2,"Medium","Low")))</f>
        <v/>
      </c>
    </row>
    <row r="3133">
      <c r="R3133">
        <f>IFERROR(XLOOKUP(XLOOKUP(D3133,tblReleaseChanges[Change_ID],tblReleaseChanges[Oracle_Severity],""),tblSeverityMap[Severity_Text],tblSeverityMap[Score],0),0)</f>
        <v/>
      </c>
      <c r="T3133">
        <f>ROUND((M3133*0.25)+(N3133*0.20)+(O3133*0.15)+(P3133*0.15)+(Q3133*0.10)+(R3133*0.10)+(S3133*0.05),2)</f>
        <v/>
      </c>
      <c r="U3133">
        <f>IF(T3133&gt;=4.25,"Critical",IF(T3133&gt;=3.5,"High",IF(T3133&gt;=2,"Medium","Low")))</f>
        <v/>
      </c>
    </row>
    <row r="3134">
      <c r="R3134">
        <f>IFERROR(XLOOKUP(XLOOKUP(D3134,tblReleaseChanges[Change_ID],tblReleaseChanges[Oracle_Severity],""),tblSeverityMap[Severity_Text],tblSeverityMap[Score],0),0)</f>
        <v/>
      </c>
      <c r="T3134">
        <f>ROUND((M3134*0.25)+(N3134*0.20)+(O3134*0.15)+(P3134*0.15)+(Q3134*0.10)+(R3134*0.10)+(S3134*0.05),2)</f>
        <v/>
      </c>
      <c r="U3134">
        <f>IF(T3134&gt;=4.25,"Critical",IF(T3134&gt;=3.5,"High",IF(T3134&gt;=2,"Medium","Low")))</f>
        <v/>
      </c>
    </row>
    <row r="3135">
      <c r="R3135">
        <f>IFERROR(XLOOKUP(XLOOKUP(D3135,tblReleaseChanges[Change_ID],tblReleaseChanges[Oracle_Severity],""),tblSeverityMap[Severity_Text],tblSeverityMap[Score],0),0)</f>
        <v/>
      </c>
      <c r="T3135">
        <f>ROUND((M3135*0.25)+(N3135*0.20)+(O3135*0.15)+(P3135*0.15)+(Q3135*0.10)+(R3135*0.10)+(S3135*0.05),2)</f>
        <v/>
      </c>
      <c r="U3135">
        <f>IF(T3135&gt;=4.25,"Critical",IF(T3135&gt;=3.5,"High",IF(T3135&gt;=2,"Medium","Low")))</f>
        <v/>
      </c>
    </row>
    <row r="3136">
      <c r="R3136">
        <f>IFERROR(XLOOKUP(XLOOKUP(D3136,tblReleaseChanges[Change_ID],tblReleaseChanges[Oracle_Severity],""),tblSeverityMap[Severity_Text],tblSeverityMap[Score],0),0)</f>
        <v/>
      </c>
      <c r="T3136">
        <f>ROUND((M3136*0.25)+(N3136*0.20)+(O3136*0.15)+(P3136*0.15)+(Q3136*0.10)+(R3136*0.10)+(S3136*0.05),2)</f>
        <v/>
      </c>
      <c r="U3136">
        <f>IF(T3136&gt;=4.25,"Critical",IF(T3136&gt;=3.5,"High",IF(T3136&gt;=2,"Medium","Low")))</f>
        <v/>
      </c>
    </row>
    <row r="3137">
      <c r="R3137">
        <f>IFERROR(XLOOKUP(XLOOKUP(D3137,tblReleaseChanges[Change_ID],tblReleaseChanges[Oracle_Severity],""),tblSeverityMap[Severity_Text],tblSeverityMap[Score],0),0)</f>
        <v/>
      </c>
      <c r="T3137">
        <f>ROUND((M3137*0.25)+(N3137*0.20)+(O3137*0.15)+(P3137*0.15)+(Q3137*0.10)+(R3137*0.10)+(S3137*0.05),2)</f>
        <v/>
      </c>
      <c r="U3137">
        <f>IF(T3137&gt;=4.25,"Critical",IF(T3137&gt;=3.5,"High",IF(T3137&gt;=2,"Medium","Low")))</f>
        <v/>
      </c>
    </row>
    <row r="3138">
      <c r="R3138">
        <f>IFERROR(XLOOKUP(XLOOKUP(D3138,tblReleaseChanges[Change_ID],tblReleaseChanges[Oracle_Severity],""),tblSeverityMap[Severity_Text],tblSeverityMap[Score],0),0)</f>
        <v/>
      </c>
      <c r="T3138">
        <f>ROUND((M3138*0.25)+(N3138*0.20)+(O3138*0.15)+(P3138*0.15)+(Q3138*0.10)+(R3138*0.10)+(S3138*0.05),2)</f>
        <v/>
      </c>
      <c r="U3138">
        <f>IF(T3138&gt;=4.25,"Critical",IF(T3138&gt;=3.5,"High",IF(T3138&gt;=2,"Medium","Low")))</f>
        <v/>
      </c>
    </row>
    <row r="3139">
      <c r="R3139">
        <f>IFERROR(XLOOKUP(XLOOKUP(D3139,tblReleaseChanges[Change_ID],tblReleaseChanges[Oracle_Severity],""),tblSeverityMap[Severity_Text],tblSeverityMap[Score],0),0)</f>
        <v/>
      </c>
      <c r="T3139">
        <f>ROUND((M3139*0.25)+(N3139*0.20)+(O3139*0.15)+(P3139*0.15)+(Q3139*0.10)+(R3139*0.10)+(S3139*0.05),2)</f>
        <v/>
      </c>
      <c r="U3139">
        <f>IF(T3139&gt;=4.25,"Critical",IF(T3139&gt;=3.5,"High",IF(T3139&gt;=2,"Medium","Low")))</f>
        <v/>
      </c>
    </row>
    <row r="3140">
      <c r="R3140">
        <f>IFERROR(XLOOKUP(XLOOKUP(D3140,tblReleaseChanges[Change_ID],tblReleaseChanges[Oracle_Severity],""),tblSeverityMap[Severity_Text],tblSeverityMap[Score],0),0)</f>
        <v/>
      </c>
      <c r="T3140">
        <f>ROUND((M3140*0.25)+(N3140*0.20)+(O3140*0.15)+(P3140*0.15)+(Q3140*0.10)+(R3140*0.10)+(S3140*0.05),2)</f>
        <v/>
      </c>
      <c r="U3140">
        <f>IF(T3140&gt;=4.25,"Critical",IF(T3140&gt;=3.5,"High",IF(T3140&gt;=2,"Medium","Low")))</f>
        <v/>
      </c>
    </row>
    <row r="3141">
      <c r="R3141">
        <f>IFERROR(XLOOKUP(XLOOKUP(D3141,tblReleaseChanges[Change_ID],tblReleaseChanges[Oracle_Severity],""),tblSeverityMap[Severity_Text],tblSeverityMap[Score],0),0)</f>
        <v/>
      </c>
      <c r="T3141">
        <f>ROUND((M3141*0.25)+(N3141*0.20)+(O3141*0.15)+(P3141*0.15)+(Q3141*0.10)+(R3141*0.10)+(S3141*0.05),2)</f>
        <v/>
      </c>
      <c r="U3141">
        <f>IF(T3141&gt;=4.25,"Critical",IF(T3141&gt;=3.5,"High",IF(T3141&gt;=2,"Medium","Low")))</f>
        <v/>
      </c>
    </row>
    <row r="3142">
      <c r="R3142">
        <f>IFERROR(XLOOKUP(XLOOKUP(D3142,tblReleaseChanges[Change_ID],tblReleaseChanges[Oracle_Severity],""),tblSeverityMap[Severity_Text],tblSeverityMap[Score],0),0)</f>
        <v/>
      </c>
      <c r="T3142">
        <f>ROUND((M3142*0.25)+(N3142*0.20)+(O3142*0.15)+(P3142*0.15)+(Q3142*0.10)+(R3142*0.10)+(S3142*0.05),2)</f>
        <v/>
      </c>
      <c r="U3142">
        <f>IF(T3142&gt;=4.25,"Critical",IF(T3142&gt;=3.5,"High",IF(T3142&gt;=2,"Medium","Low")))</f>
        <v/>
      </c>
    </row>
    <row r="3143">
      <c r="R3143">
        <f>IFERROR(XLOOKUP(XLOOKUP(D3143,tblReleaseChanges[Change_ID],tblReleaseChanges[Oracle_Severity],""),tblSeverityMap[Severity_Text],tblSeverityMap[Score],0),0)</f>
        <v/>
      </c>
      <c r="T3143">
        <f>ROUND((M3143*0.25)+(N3143*0.20)+(O3143*0.15)+(P3143*0.15)+(Q3143*0.10)+(R3143*0.10)+(S3143*0.05),2)</f>
        <v/>
      </c>
      <c r="U3143">
        <f>IF(T3143&gt;=4.25,"Critical",IF(T3143&gt;=3.5,"High",IF(T3143&gt;=2,"Medium","Low")))</f>
        <v/>
      </c>
    </row>
    <row r="3144">
      <c r="R3144">
        <f>IFERROR(XLOOKUP(XLOOKUP(D3144,tblReleaseChanges[Change_ID],tblReleaseChanges[Oracle_Severity],""),tblSeverityMap[Severity_Text],tblSeverityMap[Score],0),0)</f>
        <v/>
      </c>
      <c r="T3144">
        <f>ROUND((M3144*0.25)+(N3144*0.20)+(O3144*0.15)+(P3144*0.15)+(Q3144*0.10)+(R3144*0.10)+(S3144*0.05),2)</f>
        <v/>
      </c>
      <c r="U3144">
        <f>IF(T3144&gt;=4.25,"Critical",IF(T3144&gt;=3.5,"High",IF(T3144&gt;=2,"Medium","Low")))</f>
        <v/>
      </c>
    </row>
    <row r="3145">
      <c r="R3145">
        <f>IFERROR(XLOOKUP(XLOOKUP(D3145,tblReleaseChanges[Change_ID],tblReleaseChanges[Oracle_Severity],""),tblSeverityMap[Severity_Text],tblSeverityMap[Score],0),0)</f>
        <v/>
      </c>
      <c r="T3145">
        <f>ROUND((M3145*0.25)+(N3145*0.20)+(O3145*0.15)+(P3145*0.15)+(Q3145*0.10)+(R3145*0.10)+(S3145*0.05),2)</f>
        <v/>
      </c>
      <c r="U3145">
        <f>IF(T3145&gt;=4.25,"Critical",IF(T3145&gt;=3.5,"High",IF(T3145&gt;=2,"Medium","Low")))</f>
        <v/>
      </c>
    </row>
    <row r="3146">
      <c r="R3146">
        <f>IFERROR(XLOOKUP(XLOOKUP(D3146,tblReleaseChanges[Change_ID],tblReleaseChanges[Oracle_Severity],""),tblSeverityMap[Severity_Text],tblSeverityMap[Score],0),0)</f>
        <v/>
      </c>
      <c r="T3146">
        <f>ROUND((M3146*0.25)+(N3146*0.20)+(O3146*0.15)+(P3146*0.15)+(Q3146*0.10)+(R3146*0.10)+(S3146*0.05),2)</f>
        <v/>
      </c>
      <c r="U3146">
        <f>IF(T3146&gt;=4.25,"Critical",IF(T3146&gt;=3.5,"High",IF(T3146&gt;=2,"Medium","Low")))</f>
        <v/>
      </c>
    </row>
    <row r="3147">
      <c r="R3147">
        <f>IFERROR(XLOOKUP(XLOOKUP(D3147,tblReleaseChanges[Change_ID],tblReleaseChanges[Oracle_Severity],""),tblSeverityMap[Severity_Text],tblSeverityMap[Score],0),0)</f>
        <v/>
      </c>
      <c r="T3147">
        <f>ROUND((M3147*0.25)+(N3147*0.20)+(O3147*0.15)+(P3147*0.15)+(Q3147*0.10)+(R3147*0.10)+(S3147*0.05),2)</f>
        <v/>
      </c>
      <c r="U3147">
        <f>IF(T3147&gt;=4.25,"Critical",IF(T3147&gt;=3.5,"High",IF(T3147&gt;=2,"Medium","Low")))</f>
        <v/>
      </c>
    </row>
    <row r="3148">
      <c r="R3148">
        <f>IFERROR(XLOOKUP(XLOOKUP(D3148,tblReleaseChanges[Change_ID],tblReleaseChanges[Oracle_Severity],""),tblSeverityMap[Severity_Text],tblSeverityMap[Score],0),0)</f>
        <v/>
      </c>
      <c r="T3148">
        <f>ROUND((M3148*0.25)+(N3148*0.20)+(O3148*0.15)+(P3148*0.15)+(Q3148*0.10)+(R3148*0.10)+(S3148*0.05),2)</f>
        <v/>
      </c>
      <c r="U3148">
        <f>IF(T3148&gt;=4.25,"Critical",IF(T3148&gt;=3.5,"High",IF(T3148&gt;=2,"Medium","Low")))</f>
        <v/>
      </c>
    </row>
    <row r="3149">
      <c r="R3149">
        <f>IFERROR(XLOOKUP(XLOOKUP(D3149,tblReleaseChanges[Change_ID],tblReleaseChanges[Oracle_Severity],""),tblSeverityMap[Severity_Text],tblSeverityMap[Score],0),0)</f>
        <v/>
      </c>
      <c r="T3149">
        <f>ROUND((M3149*0.25)+(N3149*0.20)+(O3149*0.15)+(P3149*0.15)+(Q3149*0.10)+(R3149*0.10)+(S3149*0.05),2)</f>
        <v/>
      </c>
      <c r="U3149">
        <f>IF(T3149&gt;=4.25,"Critical",IF(T3149&gt;=3.5,"High",IF(T3149&gt;=2,"Medium","Low")))</f>
        <v/>
      </c>
    </row>
    <row r="3150">
      <c r="R3150">
        <f>IFERROR(XLOOKUP(XLOOKUP(D3150,tblReleaseChanges[Change_ID],tblReleaseChanges[Oracle_Severity],""),tblSeverityMap[Severity_Text],tblSeverityMap[Score],0),0)</f>
        <v/>
      </c>
      <c r="T3150">
        <f>ROUND((M3150*0.25)+(N3150*0.20)+(O3150*0.15)+(P3150*0.15)+(Q3150*0.10)+(R3150*0.10)+(S3150*0.05),2)</f>
        <v/>
      </c>
      <c r="U3150">
        <f>IF(T3150&gt;=4.25,"Critical",IF(T3150&gt;=3.5,"High",IF(T3150&gt;=2,"Medium","Low")))</f>
        <v/>
      </c>
    </row>
    <row r="3151">
      <c r="R3151">
        <f>IFERROR(XLOOKUP(XLOOKUP(D3151,tblReleaseChanges[Change_ID],tblReleaseChanges[Oracle_Severity],""),tblSeverityMap[Severity_Text],tblSeverityMap[Score],0),0)</f>
        <v/>
      </c>
      <c r="T3151">
        <f>ROUND((M3151*0.25)+(N3151*0.20)+(O3151*0.15)+(P3151*0.15)+(Q3151*0.10)+(R3151*0.10)+(S3151*0.05),2)</f>
        <v/>
      </c>
      <c r="U3151">
        <f>IF(T3151&gt;=4.25,"Critical",IF(T3151&gt;=3.5,"High",IF(T3151&gt;=2,"Medium","Low")))</f>
        <v/>
      </c>
    </row>
    <row r="3152">
      <c r="R3152">
        <f>IFERROR(XLOOKUP(XLOOKUP(D3152,tblReleaseChanges[Change_ID],tblReleaseChanges[Oracle_Severity],""),tblSeverityMap[Severity_Text],tblSeverityMap[Score],0),0)</f>
        <v/>
      </c>
      <c r="T3152">
        <f>ROUND((M3152*0.25)+(N3152*0.20)+(O3152*0.15)+(P3152*0.15)+(Q3152*0.10)+(R3152*0.10)+(S3152*0.05),2)</f>
        <v/>
      </c>
      <c r="U3152">
        <f>IF(T3152&gt;=4.25,"Critical",IF(T3152&gt;=3.5,"High",IF(T3152&gt;=2,"Medium","Low")))</f>
        <v/>
      </c>
    </row>
    <row r="3153">
      <c r="R3153">
        <f>IFERROR(XLOOKUP(XLOOKUP(D3153,tblReleaseChanges[Change_ID],tblReleaseChanges[Oracle_Severity],""),tblSeverityMap[Severity_Text],tblSeverityMap[Score],0),0)</f>
        <v/>
      </c>
      <c r="T3153">
        <f>ROUND((M3153*0.25)+(N3153*0.20)+(O3153*0.15)+(P3153*0.15)+(Q3153*0.10)+(R3153*0.10)+(S3153*0.05),2)</f>
        <v/>
      </c>
      <c r="U3153">
        <f>IF(T3153&gt;=4.25,"Critical",IF(T3153&gt;=3.5,"High",IF(T3153&gt;=2,"Medium","Low")))</f>
        <v/>
      </c>
    </row>
    <row r="3154">
      <c r="R3154">
        <f>IFERROR(XLOOKUP(XLOOKUP(D3154,tblReleaseChanges[Change_ID],tblReleaseChanges[Oracle_Severity],""),tblSeverityMap[Severity_Text],tblSeverityMap[Score],0),0)</f>
        <v/>
      </c>
      <c r="T3154">
        <f>ROUND((M3154*0.25)+(N3154*0.20)+(O3154*0.15)+(P3154*0.15)+(Q3154*0.10)+(R3154*0.10)+(S3154*0.05),2)</f>
        <v/>
      </c>
      <c r="U3154">
        <f>IF(T3154&gt;=4.25,"Critical",IF(T3154&gt;=3.5,"High",IF(T3154&gt;=2,"Medium","Low")))</f>
        <v/>
      </c>
    </row>
    <row r="3155">
      <c r="R3155">
        <f>IFERROR(XLOOKUP(XLOOKUP(D3155,tblReleaseChanges[Change_ID],tblReleaseChanges[Oracle_Severity],""),tblSeverityMap[Severity_Text],tblSeverityMap[Score],0),0)</f>
        <v/>
      </c>
      <c r="T3155">
        <f>ROUND((M3155*0.25)+(N3155*0.20)+(O3155*0.15)+(P3155*0.15)+(Q3155*0.10)+(R3155*0.10)+(S3155*0.05),2)</f>
        <v/>
      </c>
      <c r="U3155">
        <f>IF(T3155&gt;=4.25,"Critical",IF(T3155&gt;=3.5,"High",IF(T3155&gt;=2,"Medium","Low")))</f>
        <v/>
      </c>
    </row>
    <row r="3156">
      <c r="R3156">
        <f>IFERROR(XLOOKUP(XLOOKUP(D3156,tblReleaseChanges[Change_ID],tblReleaseChanges[Oracle_Severity],""),tblSeverityMap[Severity_Text],tblSeverityMap[Score],0),0)</f>
        <v/>
      </c>
      <c r="T3156">
        <f>ROUND((M3156*0.25)+(N3156*0.20)+(O3156*0.15)+(P3156*0.15)+(Q3156*0.10)+(R3156*0.10)+(S3156*0.05),2)</f>
        <v/>
      </c>
      <c r="U3156">
        <f>IF(T3156&gt;=4.25,"Critical",IF(T3156&gt;=3.5,"High",IF(T3156&gt;=2,"Medium","Low")))</f>
        <v/>
      </c>
    </row>
    <row r="3157">
      <c r="R3157">
        <f>IFERROR(XLOOKUP(XLOOKUP(D3157,tblReleaseChanges[Change_ID],tblReleaseChanges[Oracle_Severity],""),tblSeverityMap[Severity_Text],tblSeverityMap[Score],0),0)</f>
        <v/>
      </c>
      <c r="T3157">
        <f>ROUND((M3157*0.25)+(N3157*0.20)+(O3157*0.15)+(P3157*0.15)+(Q3157*0.10)+(R3157*0.10)+(S3157*0.05),2)</f>
        <v/>
      </c>
      <c r="U3157">
        <f>IF(T3157&gt;=4.25,"Critical",IF(T3157&gt;=3.5,"High",IF(T3157&gt;=2,"Medium","Low")))</f>
        <v/>
      </c>
    </row>
    <row r="3158">
      <c r="R3158">
        <f>IFERROR(XLOOKUP(XLOOKUP(D3158,tblReleaseChanges[Change_ID],tblReleaseChanges[Oracle_Severity],""),tblSeverityMap[Severity_Text],tblSeverityMap[Score],0),0)</f>
        <v/>
      </c>
      <c r="T3158">
        <f>ROUND((M3158*0.25)+(N3158*0.20)+(O3158*0.15)+(P3158*0.15)+(Q3158*0.10)+(R3158*0.10)+(S3158*0.05),2)</f>
        <v/>
      </c>
      <c r="U3158">
        <f>IF(T3158&gt;=4.25,"Critical",IF(T3158&gt;=3.5,"High",IF(T3158&gt;=2,"Medium","Low")))</f>
        <v/>
      </c>
    </row>
    <row r="3159">
      <c r="R3159">
        <f>IFERROR(XLOOKUP(XLOOKUP(D3159,tblReleaseChanges[Change_ID],tblReleaseChanges[Oracle_Severity],""),tblSeverityMap[Severity_Text],tblSeverityMap[Score],0),0)</f>
        <v/>
      </c>
      <c r="T3159">
        <f>ROUND((M3159*0.25)+(N3159*0.20)+(O3159*0.15)+(P3159*0.15)+(Q3159*0.10)+(R3159*0.10)+(S3159*0.05),2)</f>
        <v/>
      </c>
      <c r="U3159">
        <f>IF(T3159&gt;=4.25,"Critical",IF(T3159&gt;=3.5,"High",IF(T3159&gt;=2,"Medium","Low")))</f>
        <v/>
      </c>
    </row>
    <row r="3160">
      <c r="R3160">
        <f>IFERROR(XLOOKUP(XLOOKUP(D3160,tblReleaseChanges[Change_ID],tblReleaseChanges[Oracle_Severity],""),tblSeverityMap[Severity_Text],tblSeverityMap[Score],0),0)</f>
        <v/>
      </c>
      <c r="T3160">
        <f>ROUND((M3160*0.25)+(N3160*0.20)+(O3160*0.15)+(P3160*0.15)+(Q3160*0.10)+(R3160*0.10)+(S3160*0.05),2)</f>
        <v/>
      </c>
      <c r="U3160">
        <f>IF(T3160&gt;=4.25,"Critical",IF(T3160&gt;=3.5,"High",IF(T3160&gt;=2,"Medium","Low")))</f>
        <v/>
      </c>
    </row>
    <row r="3161">
      <c r="R3161">
        <f>IFERROR(XLOOKUP(XLOOKUP(D3161,tblReleaseChanges[Change_ID],tblReleaseChanges[Oracle_Severity],""),tblSeverityMap[Severity_Text],tblSeverityMap[Score],0),0)</f>
        <v/>
      </c>
      <c r="T3161">
        <f>ROUND((M3161*0.25)+(N3161*0.20)+(O3161*0.15)+(P3161*0.15)+(Q3161*0.10)+(R3161*0.10)+(S3161*0.05),2)</f>
        <v/>
      </c>
      <c r="U3161">
        <f>IF(T3161&gt;=4.25,"Critical",IF(T3161&gt;=3.5,"High",IF(T3161&gt;=2,"Medium","Low")))</f>
        <v/>
      </c>
    </row>
    <row r="3162">
      <c r="R3162">
        <f>IFERROR(XLOOKUP(XLOOKUP(D3162,tblReleaseChanges[Change_ID],tblReleaseChanges[Oracle_Severity],""),tblSeverityMap[Severity_Text],tblSeverityMap[Score],0),0)</f>
        <v/>
      </c>
      <c r="T3162">
        <f>ROUND((M3162*0.25)+(N3162*0.20)+(O3162*0.15)+(P3162*0.15)+(Q3162*0.10)+(R3162*0.10)+(S3162*0.05),2)</f>
        <v/>
      </c>
      <c r="U3162">
        <f>IF(T3162&gt;=4.25,"Critical",IF(T3162&gt;=3.5,"High",IF(T3162&gt;=2,"Medium","Low")))</f>
        <v/>
      </c>
    </row>
    <row r="3163">
      <c r="R3163">
        <f>IFERROR(XLOOKUP(XLOOKUP(D3163,tblReleaseChanges[Change_ID],tblReleaseChanges[Oracle_Severity],""),tblSeverityMap[Severity_Text],tblSeverityMap[Score],0),0)</f>
        <v/>
      </c>
      <c r="T3163">
        <f>ROUND((M3163*0.25)+(N3163*0.20)+(O3163*0.15)+(P3163*0.15)+(Q3163*0.10)+(R3163*0.10)+(S3163*0.05),2)</f>
        <v/>
      </c>
      <c r="U3163">
        <f>IF(T3163&gt;=4.25,"Critical",IF(T3163&gt;=3.5,"High",IF(T3163&gt;=2,"Medium","Low")))</f>
        <v/>
      </c>
    </row>
    <row r="3164">
      <c r="R3164">
        <f>IFERROR(XLOOKUP(XLOOKUP(D3164,tblReleaseChanges[Change_ID],tblReleaseChanges[Oracle_Severity],""),tblSeverityMap[Severity_Text],tblSeverityMap[Score],0),0)</f>
        <v/>
      </c>
      <c r="T3164">
        <f>ROUND((M3164*0.25)+(N3164*0.20)+(O3164*0.15)+(P3164*0.15)+(Q3164*0.10)+(R3164*0.10)+(S3164*0.05),2)</f>
        <v/>
      </c>
      <c r="U3164">
        <f>IF(T3164&gt;=4.25,"Critical",IF(T3164&gt;=3.5,"High",IF(T3164&gt;=2,"Medium","Low")))</f>
        <v/>
      </c>
    </row>
    <row r="3165">
      <c r="R3165">
        <f>IFERROR(XLOOKUP(XLOOKUP(D3165,tblReleaseChanges[Change_ID],tblReleaseChanges[Oracle_Severity],""),tblSeverityMap[Severity_Text],tblSeverityMap[Score],0),0)</f>
        <v/>
      </c>
      <c r="T3165">
        <f>ROUND((M3165*0.25)+(N3165*0.20)+(O3165*0.15)+(P3165*0.15)+(Q3165*0.10)+(R3165*0.10)+(S3165*0.05),2)</f>
        <v/>
      </c>
      <c r="U3165">
        <f>IF(T3165&gt;=4.25,"Critical",IF(T3165&gt;=3.5,"High",IF(T3165&gt;=2,"Medium","Low")))</f>
        <v/>
      </c>
    </row>
    <row r="3166">
      <c r="R3166">
        <f>IFERROR(XLOOKUP(XLOOKUP(D3166,tblReleaseChanges[Change_ID],tblReleaseChanges[Oracle_Severity],""),tblSeverityMap[Severity_Text],tblSeverityMap[Score],0),0)</f>
        <v/>
      </c>
      <c r="T3166">
        <f>ROUND((M3166*0.25)+(N3166*0.20)+(O3166*0.15)+(P3166*0.15)+(Q3166*0.10)+(R3166*0.10)+(S3166*0.05),2)</f>
        <v/>
      </c>
      <c r="U3166">
        <f>IF(T3166&gt;=4.25,"Critical",IF(T3166&gt;=3.5,"High",IF(T3166&gt;=2,"Medium","Low")))</f>
        <v/>
      </c>
    </row>
    <row r="3167">
      <c r="R3167">
        <f>IFERROR(XLOOKUP(XLOOKUP(D3167,tblReleaseChanges[Change_ID],tblReleaseChanges[Oracle_Severity],""),tblSeverityMap[Severity_Text],tblSeverityMap[Score],0),0)</f>
        <v/>
      </c>
      <c r="T3167">
        <f>ROUND((M3167*0.25)+(N3167*0.20)+(O3167*0.15)+(P3167*0.15)+(Q3167*0.10)+(R3167*0.10)+(S3167*0.05),2)</f>
        <v/>
      </c>
      <c r="U3167">
        <f>IF(T3167&gt;=4.25,"Critical",IF(T3167&gt;=3.5,"High",IF(T3167&gt;=2,"Medium","Low")))</f>
        <v/>
      </c>
    </row>
    <row r="3168">
      <c r="R3168">
        <f>IFERROR(XLOOKUP(XLOOKUP(D3168,tblReleaseChanges[Change_ID],tblReleaseChanges[Oracle_Severity],""),tblSeverityMap[Severity_Text],tblSeverityMap[Score],0),0)</f>
        <v/>
      </c>
      <c r="T3168">
        <f>ROUND((M3168*0.25)+(N3168*0.20)+(O3168*0.15)+(P3168*0.15)+(Q3168*0.10)+(R3168*0.10)+(S3168*0.05),2)</f>
        <v/>
      </c>
      <c r="U3168">
        <f>IF(T3168&gt;=4.25,"Critical",IF(T3168&gt;=3.5,"High",IF(T3168&gt;=2,"Medium","Low")))</f>
        <v/>
      </c>
    </row>
    <row r="3169">
      <c r="R3169">
        <f>IFERROR(XLOOKUP(XLOOKUP(D3169,tblReleaseChanges[Change_ID],tblReleaseChanges[Oracle_Severity],""),tblSeverityMap[Severity_Text],tblSeverityMap[Score],0),0)</f>
        <v/>
      </c>
      <c r="T3169">
        <f>ROUND((M3169*0.25)+(N3169*0.20)+(O3169*0.15)+(P3169*0.15)+(Q3169*0.10)+(R3169*0.10)+(S3169*0.05),2)</f>
        <v/>
      </c>
      <c r="U3169">
        <f>IF(T3169&gt;=4.25,"Critical",IF(T3169&gt;=3.5,"High",IF(T3169&gt;=2,"Medium","Low")))</f>
        <v/>
      </c>
    </row>
    <row r="3170">
      <c r="R3170">
        <f>IFERROR(XLOOKUP(XLOOKUP(D3170,tblReleaseChanges[Change_ID],tblReleaseChanges[Oracle_Severity],""),tblSeverityMap[Severity_Text],tblSeverityMap[Score],0),0)</f>
        <v/>
      </c>
      <c r="T3170">
        <f>ROUND((M3170*0.25)+(N3170*0.20)+(O3170*0.15)+(P3170*0.15)+(Q3170*0.10)+(R3170*0.10)+(S3170*0.05),2)</f>
        <v/>
      </c>
      <c r="U3170">
        <f>IF(T3170&gt;=4.25,"Critical",IF(T3170&gt;=3.5,"High",IF(T3170&gt;=2,"Medium","Low")))</f>
        <v/>
      </c>
    </row>
    <row r="3171">
      <c r="R3171">
        <f>IFERROR(XLOOKUP(XLOOKUP(D3171,tblReleaseChanges[Change_ID],tblReleaseChanges[Oracle_Severity],""),tblSeverityMap[Severity_Text],tblSeverityMap[Score],0),0)</f>
        <v/>
      </c>
      <c r="T3171">
        <f>ROUND((M3171*0.25)+(N3171*0.20)+(O3171*0.15)+(P3171*0.15)+(Q3171*0.10)+(R3171*0.10)+(S3171*0.05),2)</f>
        <v/>
      </c>
      <c r="U3171">
        <f>IF(T3171&gt;=4.25,"Critical",IF(T3171&gt;=3.5,"High",IF(T3171&gt;=2,"Medium","Low")))</f>
        <v/>
      </c>
    </row>
    <row r="3172">
      <c r="R3172">
        <f>IFERROR(XLOOKUP(XLOOKUP(D3172,tblReleaseChanges[Change_ID],tblReleaseChanges[Oracle_Severity],""),tblSeverityMap[Severity_Text],tblSeverityMap[Score],0),0)</f>
        <v/>
      </c>
      <c r="T3172">
        <f>ROUND((M3172*0.25)+(N3172*0.20)+(O3172*0.15)+(P3172*0.15)+(Q3172*0.10)+(R3172*0.10)+(S3172*0.05),2)</f>
        <v/>
      </c>
      <c r="U3172">
        <f>IF(T3172&gt;=4.25,"Critical",IF(T3172&gt;=3.5,"High",IF(T3172&gt;=2,"Medium","Low")))</f>
        <v/>
      </c>
    </row>
    <row r="3173">
      <c r="R3173">
        <f>IFERROR(XLOOKUP(XLOOKUP(D3173,tblReleaseChanges[Change_ID],tblReleaseChanges[Oracle_Severity],""),tblSeverityMap[Severity_Text],tblSeverityMap[Score],0),0)</f>
        <v/>
      </c>
      <c r="T3173">
        <f>ROUND((M3173*0.25)+(N3173*0.20)+(O3173*0.15)+(P3173*0.15)+(Q3173*0.10)+(R3173*0.10)+(S3173*0.05),2)</f>
        <v/>
      </c>
      <c r="U3173">
        <f>IF(T3173&gt;=4.25,"Critical",IF(T3173&gt;=3.5,"High",IF(T3173&gt;=2,"Medium","Low")))</f>
        <v/>
      </c>
    </row>
    <row r="3174">
      <c r="R3174">
        <f>IFERROR(XLOOKUP(XLOOKUP(D3174,tblReleaseChanges[Change_ID],tblReleaseChanges[Oracle_Severity],""),tblSeverityMap[Severity_Text],tblSeverityMap[Score],0),0)</f>
        <v/>
      </c>
      <c r="T3174">
        <f>ROUND((M3174*0.25)+(N3174*0.20)+(O3174*0.15)+(P3174*0.15)+(Q3174*0.10)+(R3174*0.10)+(S3174*0.05),2)</f>
        <v/>
      </c>
      <c r="U3174">
        <f>IF(T3174&gt;=4.25,"Critical",IF(T3174&gt;=3.5,"High",IF(T3174&gt;=2,"Medium","Low")))</f>
        <v/>
      </c>
    </row>
    <row r="3175">
      <c r="R3175">
        <f>IFERROR(XLOOKUP(XLOOKUP(D3175,tblReleaseChanges[Change_ID],tblReleaseChanges[Oracle_Severity],""),tblSeverityMap[Severity_Text],tblSeverityMap[Score],0),0)</f>
        <v/>
      </c>
      <c r="T3175">
        <f>ROUND((M3175*0.25)+(N3175*0.20)+(O3175*0.15)+(P3175*0.15)+(Q3175*0.10)+(R3175*0.10)+(S3175*0.05),2)</f>
        <v/>
      </c>
      <c r="U3175">
        <f>IF(T3175&gt;=4.25,"Critical",IF(T3175&gt;=3.5,"High",IF(T3175&gt;=2,"Medium","Low")))</f>
        <v/>
      </c>
    </row>
    <row r="3176">
      <c r="R3176">
        <f>IFERROR(XLOOKUP(XLOOKUP(D3176,tblReleaseChanges[Change_ID],tblReleaseChanges[Oracle_Severity],""),tblSeverityMap[Severity_Text],tblSeverityMap[Score],0),0)</f>
        <v/>
      </c>
      <c r="T3176">
        <f>ROUND((M3176*0.25)+(N3176*0.20)+(O3176*0.15)+(P3176*0.15)+(Q3176*0.10)+(R3176*0.10)+(S3176*0.05),2)</f>
        <v/>
      </c>
      <c r="U3176">
        <f>IF(T3176&gt;=4.25,"Critical",IF(T3176&gt;=3.5,"High",IF(T3176&gt;=2,"Medium","Low")))</f>
        <v/>
      </c>
    </row>
    <row r="3177">
      <c r="R3177">
        <f>IFERROR(XLOOKUP(XLOOKUP(D3177,tblReleaseChanges[Change_ID],tblReleaseChanges[Oracle_Severity],""),tblSeverityMap[Severity_Text],tblSeverityMap[Score],0),0)</f>
        <v/>
      </c>
      <c r="T3177">
        <f>ROUND((M3177*0.25)+(N3177*0.20)+(O3177*0.15)+(P3177*0.15)+(Q3177*0.10)+(R3177*0.10)+(S3177*0.05),2)</f>
        <v/>
      </c>
      <c r="U3177">
        <f>IF(T3177&gt;=4.25,"Critical",IF(T3177&gt;=3.5,"High",IF(T3177&gt;=2,"Medium","Low")))</f>
        <v/>
      </c>
    </row>
    <row r="3178">
      <c r="R3178">
        <f>IFERROR(XLOOKUP(XLOOKUP(D3178,tblReleaseChanges[Change_ID],tblReleaseChanges[Oracle_Severity],""),tblSeverityMap[Severity_Text],tblSeverityMap[Score],0),0)</f>
        <v/>
      </c>
      <c r="T3178">
        <f>ROUND((M3178*0.25)+(N3178*0.20)+(O3178*0.15)+(P3178*0.15)+(Q3178*0.10)+(R3178*0.10)+(S3178*0.05),2)</f>
        <v/>
      </c>
      <c r="U3178">
        <f>IF(T3178&gt;=4.25,"Critical",IF(T3178&gt;=3.5,"High",IF(T3178&gt;=2,"Medium","Low")))</f>
        <v/>
      </c>
    </row>
    <row r="3179">
      <c r="R3179">
        <f>IFERROR(XLOOKUP(XLOOKUP(D3179,tblReleaseChanges[Change_ID],tblReleaseChanges[Oracle_Severity],""),tblSeverityMap[Severity_Text],tblSeverityMap[Score],0),0)</f>
        <v/>
      </c>
      <c r="T3179">
        <f>ROUND((M3179*0.25)+(N3179*0.20)+(O3179*0.15)+(P3179*0.15)+(Q3179*0.10)+(R3179*0.10)+(S3179*0.05),2)</f>
        <v/>
      </c>
      <c r="U3179">
        <f>IF(T3179&gt;=4.25,"Critical",IF(T3179&gt;=3.5,"High",IF(T3179&gt;=2,"Medium","Low")))</f>
        <v/>
      </c>
    </row>
    <row r="3180">
      <c r="R3180">
        <f>IFERROR(XLOOKUP(XLOOKUP(D3180,tblReleaseChanges[Change_ID],tblReleaseChanges[Oracle_Severity],""),tblSeverityMap[Severity_Text],tblSeverityMap[Score],0),0)</f>
        <v/>
      </c>
      <c r="T3180">
        <f>ROUND((M3180*0.25)+(N3180*0.20)+(O3180*0.15)+(P3180*0.15)+(Q3180*0.10)+(R3180*0.10)+(S3180*0.05),2)</f>
        <v/>
      </c>
      <c r="U3180">
        <f>IF(T3180&gt;=4.25,"Critical",IF(T3180&gt;=3.5,"High",IF(T3180&gt;=2,"Medium","Low")))</f>
        <v/>
      </c>
    </row>
    <row r="3181">
      <c r="R3181">
        <f>IFERROR(XLOOKUP(XLOOKUP(D3181,tblReleaseChanges[Change_ID],tblReleaseChanges[Oracle_Severity],""),tblSeverityMap[Severity_Text],tblSeverityMap[Score],0),0)</f>
        <v/>
      </c>
      <c r="T3181">
        <f>ROUND((M3181*0.25)+(N3181*0.20)+(O3181*0.15)+(P3181*0.15)+(Q3181*0.10)+(R3181*0.10)+(S3181*0.05),2)</f>
        <v/>
      </c>
      <c r="U3181">
        <f>IF(T3181&gt;=4.25,"Critical",IF(T3181&gt;=3.5,"High",IF(T3181&gt;=2,"Medium","Low")))</f>
        <v/>
      </c>
    </row>
    <row r="3182">
      <c r="R3182">
        <f>IFERROR(XLOOKUP(XLOOKUP(D3182,tblReleaseChanges[Change_ID],tblReleaseChanges[Oracle_Severity],""),tblSeverityMap[Severity_Text],tblSeverityMap[Score],0),0)</f>
        <v/>
      </c>
      <c r="T3182">
        <f>ROUND((M3182*0.25)+(N3182*0.20)+(O3182*0.15)+(P3182*0.15)+(Q3182*0.10)+(R3182*0.10)+(S3182*0.05),2)</f>
        <v/>
      </c>
      <c r="U3182">
        <f>IF(T3182&gt;=4.25,"Critical",IF(T3182&gt;=3.5,"High",IF(T3182&gt;=2,"Medium","Low")))</f>
        <v/>
      </c>
    </row>
    <row r="3183">
      <c r="R3183">
        <f>IFERROR(XLOOKUP(XLOOKUP(D3183,tblReleaseChanges[Change_ID],tblReleaseChanges[Oracle_Severity],""),tblSeverityMap[Severity_Text],tblSeverityMap[Score],0),0)</f>
        <v/>
      </c>
      <c r="T3183">
        <f>ROUND((M3183*0.25)+(N3183*0.20)+(O3183*0.15)+(P3183*0.15)+(Q3183*0.10)+(R3183*0.10)+(S3183*0.05),2)</f>
        <v/>
      </c>
      <c r="U3183">
        <f>IF(T3183&gt;=4.25,"Critical",IF(T3183&gt;=3.5,"High",IF(T3183&gt;=2,"Medium","Low")))</f>
        <v/>
      </c>
    </row>
    <row r="3184">
      <c r="R3184">
        <f>IFERROR(XLOOKUP(XLOOKUP(D3184,tblReleaseChanges[Change_ID],tblReleaseChanges[Oracle_Severity],""),tblSeverityMap[Severity_Text],tblSeverityMap[Score],0),0)</f>
        <v/>
      </c>
      <c r="T3184">
        <f>ROUND((M3184*0.25)+(N3184*0.20)+(O3184*0.15)+(P3184*0.15)+(Q3184*0.10)+(R3184*0.10)+(S3184*0.05),2)</f>
        <v/>
      </c>
      <c r="U3184">
        <f>IF(T3184&gt;=4.25,"Critical",IF(T3184&gt;=3.5,"High",IF(T3184&gt;=2,"Medium","Low")))</f>
        <v/>
      </c>
    </row>
    <row r="3185">
      <c r="R3185">
        <f>IFERROR(XLOOKUP(XLOOKUP(D3185,tblReleaseChanges[Change_ID],tblReleaseChanges[Oracle_Severity],""),tblSeverityMap[Severity_Text],tblSeverityMap[Score],0),0)</f>
        <v/>
      </c>
      <c r="T3185">
        <f>ROUND((M3185*0.25)+(N3185*0.20)+(O3185*0.15)+(P3185*0.15)+(Q3185*0.10)+(R3185*0.10)+(S3185*0.05),2)</f>
        <v/>
      </c>
      <c r="U3185">
        <f>IF(T3185&gt;=4.25,"Critical",IF(T3185&gt;=3.5,"High",IF(T3185&gt;=2,"Medium","Low")))</f>
        <v/>
      </c>
    </row>
    <row r="3186">
      <c r="R3186">
        <f>IFERROR(XLOOKUP(XLOOKUP(D3186,tblReleaseChanges[Change_ID],tblReleaseChanges[Oracle_Severity],""),tblSeverityMap[Severity_Text],tblSeverityMap[Score],0),0)</f>
        <v/>
      </c>
      <c r="T3186">
        <f>ROUND((M3186*0.25)+(N3186*0.20)+(O3186*0.15)+(P3186*0.15)+(Q3186*0.10)+(R3186*0.10)+(S3186*0.05),2)</f>
        <v/>
      </c>
      <c r="U3186">
        <f>IF(T3186&gt;=4.25,"Critical",IF(T3186&gt;=3.5,"High",IF(T3186&gt;=2,"Medium","Low")))</f>
        <v/>
      </c>
    </row>
    <row r="3187">
      <c r="R3187">
        <f>IFERROR(XLOOKUP(XLOOKUP(D3187,tblReleaseChanges[Change_ID],tblReleaseChanges[Oracle_Severity],""),tblSeverityMap[Severity_Text],tblSeverityMap[Score],0),0)</f>
        <v/>
      </c>
      <c r="T3187">
        <f>ROUND((M3187*0.25)+(N3187*0.20)+(O3187*0.15)+(P3187*0.15)+(Q3187*0.10)+(R3187*0.10)+(S3187*0.05),2)</f>
        <v/>
      </c>
      <c r="U3187">
        <f>IF(T3187&gt;=4.25,"Critical",IF(T3187&gt;=3.5,"High",IF(T3187&gt;=2,"Medium","Low")))</f>
        <v/>
      </c>
    </row>
    <row r="3188">
      <c r="R3188">
        <f>IFERROR(XLOOKUP(XLOOKUP(D3188,tblReleaseChanges[Change_ID],tblReleaseChanges[Oracle_Severity],""),tblSeverityMap[Severity_Text],tblSeverityMap[Score],0),0)</f>
        <v/>
      </c>
      <c r="T3188">
        <f>ROUND((M3188*0.25)+(N3188*0.20)+(O3188*0.15)+(P3188*0.15)+(Q3188*0.10)+(R3188*0.10)+(S3188*0.05),2)</f>
        <v/>
      </c>
      <c r="U3188">
        <f>IF(T3188&gt;=4.25,"Critical",IF(T3188&gt;=3.5,"High",IF(T3188&gt;=2,"Medium","Low")))</f>
        <v/>
      </c>
    </row>
    <row r="3189">
      <c r="R3189">
        <f>IFERROR(XLOOKUP(XLOOKUP(D3189,tblReleaseChanges[Change_ID],tblReleaseChanges[Oracle_Severity],""),tblSeverityMap[Severity_Text],tblSeverityMap[Score],0),0)</f>
        <v/>
      </c>
      <c r="T3189">
        <f>ROUND((M3189*0.25)+(N3189*0.20)+(O3189*0.15)+(P3189*0.15)+(Q3189*0.10)+(R3189*0.10)+(S3189*0.05),2)</f>
        <v/>
      </c>
      <c r="U3189">
        <f>IF(T3189&gt;=4.25,"Critical",IF(T3189&gt;=3.5,"High",IF(T3189&gt;=2,"Medium","Low")))</f>
        <v/>
      </c>
    </row>
    <row r="3190">
      <c r="R3190">
        <f>IFERROR(XLOOKUP(XLOOKUP(D3190,tblReleaseChanges[Change_ID],tblReleaseChanges[Oracle_Severity],""),tblSeverityMap[Severity_Text],tblSeverityMap[Score],0),0)</f>
        <v/>
      </c>
      <c r="T3190">
        <f>ROUND((M3190*0.25)+(N3190*0.20)+(O3190*0.15)+(P3190*0.15)+(Q3190*0.10)+(R3190*0.10)+(S3190*0.05),2)</f>
        <v/>
      </c>
      <c r="U3190">
        <f>IF(T3190&gt;=4.25,"Critical",IF(T3190&gt;=3.5,"High",IF(T3190&gt;=2,"Medium","Low")))</f>
        <v/>
      </c>
    </row>
    <row r="3191">
      <c r="R3191">
        <f>IFERROR(XLOOKUP(XLOOKUP(D3191,tblReleaseChanges[Change_ID],tblReleaseChanges[Oracle_Severity],""),tblSeverityMap[Severity_Text],tblSeverityMap[Score],0),0)</f>
        <v/>
      </c>
      <c r="T3191">
        <f>ROUND((M3191*0.25)+(N3191*0.20)+(O3191*0.15)+(P3191*0.15)+(Q3191*0.10)+(R3191*0.10)+(S3191*0.05),2)</f>
        <v/>
      </c>
      <c r="U3191">
        <f>IF(T3191&gt;=4.25,"Critical",IF(T3191&gt;=3.5,"High",IF(T3191&gt;=2,"Medium","Low")))</f>
        <v/>
      </c>
    </row>
    <row r="3192">
      <c r="R3192">
        <f>IFERROR(XLOOKUP(XLOOKUP(D3192,tblReleaseChanges[Change_ID],tblReleaseChanges[Oracle_Severity],""),tblSeverityMap[Severity_Text],tblSeverityMap[Score],0),0)</f>
        <v/>
      </c>
      <c r="T3192">
        <f>ROUND((M3192*0.25)+(N3192*0.20)+(O3192*0.15)+(P3192*0.15)+(Q3192*0.10)+(R3192*0.10)+(S3192*0.05),2)</f>
        <v/>
      </c>
      <c r="U3192">
        <f>IF(T3192&gt;=4.25,"Critical",IF(T3192&gt;=3.5,"High",IF(T3192&gt;=2,"Medium","Low")))</f>
        <v/>
      </c>
    </row>
    <row r="3193">
      <c r="R3193">
        <f>IFERROR(XLOOKUP(XLOOKUP(D3193,tblReleaseChanges[Change_ID],tblReleaseChanges[Oracle_Severity],""),tblSeverityMap[Severity_Text],tblSeverityMap[Score],0),0)</f>
        <v/>
      </c>
      <c r="T3193">
        <f>ROUND((M3193*0.25)+(N3193*0.20)+(O3193*0.15)+(P3193*0.15)+(Q3193*0.10)+(R3193*0.10)+(S3193*0.05),2)</f>
        <v/>
      </c>
      <c r="U3193">
        <f>IF(T3193&gt;=4.25,"Critical",IF(T3193&gt;=3.5,"High",IF(T3193&gt;=2,"Medium","Low")))</f>
        <v/>
      </c>
    </row>
    <row r="3194">
      <c r="R3194">
        <f>IFERROR(XLOOKUP(XLOOKUP(D3194,tblReleaseChanges[Change_ID],tblReleaseChanges[Oracle_Severity],""),tblSeverityMap[Severity_Text],tblSeverityMap[Score],0),0)</f>
        <v/>
      </c>
      <c r="T3194">
        <f>ROUND((M3194*0.25)+(N3194*0.20)+(O3194*0.15)+(P3194*0.15)+(Q3194*0.10)+(R3194*0.10)+(S3194*0.05),2)</f>
        <v/>
      </c>
      <c r="U3194">
        <f>IF(T3194&gt;=4.25,"Critical",IF(T3194&gt;=3.5,"High",IF(T3194&gt;=2,"Medium","Low")))</f>
        <v/>
      </c>
    </row>
    <row r="3195">
      <c r="R3195">
        <f>IFERROR(XLOOKUP(XLOOKUP(D3195,tblReleaseChanges[Change_ID],tblReleaseChanges[Oracle_Severity],""),tblSeverityMap[Severity_Text],tblSeverityMap[Score],0),0)</f>
        <v/>
      </c>
      <c r="T3195">
        <f>ROUND((M3195*0.25)+(N3195*0.20)+(O3195*0.15)+(P3195*0.15)+(Q3195*0.10)+(R3195*0.10)+(S3195*0.05),2)</f>
        <v/>
      </c>
      <c r="U3195">
        <f>IF(T3195&gt;=4.25,"Critical",IF(T3195&gt;=3.5,"High",IF(T3195&gt;=2,"Medium","Low")))</f>
        <v/>
      </c>
    </row>
    <row r="3196">
      <c r="R3196">
        <f>IFERROR(XLOOKUP(XLOOKUP(D3196,tblReleaseChanges[Change_ID],tblReleaseChanges[Oracle_Severity],""),tblSeverityMap[Severity_Text],tblSeverityMap[Score],0),0)</f>
        <v/>
      </c>
      <c r="T3196">
        <f>ROUND((M3196*0.25)+(N3196*0.20)+(O3196*0.15)+(P3196*0.15)+(Q3196*0.10)+(R3196*0.10)+(S3196*0.05),2)</f>
        <v/>
      </c>
      <c r="U3196">
        <f>IF(T3196&gt;=4.25,"Critical",IF(T3196&gt;=3.5,"High",IF(T3196&gt;=2,"Medium","Low")))</f>
        <v/>
      </c>
    </row>
    <row r="3197">
      <c r="R3197">
        <f>IFERROR(XLOOKUP(XLOOKUP(D3197,tblReleaseChanges[Change_ID],tblReleaseChanges[Oracle_Severity],""),tblSeverityMap[Severity_Text],tblSeverityMap[Score],0),0)</f>
        <v/>
      </c>
      <c r="T3197">
        <f>ROUND((M3197*0.25)+(N3197*0.20)+(O3197*0.15)+(P3197*0.15)+(Q3197*0.10)+(R3197*0.10)+(S3197*0.05),2)</f>
        <v/>
      </c>
      <c r="U3197">
        <f>IF(T3197&gt;=4.25,"Critical",IF(T3197&gt;=3.5,"High",IF(T3197&gt;=2,"Medium","Low")))</f>
        <v/>
      </c>
    </row>
    <row r="3198">
      <c r="R3198">
        <f>IFERROR(XLOOKUP(XLOOKUP(D3198,tblReleaseChanges[Change_ID],tblReleaseChanges[Oracle_Severity],""),tblSeverityMap[Severity_Text],tblSeverityMap[Score],0),0)</f>
        <v/>
      </c>
      <c r="T3198">
        <f>ROUND((M3198*0.25)+(N3198*0.20)+(O3198*0.15)+(P3198*0.15)+(Q3198*0.10)+(R3198*0.10)+(S3198*0.05),2)</f>
        <v/>
      </c>
      <c r="U3198">
        <f>IF(T3198&gt;=4.25,"Critical",IF(T3198&gt;=3.5,"High",IF(T3198&gt;=2,"Medium","Low")))</f>
        <v/>
      </c>
    </row>
    <row r="3199">
      <c r="R3199">
        <f>IFERROR(XLOOKUP(XLOOKUP(D3199,tblReleaseChanges[Change_ID],tblReleaseChanges[Oracle_Severity],""),tblSeverityMap[Severity_Text],tblSeverityMap[Score],0),0)</f>
        <v/>
      </c>
      <c r="T3199">
        <f>ROUND((M3199*0.25)+(N3199*0.20)+(O3199*0.15)+(P3199*0.15)+(Q3199*0.10)+(R3199*0.10)+(S3199*0.05),2)</f>
        <v/>
      </c>
      <c r="U3199">
        <f>IF(T3199&gt;=4.25,"Critical",IF(T3199&gt;=3.5,"High",IF(T3199&gt;=2,"Medium","Low")))</f>
        <v/>
      </c>
    </row>
    <row r="3200">
      <c r="R3200">
        <f>IFERROR(XLOOKUP(XLOOKUP(D3200,tblReleaseChanges[Change_ID],tblReleaseChanges[Oracle_Severity],""),tblSeverityMap[Severity_Text],tblSeverityMap[Score],0),0)</f>
        <v/>
      </c>
      <c r="T3200">
        <f>ROUND((M3200*0.25)+(N3200*0.20)+(O3200*0.15)+(P3200*0.15)+(Q3200*0.10)+(R3200*0.10)+(S3200*0.05),2)</f>
        <v/>
      </c>
      <c r="U3200">
        <f>IF(T3200&gt;=4.25,"Critical",IF(T3200&gt;=3.5,"High",IF(T3200&gt;=2,"Medium","Low")))</f>
        <v/>
      </c>
    </row>
    <row r="3201">
      <c r="R3201">
        <f>IFERROR(XLOOKUP(XLOOKUP(D3201,tblReleaseChanges[Change_ID],tblReleaseChanges[Oracle_Severity],""),tblSeverityMap[Severity_Text],tblSeverityMap[Score],0),0)</f>
        <v/>
      </c>
      <c r="T3201">
        <f>ROUND((M3201*0.25)+(N3201*0.20)+(O3201*0.15)+(P3201*0.15)+(Q3201*0.10)+(R3201*0.10)+(S3201*0.05),2)</f>
        <v/>
      </c>
      <c r="U3201">
        <f>IF(T3201&gt;=4.25,"Critical",IF(T3201&gt;=3.5,"High",IF(T3201&gt;=2,"Medium","Low")))</f>
        <v/>
      </c>
    </row>
    <row r="3202">
      <c r="R3202">
        <f>IFERROR(XLOOKUP(XLOOKUP(D3202,tblReleaseChanges[Change_ID],tblReleaseChanges[Oracle_Severity],""),tblSeverityMap[Severity_Text],tblSeverityMap[Score],0),0)</f>
        <v/>
      </c>
      <c r="T3202">
        <f>ROUND((M3202*0.25)+(N3202*0.20)+(O3202*0.15)+(P3202*0.15)+(Q3202*0.10)+(R3202*0.10)+(S3202*0.05),2)</f>
        <v/>
      </c>
      <c r="U3202">
        <f>IF(T3202&gt;=4.25,"Critical",IF(T3202&gt;=3.5,"High",IF(T3202&gt;=2,"Medium","Low")))</f>
        <v/>
      </c>
    </row>
    <row r="3203">
      <c r="R3203">
        <f>IFERROR(XLOOKUP(XLOOKUP(D3203,tblReleaseChanges[Change_ID],tblReleaseChanges[Oracle_Severity],""),tblSeverityMap[Severity_Text],tblSeverityMap[Score],0),0)</f>
        <v/>
      </c>
      <c r="T3203">
        <f>ROUND((M3203*0.25)+(N3203*0.20)+(O3203*0.15)+(P3203*0.15)+(Q3203*0.10)+(R3203*0.10)+(S3203*0.05),2)</f>
        <v/>
      </c>
      <c r="U3203">
        <f>IF(T3203&gt;=4.25,"Critical",IF(T3203&gt;=3.5,"High",IF(T3203&gt;=2,"Medium","Low")))</f>
        <v/>
      </c>
    </row>
    <row r="3204">
      <c r="R3204">
        <f>IFERROR(XLOOKUP(XLOOKUP(D3204,tblReleaseChanges[Change_ID],tblReleaseChanges[Oracle_Severity],""),tblSeverityMap[Severity_Text],tblSeverityMap[Score],0),0)</f>
        <v/>
      </c>
      <c r="T3204">
        <f>ROUND((M3204*0.25)+(N3204*0.20)+(O3204*0.15)+(P3204*0.15)+(Q3204*0.10)+(R3204*0.10)+(S3204*0.05),2)</f>
        <v/>
      </c>
      <c r="U3204">
        <f>IF(T3204&gt;=4.25,"Critical",IF(T3204&gt;=3.5,"High",IF(T3204&gt;=2,"Medium","Low")))</f>
        <v/>
      </c>
    </row>
    <row r="3205">
      <c r="R3205">
        <f>IFERROR(XLOOKUP(XLOOKUP(D3205,tblReleaseChanges[Change_ID],tblReleaseChanges[Oracle_Severity],""),tblSeverityMap[Severity_Text],tblSeverityMap[Score],0),0)</f>
        <v/>
      </c>
      <c r="T3205">
        <f>ROUND((M3205*0.25)+(N3205*0.20)+(O3205*0.15)+(P3205*0.15)+(Q3205*0.10)+(R3205*0.10)+(S3205*0.05),2)</f>
        <v/>
      </c>
      <c r="U3205">
        <f>IF(T3205&gt;=4.25,"Critical",IF(T3205&gt;=3.5,"High",IF(T3205&gt;=2,"Medium","Low")))</f>
        <v/>
      </c>
    </row>
    <row r="3206">
      <c r="R3206">
        <f>IFERROR(XLOOKUP(XLOOKUP(D3206,tblReleaseChanges[Change_ID],tblReleaseChanges[Oracle_Severity],""),tblSeverityMap[Severity_Text],tblSeverityMap[Score],0),0)</f>
        <v/>
      </c>
      <c r="T3206">
        <f>ROUND((M3206*0.25)+(N3206*0.20)+(O3206*0.15)+(P3206*0.15)+(Q3206*0.10)+(R3206*0.10)+(S3206*0.05),2)</f>
        <v/>
      </c>
      <c r="U3206">
        <f>IF(T3206&gt;=4.25,"Critical",IF(T3206&gt;=3.5,"High",IF(T3206&gt;=2,"Medium","Low")))</f>
        <v/>
      </c>
    </row>
    <row r="3207">
      <c r="R3207">
        <f>IFERROR(XLOOKUP(XLOOKUP(D3207,tblReleaseChanges[Change_ID],tblReleaseChanges[Oracle_Severity],""),tblSeverityMap[Severity_Text],tblSeverityMap[Score],0),0)</f>
        <v/>
      </c>
      <c r="T3207">
        <f>ROUND((M3207*0.25)+(N3207*0.20)+(O3207*0.15)+(P3207*0.15)+(Q3207*0.10)+(R3207*0.10)+(S3207*0.05),2)</f>
        <v/>
      </c>
      <c r="U3207">
        <f>IF(T3207&gt;=4.25,"Critical",IF(T3207&gt;=3.5,"High",IF(T3207&gt;=2,"Medium","Low")))</f>
        <v/>
      </c>
    </row>
    <row r="3208">
      <c r="R3208">
        <f>IFERROR(XLOOKUP(XLOOKUP(D3208,tblReleaseChanges[Change_ID],tblReleaseChanges[Oracle_Severity],""),tblSeverityMap[Severity_Text],tblSeverityMap[Score],0),0)</f>
        <v/>
      </c>
      <c r="T3208">
        <f>ROUND((M3208*0.25)+(N3208*0.20)+(O3208*0.15)+(P3208*0.15)+(Q3208*0.10)+(R3208*0.10)+(S3208*0.05),2)</f>
        <v/>
      </c>
      <c r="U3208">
        <f>IF(T3208&gt;=4.25,"Critical",IF(T3208&gt;=3.5,"High",IF(T3208&gt;=2,"Medium","Low")))</f>
        <v/>
      </c>
    </row>
    <row r="3209">
      <c r="R3209">
        <f>IFERROR(XLOOKUP(XLOOKUP(D3209,tblReleaseChanges[Change_ID],tblReleaseChanges[Oracle_Severity],""),tblSeverityMap[Severity_Text],tblSeverityMap[Score],0),0)</f>
        <v/>
      </c>
      <c r="T3209">
        <f>ROUND((M3209*0.25)+(N3209*0.20)+(O3209*0.15)+(P3209*0.15)+(Q3209*0.10)+(R3209*0.10)+(S3209*0.05),2)</f>
        <v/>
      </c>
      <c r="U3209">
        <f>IF(T3209&gt;=4.25,"Critical",IF(T3209&gt;=3.5,"High",IF(T3209&gt;=2,"Medium","Low")))</f>
        <v/>
      </c>
    </row>
    <row r="3210">
      <c r="R3210">
        <f>IFERROR(XLOOKUP(XLOOKUP(D3210,tblReleaseChanges[Change_ID],tblReleaseChanges[Oracle_Severity],""),tblSeverityMap[Severity_Text],tblSeverityMap[Score],0),0)</f>
        <v/>
      </c>
      <c r="T3210">
        <f>ROUND((M3210*0.25)+(N3210*0.20)+(O3210*0.15)+(P3210*0.15)+(Q3210*0.10)+(R3210*0.10)+(S3210*0.05),2)</f>
        <v/>
      </c>
      <c r="U3210">
        <f>IF(T3210&gt;=4.25,"Critical",IF(T3210&gt;=3.5,"High",IF(T3210&gt;=2,"Medium","Low")))</f>
        <v/>
      </c>
    </row>
    <row r="3211">
      <c r="R3211">
        <f>IFERROR(XLOOKUP(XLOOKUP(D3211,tblReleaseChanges[Change_ID],tblReleaseChanges[Oracle_Severity],""),tblSeverityMap[Severity_Text],tblSeverityMap[Score],0),0)</f>
        <v/>
      </c>
      <c r="T3211">
        <f>ROUND((M3211*0.25)+(N3211*0.20)+(O3211*0.15)+(P3211*0.15)+(Q3211*0.10)+(R3211*0.10)+(S3211*0.05),2)</f>
        <v/>
      </c>
      <c r="U3211">
        <f>IF(T3211&gt;=4.25,"Critical",IF(T3211&gt;=3.5,"High",IF(T3211&gt;=2,"Medium","Low")))</f>
        <v/>
      </c>
    </row>
    <row r="3212">
      <c r="R3212">
        <f>IFERROR(XLOOKUP(XLOOKUP(D3212,tblReleaseChanges[Change_ID],tblReleaseChanges[Oracle_Severity],""),tblSeverityMap[Severity_Text],tblSeverityMap[Score],0),0)</f>
        <v/>
      </c>
      <c r="T3212">
        <f>ROUND((M3212*0.25)+(N3212*0.20)+(O3212*0.15)+(P3212*0.15)+(Q3212*0.10)+(R3212*0.10)+(S3212*0.05),2)</f>
        <v/>
      </c>
      <c r="U3212">
        <f>IF(T3212&gt;=4.25,"Critical",IF(T3212&gt;=3.5,"High",IF(T3212&gt;=2,"Medium","Low")))</f>
        <v/>
      </c>
    </row>
    <row r="3213">
      <c r="R3213">
        <f>IFERROR(XLOOKUP(XLOOKUP(D3213,tblReleaseChanges[Change_ID],tblReleaseChanges[Oracle_Severity],""),tblSeverityMap[Severity_Text],tblSeverityMap[Score],0),0)</f>
        <v/>
      </c>
      <c r="T3213">
        <f>ROUND((M3213*0.25)+(N3213*0.20)+(O3213*0.15)+(P3213*0.15)+(Q3213*0.10)+(R3213*0.10)+(S3213*0.05),2)</f>
        <v/>
      </c>
      <c r="U3213">
        <f>IF(T3213&gt;=4.25,"Critical",IF(T3213&gt;=3.5,"High",IF(T3213&gt;=2,"Medium","Low")))</f>
        <v/>
      </c>
    </row>
    <row r="3214">
      <c r="R3214">
        <f>IFERROR(XLOOKUP(XLOOKUP(D3214,tblReleaseChanges[Change_ID],tblReleaseChanges[Oracle_Severity],""),tblSeverityMap[Severity_Text],tblSeverityMap[Score],0),0)</f>
        <v/>
      </c>
      <c r="T3214">
        <f>ROUND((M3214*0.25)+(N3214*0.20)+(O3214*0.15)+(P3214*0.15)+(Q3214*0.10)+(R3214*0.10)+(S3214*0.05),2)</f>
        <v/>
      </c>
      <c r="U3214">
        <f>IF(T3214&gt;=4.25,"Critical",IF(T3214&gt;=3.5,"High",IF(T3214&gt;=2,"Medium","Low")))</f>
        <v/>
      </c>
    </row>
    <row r="3215">
      <c r="R3215">
        <f>IFERROR(XLOOKUP(XLOOKUP(D3215,tblReleaseChanges[Change_ID],tblReleaseChanges[Oracle_Severity],""),tblSeverityMap[Severity_Text],tblSeverityMap[Score],0),0)</f>
        <v/>
      </c>
      <c r="T3215">
        <f>ROUND((M3215*0.25)+(N3215*0.20)+(O3215*0.15)+(P3215*0.15)+(Q3215*0.10)+(R3215*0.10)+(S3215*0.05),2)</f>
        <v/>
      </c>
      <c r="U3215">
        <f>IF(T3215&gt;=4.25,"Critical",IF(T3215&gt;=3.5,"High",IF(T3215&gt;=2,"Medium","Low")))</f>
        <v/>
      </c>
    </row>
    <row r="3216">
      <c r="R3216">
        <f>IFERROR(XLOOKUP(XLOOKUP(D3216,tblReleaseChanges[Change_ID],tblReleaseChanges[Oracle_Severity],""),tblSeverityMap[Severity_Text],tblSeverityMap[Score],0),0)</f>
        <v/>
      </c>
      <c r="T3216">
        <f>ROUND((M3216*0.25)+(N3216*0.20)+(O3216*0.15)+(P3216*0.15)+(Q3216*0.10)+(R3216*0.10)+(S3216*0.05),2)</f>
        <v/>
      </c>
      <c r="U3216">
        <f>IF(T3216&gt;=4.25,"Critical",IF(T3216&gt;=3.5,"High",IF(T3216&gt;=2,"Medium","Low")))</f>
        <v/>
      </c>
    </row>
    <row r="3217">
      <c r="R3217">
        <f>IFERROR(XLOOKUP(XLOOKUP(D3217,tblReleaseChanges[Change_ID],tblReleaseChanges[Oracle_Severity],""),tblSeverityMap[Severity_Text],tblSeverityMap[Score],0),0)</f>
        <v/>
      </c>
      <c r="T3217">
        <f>ROUND((M3217*0.25)+(N3217*0.20)+(O3217*0.15)+(P3217*0.15)+(Q3217*0.10)+(R3217*0.10)+(S3217*0.05),2)</f>
        <v/>
      </c>
      <c r="U3217">
        <f>IF(T3217&gt;=4.25,"Critical",IF(T3217&gt;=3.5,"High",IF(T3217&gt;=2,"Medium","Low")))</f>
        <v/>
      </c>
    </row>
    <row r="3218">
      <c r="R3218">
        <f>IFERROR(XLOOKUP(XLOOKUP(D3218,tblReleaseChanges[Change_ID],tblReleaseChanges[Oracle_Severity],""),tblSeverityMap[Severity_Text],tblSeverityMap[Score],0),0)</f>
        <v/>
      </c>
      <c r="T3218">
        <f>ROUND((M3218*0.25)+(N3218*0.20)+(O3218*0.15)+(P3218*0.15)+(Q3218*0.10)+(R3218*0.10)+(S3218*0.05),2)</f>
        <v/>
      </c>
      <c r="U3218">
        <f>IF(T3218&gt;=4.25,"Critical",IF(T3218&gt;=3.5,"High",IF(T3218&gt;=2,"Medium","Low")))</f>
        <v/>
      </c>
    </row>
    <row r="3219">
      <c r="R3219">
        <f>IFERROR(XLOOKUP(XLOOKUP(D3219,tblReleaseChanges[Change_ID],tblReleaseChanges[Oracle_Severity],""),tblSeverityMap[Severity_Text],tblSeverityMap[Score],0),0)</f>
        <v/>
      </c>
      <c r="T3219">
        <f>ROUND((M3219*0.25)+(N3219*0.20)+(O3219*0.15)+(P3219*0.15)+(Q3219*0.10)+(R3219*0.10)+(S3219*0.05),2)</f>
        <v/>
      </c>
      <c r="U3219">
        <f>IF(T3219&gt;=4.25,"Critical",IF(T3219&gt;=3.5,"High",IF(T3219&gt;=2,"Medium","Low")))</f>
        <v/>
      </c>
    </row>
    <row r="3220">
      <c r="R3220">
        <f>IFERROR(XLOOKUP(XLOOKUP(D3220,tblReleaseChanges[Change_ID],tblReleaseChanges[Oracle_Severity],""),tblSeverityMap[Severity_Text],tblSeverityMap[Score],0),0)</f>
        <v/>
      </c>
      <c r="T3220">
        <f>ROUND((M3220*0.25)+(N3220*0.20)+(O3220*0.15)+(P3220*0.15)+(Q3220*0.10)+(R3220*0.10)+(S3220*0.05),2)</f>
        <v/>
      </c>
      <c r="U3220">
        <f>IF(T3220&gt;=4.25,"Critical",IF(T3220&gt;=3.5,"High",IF(T3220&gt;=2,"Medium","Low")))</f>
        <v/>
      </c>
    </row>
    <row r="3221">
      <c r="R3221">
        <f>IFERROR(XLOOKUP(XLOOKUP(D3221,tblReleaseChanges[Change_ID],tblReleaseChanges[Oracle_Severity],""),tblSeverityMap[Severity_Text],tblSeverityMap[Score],0),0)</f>
        <v/>
      </c>
      <c r="T3221">
        <f>ROUND((M3221*0.25)+(N3221*0.20)+(O3221*0.15)+(P3221*0.15)+(Q3221*0.10)+(R3221*0.10)+(S3221*0.05),2)</f>
        <v/>
      </c>
      <c r="U3221">
        <f>IF(T3221&gt;=4.25,"Critical",IF(T3221&gt;=3.5,"High",IF(T3221&gt;=2,"Medium","Low")))</f>
        <v/>
      </c>
    </row>
    <row r="3222">
      <c r="R3222">
        <f>IFERROR(XLOOKUP(XLOOKUP(D3222,tblReleaseChanges[Change_ID],tblReleaseChanges[Oracle_Severity],""),tblSeverityMap[Severity_Text],tblSeverityMap[Score],0),0)</f>
        <v/>
      </c>
      <c r="T3222">
        <f>ROUND((M3222*0.25)+(N3222*0.20)+(O3222*0.15)+(P3222*0.15)+(Q3222*0.10)+(R3222*0.10)+(S3222*0.05),2)</f>
        <v/>
      </c>
      <c r="U3222">
        <f>IF(T3222&gt;=4.25,"Critical",IF(T3222&gt;=3.5,"High",IF(T3222&gt;=2,"Medium","Low")))</f>
        <v/>
      </c>
    </row>
    <row r="3223">
      <c r="R3223">
        <f>IFERROR(XLOOKUP(XLOOKUP(D3223,tblReleaseChanges[Change_ID],tblReleaseChanges[Oracle_Severity],""),tblSeverityMap[Severity_Text],tblSeverityMap[Score],0),0)</f>
        <v/>
      </c>
      <c r="T3223">
        <f>ROUND((M3223*0.25)+(N3223*0.20)+(O3223*0.15)+(P3223*0.15)+(Q3223*0.10)+(R3223*0.10)+(S3223*0.05),2)</f>
        <v/>
      </c>
      <c r="U3223">
        <f>IF(T3223&gt;=4.25,"Critical",IF(T3223&gt;=3.5,"High",IF(T3223&gt;=2,"Medium","Low")))</f>
        <v/>
      </c>
    </row>
    <row r="3224">
      <c r="R3224">
        <f>IFERROR(XLOOKUP(XLOOKUP(D3224,tblReleaseChanges[Change_ID],tblReleaseChanges[Oracle_Severity],""),tblSeverityMap[Severity_Text],tblSeverityMap[Score],0),0)</f>
        <v/>
      </c>
      <c r="T3224">
        <f>ROUND((M3224*0.25)+(N3224*0.20)+(O3224*0.15)+(P3224*0.15)+(Q3224*0.10)+(R3224*0.10)+(S3224*0.05),2)</f>
        <v/>
      </c>
      <c r="U3224">
        <f>IF(T3224&gt;=4.25,"Critical",IF(T3224&gt;=3.5,"High",IF(T3224&gt;=2,"Medium","Low")))</f>
        <v/>
      </c>
    </row>
    <row r="3225">
      <c r="R3225">
        <f>IFERROR(XLOOKUP(XLOOKUP(D3225,tblReleaseChanges[Change_ID],tblReleaseChanges[Oracle_Severity],""),tblSeverityMap[Severity_Text],tblSeverityMap[Score],0),0)</f>
        <v/>
      </c>
      <c r="T3225">
        <f>ROUND((M3225*0.25)+(N3225*0.20)+(O3225*0.15)+(P3225*0.15)+(Q3225*0.10)+(R3225*0.10)+(S3225*0.05),2)</f>
        <v/>
      </c>
      <c r="U3225">
        <f>IF(T3225&gt;=4.25,"Critical",IF(T3225&gt;=3.5,"High",IF(T3225&gt;=2,"Medium","Low")))</f>
        <v/>
      </c>
    </row>
    <row r="3226">
      <c r="R3226">
        <f>IFERROR(XLOOKUP(XLOOKUP(D3226,tblReleaseChanges[Change_ID],tblReleaseChanges[Oracle_Severity],""),tblSeverityMap[Severity_Text],tblSeverityMap[Score],0),0)</f>
        <v/>
      </c>
      <c r="T3226">
        <f>ROUND((M3226*0.25)+(N3226*0.20)+(O3226*0.15)+(P3226*0.15)+(Q3226*0.10)+(R3226*0.10)+(S3226*0.05),2)</f>
        <v/>
      </c>
      <c r="U3226">
        <f>IF(T3226&gt;=4.25,"Critical",IF(T3226&gt;=3.5,"High",IF(T3226&gt;=2,"Medium","Low")))</f>
        <v/>
      </c>
    </row>
    <row r="3227">
      <c r="R3227">
        <f>IFERROR(XLOOKUP(XLOOKUP(D3227,tblReleaseChanges[Change_ID],tblReleaseChanges[Oracle_Severity],""),tblSeverityMap[Severity_Text],tblSeverityMap[Score],0),0)</f>
        <v/>
      </c>
      <c r="T3227">
        <f>ROUND((M3227*0.25)+(N3227*0.20)+(O3227*0.15)+(P3227*0.15)+(Q3227*0.10)+(R3227*0.10)+(S3227*0.05),2)</f>
        <v/>
      </c>
      <c r="U3227">
        <f>IF(T3227&gt;=4.25,"Critical",IF(T3227&gt;=3.5,"High",IF(T3227&gt;=2,"Medium","Low")))</f>
        <v/>
      </c>
    </row>
    <row r="3228">
      <c r="R3228">
        <f>IFERROR(XLOOKUP(XLOOKUP(D3228,tblReleaseChanges[Change_ID],tblReleaseChanges[Oracle_Severity],""),tblSeverityMap[Severity_Text],tblSeverityMap[Score],0),0)</f>
        <v/>
      </c>
      <c r="T3228">
        <f>ROUND((M3228*0.25)+(N3228*0.20)+(O3228*0.15)+(P3228*0.15)+(Q3228*0.10)+(R3228*0.10)+(S3228*0.05),2)</f>
        <v/>
      </c>
      <c r="U3228">
        <f>IF(T3228&gt;=4.25,"Critical",IF(T3228&gt;=3.5,"High",IF(T3228&gt;=2,"Medium","Low")))</f>
        <v/>
      </c>
    </row>
    <row r="3229">
      <c r="R3229">
        <f>IFERROR(XLOOKUP(XLOOKUP(D3229,tblReleaseChanges[Change_ID],tblReleaseChanges[Oracle_Severity],""),tblSeverityMap[Severity_Text],tblSeverityMap[Score],0),0)</f>
        <v/>
      </c>
      <c r="T3229">
        <f>ROUND((M3229*0.25)+(N3229*0.20)+(O3229*0.15)+(P3229*0.15)+(Q3229*0.10)+(R3229*0.10)+(S3229*0.05),2)</f>
        <v/>
      </c>
      <c r="U3229">
        <f>IF(T3229&gt;=4.25,"Critical",IF(T3229&gt;=3.5,"High",IF(T3229&gt;=2,"Medium","Low")))</f>
        <v/>
      </c>
    </row>
    <row r="3230">
      <c r="R3230">
        <f>IFERROR(XLOOKUP(XLOOKUP(D3230,tblReleaseChanges[Change_ID],tblReleaseChanges[Oracle_Severity],""),tblSeverityMap[Severity_Text],tblSeverityMap[Score],0),0)</f>
        <v/>
      </c>
      <c r="T3230">
        <f>ROUND((M3230*0.25)+(N3230*0.20)+(O3230*0.15)+(P3230*0.15)+(Q3230*0.10)+(R3230*0.10)+(S3230*0.05),2)</f>
        <v/>
      </c>
      <c r="U3230">
        <f>IF(T3230&gt;=4.25,"Critical",IF(T3230&gt;=3.5,"High",IF(T3230&gt;=2,"Medium","Low")))</f>
        <v/>
      </c>
    </row>
    <row r="3231">
      <c r="R3231">
        <f>IFERROR(XLOOKUP(XLOOKUP(D3231,tblReleaseChanges[Change_ID],tblReleaseChanges[Oracle_Severity],""),tblSeverityMap[Severity_Text],tblSeverityMap[Score],0),0)</f>
        <v/>
      </c>
      <c r="T3231">
        <f>ROUND((M3231*0.25)+(N3231*0.20)+(O3231*0.15)+(P3231*0.15)+(Q3231*0.10)+(R3231*0.10)+(S3231*0.05),2)</f>
        <v/>
      </c>
      <c r="U3231">
        <f>IF(T3231&gt;=4.25,"Critical",IF(T3231&gt;=3.5,"High",IF(T3231&gt;=2,"Medium","Low")))</f>
        <v/>
      </c>
    </row>
    <row r="3232">
      <c r="R3232">
        <f>IFERROR(XLOOKUP(XLOOKUP(D3232,tblReleaseChanges[Change_ID],tblReleaseChanges[Oracle_Severity],""),tblSeverityMap[Severity_Text],tblSeverityMap[Score],0),0)</f>
        <v/>
      </c>
      <c r="T3232">
        <f>ROUND((M3232*0.25)+(N3232*0.20)+(O3232*0.15)+(P3232*0.15)+(Q3232*0.10)+(R3232*0.10)+(S3232*0.05),2)</f>
        <v/>
      </c>
      <c r="U3232">
        <f>IF(T3232&gt;=4.25,"Critical",IF(T3232&gt;=3.5,"High",IF(T3232&gt;=2,"Medium","Low")))</f>
        <v/>
      </c>
    </row>
    <row r="3233">
      <c r="R3233">
        <f>IFERROR(XLOOKUP(XLOOKUP(D3233,tblReleaseChanges[Change_ID],tblReleaseChanges[Oracle_Severity],""),tblSeverityMap[Severity_Text],tblSeverityMap[Score],0),0)</f>
        <v/>
      </c>
      <c r="T3233">
        <f>ROUND((M3233*0.25)+(N3233*0.20)+(O3233*0.15)+(P3233*0.15)+(Q3233*0.10)+(R3233*0.10)+(S3233*0.05),2)</f>
        <v/>
      </c>
      <c r="U3233">
        <f>IF(T3233&gt;=4.25,"Critical",IF(T3233&gt;=3.5,"High",IF(T3233&gt;=2,"Medium","Low")))</f>
        <v/>
      </c>
    </row>
    <row r="3234">
      <c r="R3234">
        <f>IFERROR(XLOOKUP(XLOOKUP(D3234,tblReleaseChanges[Change_ID],tblReleaseChanges[Oracle_Severity],""),tblSeverityMap[Severity_Text],tblSeverityMap[Score],0),0)</f>
        <v/>
      </c>
      <c r="T3234">
        <f>ROUND((M3234*0.25)+(N3234*0.20)+(O3234*0.15)+(P3234*0.15)+(Q3234*0.10)+(R3234*0.10)+(S3234*0.05),2)</f>
        <v/>
      </c>
      <c r="U3234">
        <f>IF(T3234&gt;=4.25,"Critical",IF(T3234&gt;=3.5,"High",IF(T3234&gt;=2,"Medium","Low")))</f>
        <v/>
      </c>
    </row>
    <row r="3235">
      <c r="R3235">
        <f>IFERROR(XLOOKUP(XLOOKUP(D3235,tblReleaseChanges[Change_ID],tblReleaseChanges[Oracle_Severity],""),tblSeverityMap[Severity_Text],tblSeverityMap[Score],0),0)</f>
        <v/>
      </c>
      <c r="T3235">
        <f>ROUND((M3235*0.25)+(N3235*0.20)+(O3235*0.15)+(P3235*0.15)+(Q3235*0.10)+(R3235*0.10)+(S3235*0.05),2)</f>
        <v/>
      </c>
      <c r="U3235">
        <f>IF(T3235&gt;=4.25,"Critical",IF(T3235&gt;=3.5,"High",IF(T3235&gt;=2,"Medium","Low")))</f>
        <v/>
      </c>
    </row>
    <row r="3236">
      <c r="R3236">
        <f>IFERROR(XLOOKUP(XLOOKUP(D3236,tblReleaseChanges[Change_ID],tblReleaseChanges[Oracle_Severity],""),tblSeverityMap[Severity_Text],tblSeverityMap[Score],0),0)</f>
        <v/>
      </c>
      <c r="T3236">
        <f>ROUND((M3236*0.25)+(N3236*0.20)+(O3236*0.15)+(P3236*0.15)+(Q3236*0.10)+(R3236*0.10)+(S3236*0.05),2)</f>
        <v/>
      </c>
      <c r="U3236">
        <f>IF(T3236&gt;=4.25,"Critical",IF(T3236&gt;=3.5,"High",IF(T3236&gt;=2,"Medium","Low")))</f>
        <v/>
      </c>
    </row>
    <row r="3237">
      <c r="R3237">
        <f>IFERROR(XLOOKUP(XLOOKUP(D3237,tblReleaseChanges[Change_ID],tblReleaseChanges[Oracle_Severity],""),tblSeverityMap[Severity_Text],tblSeverityMap[Score],0),0)</f>
        <v/>
      </c>
      <c r="T3237">
        <f>ROUND((M3237*0.25)+(N3237*0.20)+(O3237*0.15)+(P3237*0.15)+(Q3237*0.10)+(R3237*0.10)+(S3237*0.05),2)</f>
        <v/>
      </c>
      <c r="U3237">
        <f>IF(T3237&gt;=4.25,"Critical",IF(T3237&gt;=3.5,"High",IF(T3237&gt;=2,"Medium","Low")))</f>
        <v/>
      </c>
    </row>
    <row r="3238">
      <c r="R3238">
        <f>IFERROR(XLOOKUP(XLOOKUP(D3238,tblReleaseChanges[Change_ID],tblReleaseChanges[Oracle_Severity],""),tblSeverityMap[Severity_Text],tblSeverityMap[Score],0),0)</f>
        <v/>
      </c>
      <c r="T3238">
        <f>ROUND((M3238*0.25)+(N3238*0.20)+(O3238*0.15)+(P3238*0.15)+(Q3238*0.10)+(R3238*0.10)+(S3238*0.05),2)</f>
        <v/>
      </c>
      <c r="U3238">
        <f>IF(T3238&gt;=4.25,"Critical",IF(T3238&gt;=3.5,"High",IF(T3238&gt;=2,"Medium","Low")))</f>
        <v/>
      </c>
    </row>
    <row r="3239">
      <c r="R3239">
        <f>IFERROR(XLOOKUP(XLOOKUP(D3239,tblReleaseChanges[Change_ID],tblReleaseChanges[Oracle_Severity],""),tblSeverityMap[Severity_Text],tblSeverityMap[Score],0),0)</f>
        <v/>
      </c>
      <c r="T3239">
        <f>ROUND((M3239*0.25)+(N3239*0.20)+(O3239*0.15)+(P3239*0.15)+(Q3239*0.10)+(R3239*0.10)+(S3239*0.05),2)</f>
        <v/>
      </c>
      <c r="U3239">
        <f>IF(T3239&gt;=4.25,"Critical",IF(T3239&gt;=3.5,"High",IF(T3239&gt;=2,"Medium","Low")))</f>
        <v/>
      </c>
    </row>
    <row r="3240">
      <c r="R3240">
        <f>IFERROR(XLOOKUP(XLOOKUP(D3240,tblReleaseChanges[Change_ID],tblReleaseChanges[Oracle_Severity],""),tblSeverityMap[Severity_Text],tblSeverityMap[Score],0),0)</f>
        <v/>
      </c>
      <c r="T3240">
        <f>ROUND((M3240*0.25)+(N3240*0.20)+(O3240*0.15)+(P3240*0.15)+(Q3240*0.10)+(R3240*0.10)+(S3240*0.05),2)</f>
        <v/>
      </c>
      <c r="U3240">
        <f>IF(T3240&gt;=4.25,"Critical",IF(T3240&gt;=3.5,"High",IF(T3240&gt;=2,"Medium","Low")))</f>
        <v/>
      </c>
    </row>
    <row r="3241">
      <c r="R3241">
        <f>IFERROR(XLOOKUP(XLOOKUP(D3241,tblReleaseChanges[Change_ID],tblReleaseChanges[Oracle_Severity],""),tblSeverityMap[Severity_Text],tblSeverityMap[Score],0),0)</f>
        <v/>
      </c>
      <c r="T3241">
        <f>ROUND((M3241*0.25)+(N3241*0.20)+(O3241*0.15)+(P3241*0.15)+(Q3241*0.10)+(R3241*0.10)+(S3241*0.05),2)</f>
        <v/>
      </c>
      <c r="U3241">
        <f>IF(T3241&gt;=4.25,"Critical",IF(T3241&gt;=3.5,"High",IF(T3241&gt;=2,"Medium","Low")))</f>
        <v/>
      </c>
    </row>
    <row r="3242">
      <c r="R3242">
        <f>IFERROR(XLOOKUP(XLOOKUP(D3242,tblReleaseChanges[Change_ID],tblReleaseChanges[Oracle_Severity],""),tblSeverityMap[Severity_Text],tblSeverityMap[Score],0),0)</f>
        <v/>
      </c>
      <c r="T3242">
        <f>ROUND((M3242*0.25)+(N3242*0.20)+(O3242*0.15)+(P3242*0.15)+(Q3242*0.10)+(R3242*0.10)+(S3242*0.05),2)</f>
        <v/>
      </c>
      <c r="U3242">
        <f>IF(T3242&gt;=4.25,"Critical",IF(T3242&gt;=3.5,"High",IF(T3242&gt;=2,"Medium","Low")))</f>
        <v/>
      </c>
    </row>
    <row r="3243">
      <c r="R3243">
        <f>IFERROR(XLOOKUP(XLOOKUP(D3243,tblReleaseChanges[Change_ID],tblReleaseChanges[Oracle_Severity],""),tblSeverityMap[Severity_Text],tblSeverityMap[Score],0),0)</f>
        <v/>
      </c>
      <c r="T3243">
        <f>ROUND((M3243*0.25)+(N3243*0.20)+(O3243*0.15)+(P3243*0.15)+(Q3243*0.10)+(R3243*0.10)+(S3243*0.05),2)</f>
        <v/>
      </c>
      <c r="U3243">
        <f>IF(T3243&gt;=4.25,"Critical",IF(T3243&gt;=3.5,"High",IF(T3243&gt;=2,"Medium","Low")))</f>
        <v/>
      </c>
    </row>
    <row r="3244">
      <c r="R3244">
        <f>IFERROR(XLOOKUP(XLOOKUP(D3244,tblReleaseChanges[Change_ID],tblReleaseChanges[Oracle_Severity],""),tblSeverityMap[Severity_Text],tblSeverityMap[Score],0),0)</f>
        <v/>
      </c>
      <c r="T3244">
        <f>ROUND((M3244*0.25)+(N3244*0.20)+(O3244*0.15)+(P3244*0.15)+(Q3244*0.10)+(R3244*0.10)+(S3244*0.05),2)</f>
        <v/>
      </c>
      <c r="U3244">
        <f>IF(T3244&gt;=4.25,"Critical",IF(T3244&gt;=3.5,"High",IF(T3244&gt;=2,"Medium","Low")))</f>
        <v/>
      </c>
    </row>
    <row r="3245">
      <c r="R3245">
        <f>IFERROR(XLOOKUP(XLOOKUP(D3245,tblReleaseChanges[Change_ID],tblReleaseChanges[Oracle_Severity],""),tblSeverityMap[Severity_Text],tblSeverityMap[Score],0),0)</f>
        <v/>
      </c>
      <c r="T3245">
        <f>ROUND((M3245*0.25)+(N3245*0.20)+(O3245*0.15)+(P3245*0.15)+(Q3245*0.10)+(R3245*0.10)+(S3245*0.05),2)</f>
        <v/>
      </c>
      <c r="U3245">
        <f>IF(T3245&gt;=4.25,"Critical",IF(T3245&gt;=3.5,"High",IF(T3245&gt;=2,"Medium","Low")))</f>
        <v/>
      </c>
    </row>
    <row r="3246">
      <c r="R3246">
        <f>IFERROR(XLOOKUP(XLOOKUP(D3246,tblReleaseChanges[Change_ID],tblReleaseChanges[Oracle_Severity],""),tblSeverityMap[Severity_Text],tblSeverityMap[Score],0),0)</f>
        <v/>
      </c>
      <c r="T3246">
        <f>ROUND((M3246*0.25)+(N3246*0.20)+(O3246*0.15)+(P3246*0.15)+(Q3246*0.10)+(R3246*0.10)+(S3246*0.05),2)</f>
        <v/>
      </c>
      <c r="U3246">
        <f>IF(T3246&gt;=4.25,"Critical",IF(T3246&gt;=3.5,"High",IF(T3246&gt;=2,"Medium","Low")))</f>
        <v/>
      </c>
    </row>
    <row r="3247">
      <c r="R3247">
        <f>IFERROR(XLOOKUP(XLOOKUP(D3247,tblReleaseChanges[Change_ID],tblReleaseChanges[Oracle_Severity],""),tblSeverityMap[Severity_Text],tblSeverityMap[Score],0),0)</f>
        <v/>
      </c>
      <c r="T3247">
        <f>ROUND((M3247*0.25)+(N3247*0.20)+(O3247*0.15)+(P3247*0.15)+(Q3247*0.10)+(R3247*0.10)+(S3247*0.05),2)</f>
        <v/>
      </c>
      <c r="U3247">
        <f>IF(T3247&gt;=4.25,"Critical",IF(T3247&gt;=3.5,"High",IF(T3247&gt;=2,"Medium","Low")))</f>
        <v/>
      </c>
    </row>
    <row r="3248">
      <c r="R3248">
        <f>IFERROR(XLOOKUP(XLOOKUP(D3248,tblReleaseChanges[Change_ID],tblReleaseChanges[Oracle_Severity],""),tblSeverityMap[Severity_Text],tblSeverityMap[Score],0),0)</f>
        <v/>
      </c>
      <c r="T3248">
        <f>ROUND((M3248*0.25)+(N3248*0.20)+(O3248*0.15)+(P3248*0.15)+(Q3248*0.10)+(R3248*0.10)+(S3248*0.05),2)</f>
        <v/>
      </c>
      <c r="U3248">
        <f>IF(T3248&gt;=4.25,"Critical",IF(T3248&gt;=3.5,"High",IF(T3248&gt;=2,"Medium","Low")))</f>
        <v/>
      </c>
    </row>
    <row r="3249">
      <c r="R3249">
        <f>IFERROR(XLOOKUP(XLOOKUP(D3249,tblReleaseChanges[Change_ID],tblReleaseChanges[Oracle_Severity],""),tblSeverityMap[Severity_Text],tblSeverityMap[Score],0),0)</f>
        <v/>
      </c>
      <c r="T3249">
        <f>ROUND((M3249*0.25)+(N3249*0.20)+(O3249*0.15)+(P3249*0.15)+(Q3249*0.10)+(R3249*0.10)+(S3249*0.05),2)</f>
        <v/>
      </c>
      <c r="U3249">
        <f>IF(T3249&gt;=4.25,"Critical",IF(T3249&gt;=3.5,"High",IF(T3249&gt;=2,"Medium","Low")))</f>
        <v/>
      </c>
    </row>
    <row r="3250">
      <c r="R3250">
        <f>IFERROR(XLOOKUP(XLOOKUP(D3250,tblReleaseChanges[Change_ID],tblReleaseChanges[Oracle_Severity],""),tblSeverityMap[Severity_Text],tblSeverityMap[Score],0),0)</f>
        <v/>
      </c>
      <c r="T3250">
        <f>ROUND((M3250*0.25)+(N3250*0.20)+(O3250*0.15)+(P3250*0.15)+(Q3250*0.10)+(R3250*0.10)+(S3250*0.05),2)</f>
        <v/>
      </c>
      <c r="U3250">
        <f>IF(T3250&gt;=4.25,"Critical",IF(T3250&gt;=3.5,"High",IF(T3250&gt;=2,"Medium","Low")))</f>
        <v/>
      </c>
    </row>
    <row r="3251">
      <c r="R3251">
        <f>IFERROR(XLOOKUP(XLOOKUP(D3251,tblReleaseChanges[Change_ID],tblReleaseChanges[Oracle_Severity],""),tblSeverityMap[Severity_Text],tblSeverityMap[Score],0),0)</f>
        <v/>
      </c>
      <c r="T3251">
        <f>ROUND((M3251*0.25)+(N3251*0.20)+(O3251*0.15)+(P3251*0.15)+(Q3251*0.10)+(R3251*0.10)+(S3251*0.05),2)</f>
        <v/>
      </c>
      <c r="U3251">
        <f>IF(T3251&gt;=4.25,"Critical",IF(T3251&gt;=3.5,"High",IF(T3251&gt;=2,"Medium","Low")))</f>
        <v/>
      </c>
    </row>
    <row r="3252">
      <c r="R3252">
        <f>IFERROR(XLOOKUP(XLOOKUP(D3252,tblReleaseChanges[Change_ID],tblReleaseChanges[Oracle_Severity],""),tblSeverityMap[Severity_Text],tblSeverityMap[Score],0),0)</f>
        <v/>
      </c>
      <c r="T3252">
        <f>ROUND((M3252*0.25)+(N3252*0.20)+(O3252*0.15)+(P3252*0.15)+(Q3252*0.10)+(R3252*0.10)+(S3252*0.05),2)</f>
        <v/>
      </c>
      <c r="U3252">
        <f>IF(T3252&gt;=4.25,"Critical",IF(T3252&gt;=3.5,"High",IF(T3252&gt;=2,"Medium","Low")))</f>
        <v/>
      </c>
    </row>
    <row r="3253">
      <c r="R3253">
        <f>IFERROR(XLOOKUP(XLOOKUP(D3253,tblReleaseChanges[Change_ID],tblReleaseChanges[Oracle_Severity],""),tblSeverityMap[Severity_Text],tblSeverityMap[Score],0),0)</f>
        <v/>
      </c>
      <c r="T3253">
        <f>ROUND((M3253*0.25)+(N3253*0.20)+(O3253*0.15)+(P3253*0.15)+(Q3253*0.10)+(R3253*0.10)+(S3253*0.05),2)</f>
        <v/>
      </c>
      <c r="U3253">
        <f>IF(T3253&gt;=4.25,"Critical",IF(T3253&gt;=3.5,"High",IF(T3253&gt;=2,"Medium","Low")))</f>
        <v/>
      </c>
    </row>
    <row r="3254">
      <c r="R3254">
        <f>IFERROR(XLOOKUP(XLOOKUP(D3254,tblReleaseChanges[Change_ID],tblReleaseChanges[Oracle_Severity],""),tblSeverityMap[Severity_Text],tblSeverityMap[Score],0),0)</f>
        <v/>
      </c>
      <c r="T3254">
        <f>ROUND((M3254*0.25)+(N3254*0.20)+(O3254*0.15)+(P3254*0.15)+(Q3254*0.10)+(R3254*0.10)+(S3254*0.05),2)</f>
        <v/>
      </c>
      <c r="U3254">
        <f>IF(T3254&gt;=4.25,"Critical",IF(T3254&gt;=3.5,"High",IF(T3254&gt;=2,"Medium","Low")))</f>
        <v/>
      </c>
    </row>
    <row r="3255">
      <c r="R3255">
        <f>IFERROR(XLOOKUP(XLOOKUP(D3255,tblReleaseChanges[Change_ID],tblReleaseChanges[Oracle_Severity],""),tblSeverityMap[Severity_Text],tblSeverityMap[Score],0),0)</f>
        <v/>
      </c>
      <c r="T3255">
        <f>ROUND((M3255*0.25)+(N3255*0.20)+(O3255*0.15)+(P3255*0.15)+(Q3255*0.10)+(R3255*0.10)+(S3255*0.05),2)</f>
        <v/>
      </c>
      <c r="U3255">
        <f>IF(T3255&gt;=4.25,"Critical",IF(T3255&gt;=3.5,"High",IF(T3255&gt;=2,"Medium","Low")))</f>
        <v/>
      </c>
    </row>
    <row r="3256">
      <c r="R3256">
        <f>IFERROR(XLOOKUP(XLOOKUP(D3256,tblReleaseChanges[Change_ID],tblReleaseChanges[Oracle_Severity],""),tblSeverityMap[Severity_Text],tblSeverityMap[Score],0),0)</f>
        <v/>
      </c>
      <c r="T3256">
        <f>ROUND((M3256*0.25)+(N3256*0.20)+(O3256*0.15)+(P3256*0.15)+(Q3256*0.10)+(R3256*0.10)+(S3256*0.05),2)</f>
        <v/>
      </c>
      <c r="U3256">
        <f>IF(T3256&gt;=4.25,"Critical",IF(T3256&gt;=3.5,"High",IF(T3256&gt;=2,"Medium","Low")))</f>
        <v/>
      </c>
    </row>
    <row r="3257">
      <c r="R3257">
        <f>IFERROR(XLOOKUP(XLOOKUP(D3257,tblReleaseChanges[Change_ID],tblReleaseChanges[Oracle_Severity],""),tblSeverityMap[Severity_Text],tblSeverityMap[Score],0),0)</f>
        <v/>
      </c>
      <c r="T3257">
        <f>ROUND((M3257*0.25)+(N3257*0.20)+(O3257*0.15)+(P3257*0.15)+(Q3257*0.10)+(R3257*0.10)+(S3257*0.05),2)</f>
        <v/>
      </c>
      <c r="U3257">
        <f>IF(T3257&gt;=4.25,"Critical",IF(T3257&gt;=3.5,"High",IF(T3257&gt;=2,"Medium","Low")))</f>
        <v/>
      </c>
    </row>
    <row r="3258">
      <c r="R3258">
        <f>IFERROR(XLOOKUP(XLOOKUP(D3258,tblReleaseChanges[Change_ID],tblReleaseChanges[Oracle_Severity],""),tblSeverityMap[Severity_Text],tblSeverityMap[Score],0),0)</f>
        <v/>
      </c>
      <c r="T3258">
        <f>ROUND((M3258*0.25)+(N3258*0.20)+(O3258*0.15)+(P3258*0.15)+(Q3258*0.10)+(R3258*0.10)+(S3258*0.05),2)</f>
        <v/>
      </c>
      <c r="U3258">
        <f>IF(T3258&gt;=4.25,"Critical",IF(T3258&gt;=3.5,"High",IF(T3258&gt;=2,"Medium","Low")))</f>
        <v/>
      </c>
    </row>
    <row r="3259">
      <c r="R3259">
        <f>IFERROR(XLOOKUP(XLOOKUP(D3259,tblReleaseChanges[Change_ID],tblReleaseChanges[Oracle_Severity],""),tblSeverityMap[Severity_Text],tblSeverityMap[Score],0),0)</f>
        <v/>
      </c>
      <c r="T3259">
        <f>ROUND((M3259*0.25)+(N3259*0.20)+(O3259*0.15)+(P3259*0.15)+(Q3259*0.10)+(R3259*0.10)+(S3259*0.05),2)</f>
        <v/>
      </c>
      <c r="U3259">
        <f>IF(T3259&gt;=4.25,"Critical",IF(T3259&gt;=3.5,"High",IF(T3259&gt;=2,"Medium","Low")))</f>
        <v/>
      </c>
    </row>
    <row r="3260">
      <c r="R3260">
        <f>IFERROR(XLOOKUP(XLOOKUP(D3260,tblReleaseChanges[Change_ID],tblReleaseChanges[Oracle_Severity],""),tblSeverityMap[Severity_Text],tblSeverityMap[Score],0),0)</f>
        <v/>
      </c>
      <c r="T3260">
        <f>ROUND((M3260*0.25)+(N3260*0.20)+(O3260*0.15)+(P3260*0.15)+(Q3260*0.10)+(R3260*0.10)+(S3260*0.05),2)</f>
        <v/>
      </c>
      <c r="U3260">
        <f>IF(T3260&gt;=4.25,"Critical",IF(T3260&gt;=3.5,"High",IF(T3260&gt;=2,"Medium","Low")))</f>
        <v/>
      </c>
    </row>
    <row r="3261">
      <c r="R3261">
        <f>IFERROR(XLOOKUP(XLOOKUP(D3261,tblReleaseChanges[Change_ID],tblReleaseChanges[Oracle_Severity],""),tblSeverityMap[Severity_Text],tblSeverityMap[Score],0),0)</f>
        <v/>
      </c>
      <c r="T3261">
        <f>ROUND((M3261*0.25)+(N3261*0.20)+(O3261*0.15)+(P3261*0.15)+(Q3261*0.10)+(R3261*0.10)+(S3261*0.05),2)</f>
        <v/>
      </c>
      <c r="U3261">
        <f>IF(T3261&gt;=4.25,"Critical",IF(T3261&gt;=3.5,"High",IF(T3261&gt;=2,"Medium","Low")))</f>
        <v/>
      </c>
    </row>
    <row r="3262">
      <c r="R3262">
        <f>IFERROR(XLOOKUP(XLOOKUP(D3262,tblReleaseChanges[Change_ID],tblReleaseChanges[Oracle_Severity],""),tblSeverityMap[Severity_Text],tblSeverityMap[Score],0),0)</f>
        <v/>
      </c>
      <c r="T3262">
        <f>ROUND((M3262*0.25)+(N3262*0.20)+(O3262*0.15)+(P3262*0.15)+(Q3262*0.10)+(R3262*0.10)+(S3262*0.05),2)</f>
        <v/>
      </c>
      <c r="U3262">
        <f>IF(T3262&gt;=4.25,"Critical",IF(T3262&gt;=3.5,"High",IF(T3262&gt;=2,"Medium","Low")))</f>
        <v/>
      </c>
    </row>
    <row r="3263">
      <c r="R3263">
        <f>IFERROR(XLOOKUP(XLOOKUP(D3263,tblReleaseChanges[Change_ID],tblReleaseChanges[Oracle_Severity],""),tblSeverityMap[Severity_Text],tblSeverityMap[Score],0),0)</f>
        <v/>
      </c>
      <c r="T3263">
        <f>ROUND((M3263*0.25)+(N3263*0.20)+(O3263*0.15)+(P3263*0.15)+(Q3263*0.10)+(R3263*0.10)+(S3263*0.05),2)</f>
        <v/>
      </c>
      <c r="U3263">
        <f>IF(T3263&gt;=4.25,"Critical",IF(T3263&gt;=3.5,"High",IF(T3263&gt;=2,"Medium","Low")))</f>
        <v/>
      </c>
    </row>
    <row r="3264">
      <c r="R3264">
        <f>IFERROR(XLOOKUP(XLOOKUP(D3264,tblReleaseChanges[Change_ID],tblReleaseChanges[Oracle_Severity],""),tblSeverityMap[Severity_Text],tblSeverityMap[Score],0),0)</f>
        <v/>
      </c>
      <c r="T3264">
        <f>ROUND((M3264*0.25)+(N3264*0.20)+(O3264*0.15)+(P3264*0.15)+(Q3264*0.10)+(R3264*0.10)+(S3264*0.05),2)</f>
        <v/>
      </c>
      <c r="U3264">
        <f>IF(T3264&gt;=4.25,"Critical",IF(T3264&gt;=3.5,"High",IF(T3264&gt;=2,"Medium","Low")))</f>
        <v/>
      </c>
    </row>
    <row r="3265">
      <c r="R3265">
        <f>IFERROR(XLOOKUP(XLOOKUP(D3265,tblReleaseChanges[Change_ID],tblReleaseChanges[Oracle_Severity],""),tblSeverityMap[Severity_Text],tblSeverityMap[Score],0),0)</f>
        <v/>
      </c>
      <c r="T3265">
        <f>ROUND((M3265*0.25)+(N3265*0.20)+(O3265*0.15)+(P3265*0.15)+(Q3265*0.10)+(R3265*0.10)+(S3265*0.05),2)</f>
        <v/>
      </c>
      <c r="U3265">
        <f>IF(T3265&gt;=4.25,"Critical",IF(T3265&gt;=3.5,"High",IF(T3265&gt;=2,"Medium","Low")))</f>
        <v/>
      </c>
    </row>
    <row r="3266">
      <c r="R3266">
        <f>IFERROR(XLOOKUP(XLOOKUP(D3266,tblReleaseChanges[Change_ID],tblReleaseChanges[Oracle_Severity],""),tblSeverityMap[Severity_Text],tblSeverityMap[Score],0),0)</f>
        <v/>
      </c>
      <c r="T3266">
        <f>ROUND((M3266*0.25)+(N3266*0.20)+(O3266*0.15)+(P3266*0.15)+(Q3266*0.10)+(R3266*0.10)+(S3266*0.05),2)</f>
        <v/>
      </c>
      <c r="U3266">
        <f>IF(T3266&gt;=4.25,"Critical",IF(T3266&gt;=3.5,"High",IF(T3266&gt;=2,"Medium","Low")))</f>
        <v/>
      </c>
    </row>
    <row r="3267">
      <c r="R3267">
        <f>IFERROR(XLOOKUP(XLOOKUP(D3267,tblReleaseChanges[Change_ID],tblReleaseChanges[Oracle_Severity],""),tblSeverityMap[Severity_Text],tblSeverityMap[Score],0),0)</f>
        <v/>
      </c>
      <c r="T3267">
        <f>ROUND((M3267*0.25)+(N3267*0.20)+(O3267*0.15)+(P3267*0.15)+(Q3267*0.10)+(R3267*0.10)+(S3267*0.05),2)</f>
        <v/>
      </c>
      <c r="U3267">
        <f>IF(T3267&gt;=4.25,"Critical",IF(T3267&gt;=3.5,"High",IF(T3267&gt;=2,"Medium","Low")))</f>
        <v/>
      </c>
    </row>
    <row r="3268">
      <c r="R3268">
        <f>IFERROR(XLOOKUP(XLOOKUP(D3268,tblReleaseChanges[Change_ID],tblReleaseChanges[Oracle_Severity],""),tblSeverityMap[Severity_Text],tblSeverityMap[Score],0),0)</f>
        <v/>
      </c>
      <c r="T3268">
        <f>ROUND((M3268*0.25)+(N3268*0.20)+(O3268*0.15)+(P3268*0.15)+(Q3268*0.10)+(R3268*0.10)+(S3268*0.05),2)</f>
        <v/>
      </c>
      <c r="U3268">
        <f>IF(T3268&gt;=4.25,"Critical",IF(T3268&gt;=3.5,"High",IF(T3268&gt;=2,"Medium","Low")))</f>
        <v/>
      </c>
    </row>
    <row r="3269">
      <c r="R3269">
        <f>IFERROR(XLOOKUP(XLOOKUP(D3269,tblReleaseChanges[Change_ID],tblReleaseChanges[Oracle_Severity],""),tblSeverityMap[Severity_Text],tblSeverityMap[Score],0),0)</f>
        <v/>
      </c>
      <c r="T3269">
        <f>ROUND((M3269*0.25)+(N3269*0.20)+(O3269*0.15)+(P3269*0.15)+(Q3269*0.10)+(R3269*0.10)+(S3269*0.05),2)</f>
        <v/>
      </c>
      <c r="U3269">
        <f>IF(T3269&gt;=4.25,"Critical",IF(T3269&gt;=3.5,"High",IF(T3269&gt;=2,"Medium","Low")))</f>
        <v/>
      </c>
    </row>
    <row r="3270">
      <c r="R3270">
        <f>IFERROR(XLOOKUP(XLOOKUP(D3270,tblReleaseChanges[Change_ID],tblReleaseChanges[Oracle_Severity],""),tblSeverityMap[Severity_Text],tblSeverityMap[Score],0),0)</f>
        <v/>
      </c>
      <c r="T3270">
        <f>ROUND((M3270*0.25)+(N3270*0.20)+(O3270*0.15)+(P3270*0.15)+(Q3270*0.10)+(R3270*0.10)+(S3270*0.05),2)</f>
        <v/>
      </c>
      <c r="U3270">
        <f>IF(T3270&gt;=4.25,"Critical",IF(T3270&gt;=3.5,"High",IF(T3270&gt;=2,"Medium","Low")))</f>
        <v/>
      </c>
    </row>
    <row r="3271">
      <c r="R3271">
        <f>IFERROR(XLOOKUP(XLOOKUP(D3271,tblReleaseChanges[Change_ID],tblReleaseChanges[Oracle_Severity],""),tblSeverityMap[Severity_Text],tblSeverityMap[Score],0),0)</f>
        <v/>
      </c>
      <c r="T3271">
        <f>ROUND((M3271*0.25)+(N3271*0.20)+(O3271*0.15)+(P3271*0.15)+(Q3271*0.10)+(R3271*0.10)+(S3271*0.05),2)</f>
        <v/>
      </c>
      <c r="U3271">
        <f>IF(T3271&gt;=4.25,"Critical",IF(T3271&gt;=3.5,"High",IF(T3271&gt;=2,"Medium","Low")))</f>
        <v/>
      </c>
    </row>
    <row r="3272">
      <c r="R3272">
        <f>IFERROR(XLOOKUP(XLOOKUP(D3272,tblReleaseChanges[Change_ID],tblReleaseChanges[Oracle_Severity],""),tblSeverityMap[Severity_Text],tblSeverityMap[Score],0),0)</f>
        <v/>
      </c>
      <c r="T3272">
        <f>ROUND((M3272*0.25)+(N3272*0.20)+(O3272*0.15)+(P3272*0.15)+(Q3272*0.10)+(R3272*0.10)+(S3272*0.05),2)</f>
        <v/>
      </c>
      <c r="U3272">
        <f>IF(T3272&gt;=4.25,"Critical",IF(T3272&gt;=3.5,"High",IF(T3272&gt;=2,"Medium","Low")))</f>
        <v/>
      </c>
    </row>
    <row r="3273">
      <c r="R3273">
        <f>IFERROR(XLOOKUP(XLOOKUP(D3273,tblReleaseChanges[Change_ID],tblReleaseChanges[Oracle_Severity],""),tblSeverityMap[Severity_Text],tblSeverityMap[Score],0),0)</f>
        <v/>
      </c>
      <c r="T3273">
        <f>ROUND((M3273*0.25)+(N3273*0.20)+(O3273*0.15)+(P3273*0.15)+(Q3273*0.10)+(R3273*0.10)+(S3273*0.05),2)</f>
        <v/>
      </c>
      <c r="U3273">
        <f>IF(T3273&gt;=4.25,"Critical",IF(T3273&gt;=3.5,"High",IF(T3273&gt;=2,"Medium","Low")))</f>
        <v/>
      </c>
    </row>
    <row r="3274">
      <c r="R3274">
        <f>IFERROR(XLOOKUP(XLOOKUP(D3274,tblReleaseChanges[Change_ID],tblReleaseChanges[Oracle_Severity],""),tblSeverityMap[Severity_Text],tblSeverityMap[Score],0),0)</f>
        <v/>
      </c>
      <c r="T3274">
        <f>ROUND((M3274*0.25)+(N3274*0.20)+(O3274*0.15)+(P3274*0.15)+(Q3274*0.10)+(R3274*0.10)+(S3274*0.05),2)</f>
        <v/>
      </c>
      <c r="U3274">
        <f>IF(T3274&gt;=4.25,"Critical",IF(T3274&gt;=3.5,"High",IF(T3274&gt;=2,"Medium","Low")))</f>
        <v/>
      </c>
    </row>
    <row r="3275">
      <c r="R3275">
        <f>IFERROR(XLOOKUP(XLOOKUP(D3275,tblReleaseChanges[Change_ID],tblReleaseChanges[Oracle_Severity],""),tblSeverityMap[Severity_Text],tblSeverityMap[Score],0),0)</f>
        <v/>
      </c>
      <c r="T3275">
        <f>ROUND((M3275*0.25)+(N3275*0.20)+(O3275*0.15)+(P3275*0.15)+(Q3275*0.10)+(R3275*0.10)+(S3275*0.05),2)</f>
        <v/>
      </c>
      <c r="U3275">
        <f>IF(T3275&gt;=4.25,"Critical",IF(T3275&gt;=3.5,"High",IF(T3275&gt;=2,"Medium","Low")))</f>
        <v/>
      </c>
    </row>
    <row r="3276">
      <c r="R3276">
        <f>IFERROR(XLOOKUP(XLOOKUP(D3276,tblReleaseChanges[Change_ID],tblReleaseChanges[Oracle_Severity],""),tblSeverityMap[Severity_Text],tblSeverityMap[Score],0),0)</f>
        <v/>
      </c>
      <c r="T3276">
        <f>ROUND((M3276*0.25)+(N3276*0.20)+(O3276*0.15)+(P3276*0.15)+(Q3276*0.10)+(R3276*0.10)+(S3276*0.05),2)</f>
        <v/>
      </c>
      <c r="U3276">
        <f>IF(T3276&gt;=4.25,"Critical",IF(T3276&gt;=3.5,"High",IF(T3276&gt;=2,"Medium","Low")))</f>
        <v/>
      </c>
    </row>
    <row r="3277">
      <c r="R3277">
        <f>IFERROR(XLOOKUP(XLOOKUP(D3277,tblReleaseChanges[Change_ID],tblReleaseChanges[Oracle_Severity],""),tblSeverityMap[Severity_Text],tblSeverityMap[Score],0),0)</f>
        <v/>
      </c>
      <c r="T3277">
        <f>ROUND((M3277*0.25)+(N3277*0.20)+(O3277*0.15)+(P3277*0.15)+(Q3277*0.10)+(R3277*0.10)+(S3277*0.05),2)</f>
        <v/>
      </c>
      <c r="U3277">
        <f>IF(T3277&gt;=4.25,"Critical",IF(T3277&gt;=3.5,"High",IF(T3277&gt;=2,"Medium","Low")))</f>
        <v/>
      </c>
    </row>
    <row r="3278">
      <c r="R3278">
        <f>IFERROR(XLOOKUP(XLOOKUP(D3278,tblReleaseChanges[Change_ID],tblReleaseChanges[Oracle_Severity],""),tblSeverityMap[Severity_Text],tblSeverityMap[Score],0),0)</f>
        <v/>
      </c>
      <c r="T3278">
        <f>ROUND((M3278*0.25)+(N3278*0.20)+(O3278*0.15)+(P3278*0.15)+(Q3278*0.10)+(R3278*0.10)+(S3278*0.05),2)</f>
        <v/>
      </c>
      <c r="U3278">
        <f>IF(T3278&gt;=4.25,"Critical",IF(T3278&gt;=3.5,"High",IF(T3278&gt;=2,"Medium","Low")))</f>
        <v/>
      </c>
    </row>
    <row r="3279">
      <c r="R3279">
        <f>IFERROR(XLOOKUP(XLOOKUP(D3279,tblReleaseChanges[Change_ID],tblReleaseChanges[Oracle_Severity],""),tblSeverityMap[Severity_Text],tblSeverityMap[Score],0),0)</f>
        <v/>
      </c>
      <c r="T3279">
        <f>ROUND((M3279*0.25)+(N3279*0.20)+(O3279*0.15)+(P3279*0.15)+(Q3279*0.10)+(R3279*0.10)+(S3279*0.05),2)</f>
        <v/>
      </c>
      <c r="U3279">
        <f>IF(T3279&gt;=4.25,"Critical",IF(T3279&gt;=3.5,"High",IF(T3279&gt;=2,"Medium","Low")))</f>
        <v/>
      </c>
    </row>
    <row r="3280">
      <c r="R3280">
        <f>IFERROR(XLOOKUP(XLOOKUP(D3280,tblReleaseChanges[Change_ID],tblReleaseChanges[Oracle_Severity],""),tblSeverityMap[Severity_Text],tblSeverityMap[Score],0),0)</f>
        <v/>
      </c>
      <c r="T3280">
        <f>ROUND((M3280*0.25)+(N3280*0.20)+(O3280*0.15)+(P3280*0.15)+(Q3280*0.10)+(R3280*0.10)+(S3280*0.05),2)</f>
        <v/>
      </c>
      <c r="U3280">
        <f>IF(T3280&gt;=4.25,"Critical",IF(T3280&gt;=3.5,"High",IF(T3280&gt;=2,"Medium","Low")))</f>
        <v/>
      </c>
    </row>
    <row r="3281">
      <c r="R3281">
        <f>IFERROR(XLOOKUP(XLOOKUP(D3281,tblReleaseChanges[Change_ID],tblReleaseChanges[Oracle_Severity],""),tblSeverityMap[Severity_Text],tblSeverityMap[Score],0),0)</f>
        <v/>
      </c>
      <c r="T3281">
        <f>ROUND((M3281*0.25)+(N3281*0.20)+(O3281*0.15)+(P3281*0.15)+(Q3281*0.10)+(R3281*0.10)+(S3281*0.05),2)</f>
        <v/>
      </c>
      <c r="U3281">
        <f>IF(T3281&gt;=4.25,"Critical",IF(T3281&gt;=3.5,"High",IF(T3281&gt;=2,"Medium","Low")))</f>
        <v/>
      </c>
    </row>
    <row r="3282">
      <c r="R3282">
        <f>IFERROR(XLOOKUP(XLOOKUP(D3282,tblReleaseChanges[Change_ID],tblReleaseChanges[Oracle_Severity],""),tblSeverityMap[Severity_Text],tblSeverityMap[Score],0),0)</f>
        <v/>
      </c>
      <c r="T3282">
        <f>ROUND((M3282*0.25)+(N3282*0.20)+(O3282*0.15)+(P3282*0.15)+(Q3282*0.10)+(R3282*0.10)+(S3282*0.05),2)</f>
        <v/>
      </c>
      <c r="U3282">
        <f>IF(T3282&gt;=4.25,"Critical",IF(T3282&gt;=3.5,"High",IF(T3282&gt;=2,"Medium","Low")))</f>
        <v/>
      </c>
    </row>
    <row r="3283">
      <c r="R3283">
        <f>IFERROR(XLOOKUP(XLOOKUP(D3283,tblReleaseChanges[Change_ID],tblReleaseChanges[Oracle_Severity],""),tblSeverityMap[Severity_Text],tblSeverityMap[Score],0),0)</f>
        <v/>
      </c>
      <c r="T3283">
        <f>ROUND((M3283*0.25)+(N3283*0.20)+(O3283*0.15)+(P3283*0.15)+(Q3283*0.10)+(R3283*0.10)+(S3283*0.05),2)</f>
        <v/>
      </c>
      <c r="U3283">
        <f>IF(T3283&gt;=4.25,"Critical",IF(T3283&gt;=3.5,"High",IF(T3283&gt;=2,"Medium","Low")))</f>
        <v/>
      </c>
    </row>
    <row r="3284">
      <c r="R3284">
        <f>IFERROR(XLOOKUP(XLOOKUP(D3284,tblReleaseChanges[Change_ID],tblReleaseChanges[Oracle_Severity],""),tblSeverityMap[Severity_Text],tblSeverityMap[Score],0),0)</f>
        <v/>
      </c>
      <c r="T3284">
        <f>ROUND((M3284*0.25)+(N3284*0.20)+(O3284*0.15)+(P3284*0.15)+(Q3284*0.10)+(R3284*0.10)+(S3284*0.05),2)</f>
        <v/>
      </c>
      <c r="U3284">
        <f>IF(T3284&gt;=4.25,"Critical",IF(T3284&gt;=3.5,"High",IF(T3284&gt;=2,"Medium","Low")))</f>
        <v/>
      </c>
    </row>
    <row r="3285">
      <c r="R3285">
        <f>IFERROR(XLOOKUP(XLOOKUP(D3285,tblReleaseChanges[Change_ID],tblReleaseChanges[Oracle_Severity],""),tblSeverityMap[Severity_Text],tblSeverityMap[Score],0),0)</f>
        <v/>
      </c>
      <c r="T3285">
        <f>ROUND((M3285*0.25)+(N3285*0.20)+(O3285*0.15)+(P3285*0.15)+(Q3285*0.10)+(R3285*0.10)+(S3285*0.05),2)</f>
        <v/>
      </c>
      <c r="U3285">
        <f>IF(T3285&gt;=4.25,"Critical",IF(T3285&gt;=3.5,"High",IF(T3285&gt;=2,"Medium","Low")))</f>
        <v/>
      </c>
    </row>
    <row r="3286">
      <c r="R3286">
        <f>IFERROR(XLOOKUP(XLOOKUP(D3286,tblReleaseChanges[Change_ID],tblReleaseChanges[Oracle_Severity],""),tblSeverityMap[Severity_Text],tblSeverityMap[Score],0),0)</f>
        <v/>
      </c>
      <c r="T3286">
        <f>ROUND((M3286*0.25)+(N3286*0.20)+(O3286*0.15)+(P3286*0.15)+(Q3286*0.10)+(R3286*0.10)+(S3286*0.05),2)</f>
        <v/>
      </c>
      <c r="U3286">
        <f>IF(T3286&gt;=4.25,"Critical",IF(T3286&gt;=3.5,"High",IF(T3286&gt;=2,"Medium","Low")))</f>
        <v/>
      </c>
    </row>
    <row r="3287">
      <c r="R3287">
        <f>IFERROR(XLOOKUP(XLOOKUP(D3287,tblReleaseChanges[Change_ID],tblReleaseChanges[Oracle_Severity],""),tblSeverityMap[Severity_Text],tblSeverityMap[Score],0),0)</f>
        <v/>
      </c>
      <c r="T3287">
        <f>ROUND((M3287*0.25)+(N3287*0.20)+(O3287*0.15)+(P3287*0.15)+(Q3287*0.10)+(R3287*0.10)+(S3287*0.05),2)</f>
        <v/>
      </c>
      <c r="U3287">
        <f>IF(T3287&gt;=4.25,"Critical",IF(T3287&gt;=3.5,"High",IF(T3287&gt;=2,"Medium","Low")))</f>
        <v/>
      </c>
    </row>
    <row r="3288">
      <c r="R3288">
        <f>IFERROR(XLOOKUP(XLOOKUP(D3288,tblReleaseChanges[Change_ID],tblReleaseChanges[Oracle_Severity],""),tblSeverityMap[Severity_Text],tblSeverityMap[Score],0),0)</f>
        <v/>
      </c>
      <c r="T3288">
        <f>ROUND((M3288*0.25)+(N3288*0.20)+(O3288*0.15)+(P3288*0.15)+(Q3288*0.10)+(R3288*0.10)+(S3288*0.05),2)</f>
        <v/>
      </c>
      <c r="U3288">
        <f>IF(T3288&gt;=4.25,"Critical",IF(T3288&gt;=3.5,"High",IF(T3288&gt;=2,"Medium","Low")))</f>
        <v/>
      </c>
    </row>
    <row r="3289">
      <c r="R3289">
        <f>IFERROR(XLOOKUP(XLOOKUP(D3289,tblReleaseChanges[Change_ID],tblReleaseChanges[Oracle_Severity],""),tblSeverityMap[Severity_Text],tblSeverityMap[Score],0),0)</f>
        <v/>
      </c>
      <c r="T3289">
        <f>ROUND((M3289*0.25)+(N3289*0.20)+(O3289*0.15)+(P3289*0.15)+(Q3289*0.10)+(R3289*0.10)+(S3289*0.05),2)</f>
        <v/>
      </c>
      <c r="U3289">
        <f>IF(T3289&gt;=4.25,"Critical",IF(T3289&gt;=3.5,"High",IF(T3289&gt;=2,"Medium","Low")))</f>
        <v/>
      </c>
    </row>
    <row r="3290">
      <c r="R3290">
        <f>IFERROR(XLOOKUP(XLOOKUP(D3290,tblReleaseChanges[Change_ID],tblReleaseChanges[Oracle_Severity],""),tblSeverityMap[Severity_Text],tblSeverityMap[Score],0),0)</f>
        <v/>
      </c>
      <c r="T3290">
        <f>ROUND((M3290*0.25)+(N3290*0.20)+(O3290*0.15)+(P3290*0.15)+(Q3290*0.10)+(R3290*0.10)+(S3290*0.05),2)</f>
        <v/>
      </c>
      <c r="U3290">
        <f>IF(T3290&gt;=4.25,"Critical",IF(T3290&gt;=3.5,"High",IF(T3290&gt;=2,"Medium","Low")))</f>
        <v/>
      </c>
    </row>
    <row r="3291">
      <c r="R3291">
        <f>IFERROR(XLOOKUP(XLOOKUP(D3291,tblReleaseChanges[Change_ID],tblReleaseChanges[Oracle_Severity],""),tblSeverityMap[Severity_Text],tblSeverityMap[Score],0),0)</f>
        <v/>
      </c>
      <c r="T3291">
        <f>ROUND((M3291*0.25)+(N3291*0.20)+(O3291*0.15)+(P3291*0.15)+(Q3291*0.10)+(R3291*0.10)+(S3291*0.05),2)</f>
        <v/>
      </c>
      <c r="U3291">
        <f>IF(T3291&gt;=4.25,"Critical",IF(T3291&gt;=3.5,"High",IF(T3291&gt;=2,"Medium","Low")))</f>
        <v/>
      </c>
    </row>
    <row r="3292">
      <c r="R3292">
        <f>IFERROR(XLOOKUP(XLOOKUP(D3292,tblReleaseChanges[Change_ID],tblReleaseChanges[Oracle_Severity],""),tblSeverityMap[Severity_Text],tblSeverityMap[Score],0),0)</f>
        <v/>
      </c>
      <c r="T3292">
        <f>ROUND((M3292*0.25)+(N3292*0.20)+(O3292*0.15)+(P3292*0.15)+(Q3292*0.10)+(R3292*0.10)+(S3292*0.05),2)</f>
        <v/>
      </c>
      <c r="U3292">
        <f>IF(T3292&gt;=4.25,"Critical",IF(T3292&gt;=3.5,"High",IF(T3292&gt;=2,"Medium","Low")))</f>
        <v/>
      </c>
    </row>
    <row r="3293">
      <c r="R3293">
        <f>IFERROR(XLOOKUP(XLOOKUP(D3293,tblReleaseChanges[Change_ID],tblReleaseChanges[Oracle_Severity],""),tblSeverityMap[Severity_Text],tblSeverityMap[Score],0),0)</f>
        <v/>
      </c>
      <c r="T3293">
        <f>ROUND((M3293*0.25)+(N3293*0.20)+(O3293*0.15)+(P3293*0.15)+(Q3293*0.10)+(R3293*0.10)+(S3293*0.05),2)</f>
        <v/>
      </c>
      <c r="U3293">
        <f>IF(T3293&gt;=4.25,"Critical",IF(T3293&gt;=3.5,"High",IF(T3293&gt;=2,"Medium","Low")))</f>
        <v/>
      </c>
    </row>
    <row r="3294">
      <c r="R3294">
        <f>IFERROR(XLOOKUP(XLOOKUP(D3294,tblReleaseChanges[Change_ID],tblReleaseChanges[Oracle_Severity],""),tblSeverityMap[Severity_Text],tblSeverityMap[Score],0),0)</f>
        <v/>
      </c>
      <c r="T3294">
        <f>ROUND((M3294*0.25)+(N3294*0.20)+(O3294*0.15)+(P3294*0.15)+(Q3294*0.10)+(R3294*0.10)+(S3294*0.05),2)</f>
        <v/>
      </c>
      <c r="U3294">
        <f>IF(T3294&gt;=4.25,"Critical",IF(T3294&gt;=3.5,"High",IF(T3294&gt;=2,"Medium","Low")))</f>
        <v/>
      </c>
    </row>
    <row r="3295">
      <c r="R3295">
        <f>IFERROR(XLOOKUP(XLOOKUP(D3295,tblReleaseChanges[Change_ID],tblReleaseChanges[Oracle_Severity],""),tblSeverityMap[Severity_Text],tblSeverityMap[Score],0),0)</f>
        <v/>
      </c>
      <c r="T3295">
        <f>ROUND((M3295*0.25)+(N3295*0.20)+(O3295*0.15)+(P3295*0.15)+(Q3295*0.10)+(R3295*0.10)+(S3295*0.05),2)</f>
        <v/>
      </c>
      <c r="U3295">
        <f>IF(T3295&gt;=4.25,"Critical",IF(T3295&gt;=3.5,"High",IF(T3295&gt;=2,"Medium","Low")))</f>
        <v/>
      </c>
    </row>
    <row r="3296">
      <c r="R3296">
        <f>IFERROR(XLOOKUP(XLOOKUP(D3296,tblReleaseChanges[Change_ID],tblReleaseChanges[Oracle_Severity],""),tblSeverityMap[Severity_Text],tblSeverityMap[Score],0),0)</f>
        <v/>
      </c>
      <c r="T3296">
        <f>ROUND((M3296*0.25)+(N3296*0.20)+(O3296*0.15)+(P3296*0.15)+(Q3296*0.10)+(R3296*0.10)+(S3296*0.05),2)</f>
        <v/>
      </c>
      <c r="U3296">
        <f>IF(T3296&gt;=4.25,"Critical",IF(T3296&gt;=3.5,"High",IF(T3296&gt;=2,"Medium","Low")))</f>
        <v/>
      </c>
    </row>
    <row r="3297">
      <c r="R3297">
        <f>IFERROR(XLOOKUP(XLOOKUP(D3297,tblReleaseChanges[Change_ID],tblReleaseChanges[Oracle_Severity],""),tblSeverityMap[Severity_Text],tblSeverityMap[Score],0),0)</f>
        <v/>
      </c>
      <c r="T3297">
        <f>ROUND((M3297*0.25)+(N3297*0.20)+(O3297*0.15)+(P3297*0.15)+(Q3297*0.10)+(R3297*0.10)+(S3297*0.05),2)</f>
        <v/>
      </c>
      <c r="U3297">
        <f>IF(T3297&gt;=4.25,"Critical",IF(T3297&gt;=3.5,"High",IF(T3297&gt;=2,"Medium","Low")))</f>
        <v/>
      </c>
    </row>
    <row r="3298">
      <c r="R3298">
        <f>IFERROR(XLOOKUP(XLOOKUP(D3298,tblReleaseChanges[Change_ID],tblReleaseChanges[Oracle_Severity],""),tblSeverityMap[Severity_Text],tblSeverityMap[Score],0),0)</f>
        <v/>
      </c>
      <c r="T3298">
        <f>ROUND((M3298*0.25)+(N3298*0.20)+(O3298*0.15)+(P3298*0.15)+(Q3298*0.10)+(R3298*0.10)+(S3298*0.05),2)</f>
        <v/>
      </c>
      <c r="U3298">
        <f>IF(T3298&gt;=4.25,"Critical",IF(T3298&gt;=3.5,"High",IF(T3298&gt;=2,"Medium","Low")))</f>
        <v/>
      </c>
    </row>
    <row r="3299">
      <c r="R3299">
        <f>IFERROR(XLOOKUP(XLOOKUP(D3299,tblReleaseChanges[Change_ID],tblReleaseChanges[Oracle_Severity],""),tblSeverityMap[Severity_Text],tblSeverityMap[Score],0),0)</f>
        <v/>
      </c>
      <c r="T3299">
        <f>ROUND((M3299*0.25)+(N3299*0.20)+(O3299*0.15)+(P3299*0.15)+(Q3299*0.10)+(R3299*0.10)+(S3299*0.05),2)</f>
        <v/>
      </c>
      <c r="U3299">
        <f>IF(T3299&gt;=4.25,"Critical",IF(T3299&gt;=3.5,"High",IF(T3299&gt;=2,"Medium","Low")))</f>
        <v/>
      </c>
    </row>
    <row r="3300">
      <c r="R3300">
        <f>IFERROR(XLOOKUP(XLOOKUP(D3300,tblReleaseChanges[Change_ID],tblReleaseChanges[Oracle_Severity],""),tblSeverityMap[Severity_Text],tblSeverityMap[Score],0),0)</f>
        <v/>
      </c>
      <c r="T3300">
        <f>ROUND((M3300*0.25)+(N3300*0.20)+(O3300*0.15)+(P3300*0.15)+(Q3300*0.10)+(R3300*0.10)+(S3300*0.05),2)</f>
        <v/>
      </c>
      <c r="U3300">
        <f>IF(T3300&gt;=4.25,"Critical",IF(T3300&gt;=3.5,"High",IF(T3300&gt;=2,"Medium","Low")))</f>
        <v/>
      </c>
    </row>
    <row r="3301">
      <c r="R3301">
        <f>IFERROR(XLOOKUP(XLOOKUP(D3301,tblReleaseChanges[Change_ID],tblReleaseChanges[Oracle_Severity],""),tblSeverityMap[Severity_Text],tblSeverityMap[Score],0),0)</f>
        <v/>
      </c>
      <c r="T3301">
        <f>ROUND((M3301*0.25)+(N3301*0.20)+(O3301*0.15)+(P3301*0.15)+(Q3301*0.10)+(R3301*0.10)+(S3301*0.05),2)</f>
        <v/>
      </c>
      <c r="U3301">
        <f>IF(T3301&gt;=4.25,"Critical",IF(T3301&gt;=3.5,"High",IF(T3301&gt;=2,"Medium","Low")))</f>
        <v/>
      </c>
    </row>
    <row r="3302">
      <c r="R3302">
        <f>IFERROR(XLOOKUP(XLOOKUP(D3302,tblReleaseChanges[Change_ID],tblReleaseChanges[Oracle_Severity],""),tblSeverityMap[Severity_Text],tblSeverityMap[Score],0),0)</f>
        <v/>
      </c>
      <c r="T3302">
        <f>ROUND((M3302*0.25)+(N3302*0.20)+(O3302*0.15)+(P3302*0.15)+(Q3302*0.10)+(R3302*0.10)+(S3302*0.05),2)</f>
        <v/>
      </c>
      <c r="U3302">
        <f>IF(T3302&gt;=4.25,"Critical",IF(T3302&gt;=3.5,"High",IF(T3302&gt;=2,"Medium","Low")))</f>
        <v/>
      </c>
    </row>
    <row r="3303">
      <c r="R3303">
        <f>IFERROR(XLOOKUP(XLOOKUP(D3303,tblReleaseChanges[Change_ID],tblReleaseChanges[Oracle_Severity],""),tblSeverityMap[Severity_Text],tblSeverityMap[Score],0),0)</f>
        <v/>
      </c>
      <c r="T3303">
        <f>ROUND((M3303*0.25)+(N3303*0.20)+(O3303*0.15)+(P3303*0.15)+(Q3303*0.10)+(R3303*0.10)+(S3303*0.05),2)</f>
        <v/>
      </c>
      <c r="U3303">
        <f>IF(T3303&gt;=4.25,"Critical",IF(T3303&gt;=3.5,"High",IF(T3303&gt;=2,"Medium","Low")))</f>
        <v/>
      </c>
    </row>
    <row r="3304">
      <c r="R3304">
        <f>IFERROR(XLOOKUP(XLOOKUP(D3304,tblReleaseChanges[Change_ID],tblReleaseChanges[Oracle_Severity],""),tblSeverityMap[Severity_Text],tblSeverityMap[Score],0),0)</f>
        <v/>
      </c>
      <c r="T3304">
        <f>ROUND((M3304*0.25)+(N3304*0.20)+(O3304*0.15)+(P3304*0.15)+(Q3304*0.10)+(R3304*0.10)+(S3304*0.05),2)</f>
        <v/>
      </c>
      <c r="U3304">
        <f>IF(T3304&gt;=4.25,"Critical",IF(T3304&gt;=3.5,"High",IF(T3304&gt;=2,"Medium","Low")))</f>
        <v/>
      </c>
    </row>
    <row r="3305">
      <c r="R3305">
        <f>IFERROR(XLOOKUP(XLOOKUP(D3305,tblReleaseChanges[Change_ID],tblReleaseChanges[Oracle_Severity],""),tblSeverityMap[Severity_Text],tblSeverityMap[Score],0),0)</f>
        <v/>
      </c>
      <c r="T3305">
        <f>ROUND((M3305*0.25)+(N3305*0.20)+(O3305*0.15)+(P3305*0.15)+(Q3305*0.10)+(R3305*0.10)+(S3305*0.05),2)</f>
        <v/>
      </c>
      <c r="U3305">
        <f>IF(T3305&gt;=4.25,"Critical",IF(T3305&gt;=3.5,"High",IF(T3305&gt;=2,"Medium","Low")))</f>
        <v/>
      </c>
    </row>
    <row r="3306">
      <c r="R3306">
        <f>IFERROR(XLOOKUP(XLOOKUP(D3306,tblReleaseChanges[Change_ID],tblReleaseChanges[Oracle_Severity],""),tblSeverityMap[Severity_Text],tblSeverityMap[Score],0),0)</f>
        <v/>
      </c>
      <c r="T3306">
        <f>ROUND((M3306*0.25)+(N3306*0.20)+(O3306*0.15)+(P3306*0.15)+(Q3306*0.10)+(R3306*0.10)+(S3306*0.05),2)</f>
        <v/>
      </c>
      <c r="U3306">
        <f>IF(T3306&gt;=4.25,"Critical",IF(T3306&gt;=3.5,"High",IF(T3306&gt;=2,"Medium","Low")))</f>
        <v/>
      </c>
    </row>
    <row r="3307">
      <c r="R3307">
        <f>IFERROR(XLOOKUP(XLOOKUP(D3307,tblReleaseChanges[Change_ID],tblReleaseChanges[Oracle_Severity],""),tblSeverityMap[Severity_Text],tblSeverityMap[Score],0),0)</f>
        <v/>
      </c>
      <c r="T3307">
        <f>ROUND((M3307*0.25)+(N3307*0.20)+(O3307*0.15)+(P3307*0.15)+(Q3307*0.10)+(R3307*0.10)+(S3307*0.05),2)</f>
        <v/>
      </c>
      <c r="U3307">
        <f>IF(T3307&gt;=4.25,"Critical",IF(T3307&gt;=3.5,"High",IF(T3307&gt;=2,"Medium","Low")))</f>
        <v/>
      </c>
    </row>
    <row r="3308">
      <c r="R3308">
        <f>IFERROR(XLOOKUP(XLOOKUP(D3308,tblReleaseChanges[Change_ID],tblReleaseChanges[Oracle_Severity],""),tblSeverityMap[Severity_Text],tblSeverityMap[Score],0),0)</f>
        <v/>
      </c>
      <c r="T3308">
        <f>ROUND((M3308*0.25)+(N3308*0.20)+(O3308*0.15)+(P3308*0.15)+(Q3308*0.10)+(R3308*0.10)+(S3308*0.05),2)</f>
        <v/>
      </c>
      <c r="U3308">
        <f>IF(T3308&gt;=4.25,"Critical",IF(T3308&gt;=3.5,"High",IF(T3308&gt;=2,"Medium","Low")))</f>
        <v/>
      </c>
    </row>
    <row r="3309">
      <c r="R3309">
        <f>IFERROR(XLOOKUP(XLOOKUP(D3309,tblReleaseChanges[Change_ID],tblReleaseChanges[Oracle_Severity],""),tblSeverityMap[Severity_Text],tblSeverityMap[Score],0),0)</f>
        <v/>
      </c>
      <c r="T3309">
        <f>ROUND((M3309*0.25)+(N3309*0.20)+(O3309*0.15)+(P3309*0.15)+(Q3309*0.10)+(R3309*0.10)+(S3309*0.05),2)</f>
        <v/>
      </c>
      <c r="U3309">
        <f>IF(T3309&gt;=4.25,"Critical",IF(T3309&gt;=3.5,"High",IF(T3309&gt;=2,"Medium","Low")))</f>
        <v/>
      </c>
    </row>
    <row r="3310">
      <c r="R3310">
        <f>IFERROR(XLOOKUP(XLOOKUP(D3310,tblReleaseChanges[Change_ID],tblReleaseChanges[Oracle_Severity],""),tblSeverityMap[Severity_Text],tblSeverityMap[Score],0),0)</f>
        <v/>
      </c>
      <c r="T3310">
        <f>ROUND((M3310*0.25)+(N3310*0.20)+(O3310*0.15)+(P3310*0.15)+(Q3310*0.10)+(R3310*0.10)+(S3310*0.05),2)</f>
        <v/>
      </c>
      <c r="U3310">
        <f>IF(T3310&gt;=4.25,"Critical",IF(T3310&gt;=3.5,"High",IF(T3310&gt;=2,"Medium","Low")))</f>
        <v/>
      </c>
    </row>
    <row r="3311">
      <c r="R3311">
        <f>IFERROR(XLOOKUP(XLOOKUP(D3311,tblReleaseChanges[Change_ID],tblReleaseChanges[Oracle_Severity],""),tblSeverityMap[Severity_Text],tblSeverityMap[Score],0),0)</f>
        <v/>
      </c>
      <c r="T3311">
        <f>ROUND((M3311*0.25)+(N3311*0.20)+(O3311*0.15)+(P3311*0.15)+(Q3311*0.10)+(R3311*0.10)+(S3311*0.05),2)</f>
        <v/>
      </c>
      <c r="U3311">
        <f>IF(T3311&gt;=4.25,"Critical",IF(T3311&gt;=3.5,"High",IF(T3311&gt;=2,"Medium","Low")))</f>
        <v/>
      </c>
    </row>
    <row r="3312">
      <c r="R3312">
        <f>IFERROR(XLOOKUP(XLOOKUP(D3312,tblReleaseChanges[Change_ID],tblReleaseChanges[Oracle_Severity],""),tblSeverityMap[Severity_Text],tblSeverityMap[Score],0),0)</f>
        <v/>
      </c>
      <c r="T3312">
        <f>ROUND((M3312*0.25)+(N3312*0.20)+(O3312*0.15)+(P3312*0.15)+(Q3312*0.10)+(R3312*0.10)+(S3312*0.05),2)</f>
        <v/>
      </c>
      <c r="U3312">
        <f>IF(T3312&gt;=4.25,"Critical",IF(T3312&gt;=3.5,"High",IF(T3312&gt;=2,"Medium","Low")))</f>
        <v/>
      </c>
    </row>
    <row r="3313">
      <c r="R3313">
        <f>IFERROR(XLOOKUP(XLOOKUP(D3313,tblReleaseChanges[Change_ID],tblReleaseChanges[Oracle_Severity],""),tblSeverityMap[Severity_Text],tblSeverityMap[Score],0),0)</f>
        <v/>
      </c>
      <c r="T3313">
        <f>ROUND((M3313*0.25)+(N3313*0.20)+(O3313*0.15)+(P3313*0.15)+(Q3313*0.10)+(R3313*0.10)+(S3313*0.05),2)</f>
        <v/>
      </c>
      <c r="U3313">
        <f>IF(T3313&gt;=4.25,"Critical",IF(T3313&gt;=3.5,"High",IF(T3313&gt;=2,"Medium","Low")))</f>
        <v/>
      </c>
    </row>
    <row r="3314">
      <c r="R3314">
        <f>IFERROR(XLOOKUP(XLOOKUP(D3314,tblReleaseChanges[Change_ID],tblReleaseChanges[Oracle_Severity],""),tblSeverityMap[Severity_Text],tblSeverityMap[Score],0),0)</f>
        <v/>
      </c>
      <c r="T3314">
        <f>ROUND((M3314*0.25)+(N3314*0.20)+(O3314*0.15)+(P3314*0.15)+(Q3314*0.10)+(R3314*0.10)+(S3314*0.05),2)</f>
        <v/>
      </c>
      <c r="U3314">
        <f>IF(T3314&gt;=4.25,"Critical",IF(T3314&gt;=3.5,"High",IF(T3314&gt;=2,"Medium","Low")))</f>
        <v/>
      </c>
    </row>
    <row r="3315">
      <c r="R3315">
        <f>IFERROR(XLOOKUP(XLOOKUP(D3315,tblReleaseChanges[Change_ID],tblReleaseChanges[Oracle_Severity],""),tblSeverityMap[Severity_Text],tblSeverityMap[Score],0),0)</f>
        <v/>
      </c>
      <c r="T3315">
        <f>ROUND((M3315*0.25)+(N3315*0.20)+(O3315*0.15)+(P3315*0.15)+(Q3315*0.10)+(R3315*0.10)+(S3315*0.05),2)</f>
        <v/>
      </c>
      <c r="U3315">
        <f>IF(T3315&gt;=4.25,"Critical",IF(T3315&gt;=3.5,"High",IF(T3315&gt;=2,"Medium","Low")))</f>
        <v/>
      </c>
    </row>
    <row r="3316">
      <c r="R3316">
        <f>IFERROR(XLOOKUP(XLOOKUP(D3316,tblReleaseChanges[Change_ID],tblReleaseChanges[Oracle_Severity],""),tblSeverityMap[Severity_Text],tblSeverityMap[Score],0),0)</f>
        <v/>
      </c>
      <c r="T3316">
        <f>ROUND((M3316*0.25)+(N3316*0.20)+(O3316*0.15)+(P3316*0.15)+(Q3316*0.10)+(R3316*0.10)+(S3316*0.05),2)</f>
        <v/>
      </c>
      <c r="U3316">
        <f>IF(T3316&gt;=4.25,"Critical",IF(T3316&gt;=3.5,"High",IF(T3316&gt;=2,"Medium","Low")))</f>
        <v/>
      </c>
    </row>
    <row r="3317">
      <c r="R3317">
        <f>IFERROR(XLOOKUP(XLOOKUP(D3317,tblReleaseChanges[Change_ID],tblReleaseChanges[Oracle_Severity],""),tblSeverityMap[Severity_Text],tblSeverityMap[Score],0),0)</f>
        <v/>
      </c>
      <c r="T3317">
        <f>ROUND((M3317*0.25)+(N3317*0.20)+(O3317*0.15)+(P3317*0.15)+(Q3317*0.10)+(R3317*0.10)+(S3317*0.05),2)</f>
        <v/>
      </c>
      <c r="U3317">
        <f>IF(T3317&gt;=4.25,"Critical",IF(T3317&gt;=3.5,"High",IF(T3317&gt;=2,"Medium","Low")))</f>
        <v/>
      </c>
    </row>
    <row r="3318">
      <c r="R3318">
        <f>IFERROR(XLOOKUP(XLOOKUP(D3318,tblReleaseChanges[Change_ID],tblReleaseChanges[Oracle_Severity],""),tblSeverityMap[Severity_Text],tblSeverityMap[Score],0),0)</f>
        <v/>
      </c>
      <c r="T3318">
        <f>ROUND((M3318*0.25)+(N3318*0.20)+(O3318*0.15)+(P3318*0.15)+(Q3318*0.10)+(R3318*0.10)+(S3318*0.05),2)</f>
        <v/>
      </c>
      <c r="U3318">
        <f>IF(T3318&gt;=4.25,"Critical",IF(T3318&gt;=3.5,"High",IF(T3318&gt;=2,"Medium","Low")))</f>
        <v/>
      </c>
    </row>
    <row r="3319">
      <c r="R3319">
        <f>IFERROR(XLOOKUP(XLOOKUP(D3319,tblReleaseChanges[Change_ID],tblReleaseChanges[Oracle_Severity],""),tblSeverityMap[Severity_Text],tblSeverityMap[Score],0),0)</f>
        <v/>
      </c>
      <c r="T3319">
        <f>ROUND((M3319*0.25)+(N3319*0.20)+(O3319*0.15)+(P3319*0.15)+(Q3319*0.10)+(R3319*0.10)+(S3319*0.05),2)</f>
        <v/>
      </c>
      <c r="U3319">
        <f>IF(T3319&gt;=4.25,"Critical",IF(T3319&gt;=3.5,"High",IF(T3319&gt;=2,"Medium","Low")))</f>
        <v/>
      </c>
    </row>
    <row r="3320">
      <c r="R3320">
        <f>IFERROR(XLOOKUP(XLOOKUP(D3320,tblReleaseChanges[Change_ID],tblReleaseChanges[Oracle_Severity],""),tblSeverityMap[Severity_Text],tblSeverityMap[Score],0),0)</f>
        <v/>
      </c>
      <c r="T3320">
        <f>ROUND((M3320*0.25)+(N3320*0.20)+(O3320*0.15)+(P3320*0.15)+(Q3320*0.10)+(R3320*0.10)+(S3320*0.05),2)</f>
        <v/>
      </c>
      <c r="U3320">
        <f>IF(T3320&gt;=4.25,"Critical",IF(T3320&gt;=3.5,"High",IF(T3320&gt;=2,"Medium","Low")))</f>
        <v/>
      </c>
    </row>
    <row r="3321">
      <c r="R3321">
        <f>IFERROR(XLOOKUP(XLOOKUP(D3321,tblReleaseChanges[Change_ID],tblReleaseChanges[Oracle_Severity],""),tblSeverityMap[Severity_Text],tblSeverityMap[Score],0),0)</f>
        <v/>
      </c>
      <c r="T3321">
        <f>ROUND((M3321*0.25)+(N3321*0.20)+(O3321*0.15)+(P3321*0.15)+(Q3321*0.10)+(R3321*0.10)+(S3321*0.05),2)</f>
        <v/>
      </c>
      <c r="U3321">
        <f>IF(T3321&gt;=4.25,"Critical",IF(T3321&gt;=3.5,"High",IF(T3321&gt;=2,"Medium","Low")))</f>
        <v/>
      </c>
    </row>
    <row r="3322">
      <c r="R3322">
        <f>IFERROR(XLOOKUP(XLOOKUP(D3322,tblReleaseChanges[Change_ID],tblReleaseChanges[Oracle_Severity],""),tblSeverityMap[Severity_Text],tblSeverityMap[Score],0),0)</f>
        <v/>
      </c>
      <c r="T3322">
        <f>ROUND((M3322*0.25)+(N3322*0.20)+(O3322*0.15)+(P3322*0.15)+(Q3322*0.10)+(R3322*0.10)+(S3322*0.05),2)</f>
        <v/>
      </c>
      <c r="U3322">
        <f>IF(T3322&gt;=4.25,"Critical",IF(T3322&gt;=3.5,"High",IF(T3322&gt;=2,"Medium","Low")))</f>
        <v/>
      </c>
    </row>
    <row r="3323">
      <c r="R3323">
        <f>IFERROR(XLOOKUP(XLOOKUP(D3323,tblReleaseChanges[Change_ID],tblReleaseChanges[Oracle_Severity],""),tblSeverityMap[Severity_Text],tblSeverityMap[Score],0),0)</f>
        <v/>
      </c>
      <c r="T3323">
        <f>ROUND((M3323*0.25)+(N3323*0.20)+(O3323*0.15)+(P3323*0.15)+(Q3323*0.10)+(R3323*0.10)+(S3323*0.05),2)</f>
        <v/>
      </c>
      <c r="U3323">
        <f>IF(T3323&gt;=4.25,"Critical",IF(T3323&gt;=3.5,"High",IF(T3323&gt;=2,"Medium","Low")))</f>
        <v/>
      </c>
    </row>
    <row r="3324">
      <c r="R3324">
        <f>IFERROR(XLOOKUP(XLOOKUP(D3324,tblReleaseChanges[Change_ID],tblReleaseChanges[Oracle_Severity],""),tblSeverityMap[Severity_Text],tblSeverityMap[Score],0),0)</f>
        <v/>
      </c>
      <c r="T3324">
        <f>ROUND((M3324*0.25)+(N3324*0.20)+(O3324*0.15)+(P3324*0.15)+(Q3324*0.10)+(R3324*0.10)+(S3324*0.05),2)</f>
        <v/>
      </c>
      <c r="U3324">
        <f>IF(T3324&gt;=4.25,"Critical",IF(T3324&gt;=3.5,"High",IF(T3324&gt;=2,"Medium","Low")))</f>
        <v/>
      </c>
    </row>
    <row r="3325">
      <c r="R3325">
        <f>IFERROR(XLOOKUP(XLOOKUP(D3325,tblReleaseChanges[Change_ID],tblReleaseChanges[Oracle_Severity],""),tblSeverityMap[Severity_Text],tblSeverityMap[Score],0),0)</f>
        <v/>
      </c>
      <c r="T3325">
        <f>ROUND((M3325*0.25)+(N3325*0.20)+(O3325*0.15)+(P3325*0.15)+(Q3325*0.10)+(R3325*0.10)+(S3325*0.05),2)</f>
        <v/>
      </c>
      <c r="U3325">
        <f>IF(T3325&gt;=4.25,"Critical",IF(T3325&gt;=3.5,"High",IF(T3325&gt;=2,"Medium","Low")))</f>
        <v/>
      </c>
    </row>
    <row r="3326">
      <c r="R3326">
        <f>IFERROR(XLOOKUP(XLOOKUP(D3326,tblReleaseChanges[Change_ID],tblReleaseChanges[Oracle_Severity],""),tblSeverityMap[Severity_Text],tblSeverityMap[Score],0),0)</f>
        <v/>
      </c>
      <c r="T3326">
        <f>ROUND((M3326*0.25)+(N3326*0.20)+(O3326*0.15)+(P3326*0.15)+(Q3326*0.10)+(R3326*0.10)+(S3326*0.05),2)</f>
        <v/>
      </c>
      <c r="U3326">
        <f>IF(T3326&gt;=4.25,"Critical",IF(T3326&gt;=3.5,"High",IF(T3326&gt;=2,"Medium","Low")))</f>
        <v/>
      </c>
    </row>
    <row r="3327">
      <c r="R3327">
        <f>IFERROR(XLOOKUP(XLOOKUP(D3327,tblReleaseChanges[Change_ID],tblReleaseChanges[Oracle_Severity],""),tblSeverityMap[Severity_Text],tblSeverityMap[Score],0),0)</f>
        <v/>
      </c>
      <c r="T3327">
        <f>ROUND((M3327*0.25)+(N3327*0.20)+(O3327*0.15)+(P3327*0.15)+(Q3327*0.10)+(R3327*0.10)+(S3327*0.05),2)</f>
        <v/>
      </c>
      <c r="U3327">
        <f>IF(T3327&gt;=4.25,"Critical",IF(T3327&gt;=3.5,"High",IF(T3327&gt;=2,"Medium","Low")))</f>
        <v/>
      </c>
    </row>
    <row r="3328">
      <c r="R3328">
        <f>IFERROR(XLOOKUP(XLOOKUP(D3328,tblReleaseChanges[Change_ID],tblReleaseChanges[Oracle_Severity],""),tblSeverityMap[Severity_Text],tblSeverityMap[Score],0),0)</f>
        <v/>
      </c>
      <c r="T3328">
        <f>ROUND((M3328*0.25)+(N3328*0.20)+(O3328*0.15)+(P3328*0.15)+(Q3328*0.10)+(R3328*0.10)+(S3328*0.05),2)</f>
        <v/>
      </c>
      <c r="U3328">
        <f>IF(T3328&gt;=4.25,"Critical",IF(T3328&gt;=3.5,"High",IF(T3328&gt;=2,"Medium","Low")))</f>
        <v/>
      </c>
    </row>
    <row r="3329">
      <c r="R3329">
        <f>IFERROR(XLOOKUP(XLOOKUP(D3329,tblReleaseChanges[Change_ID],tblReleaseChanges[Oracle_Severity],""),tblSeverityMap[Severity_Text],tblSeverityMap[Score],0),0)</f>
        <v/>
      </c>
      <c r="T3329">
        <f>ROUND((M3329*0.25)+(N3329*0.20)+(O3329*0.15)+(P3329*0.15)+(Q3329*0.10)+(R3329*0.10)+(S3329*0.05),2)</f>
        <v/>
      </c>
      <c r="U3329">
        <f>IF(T3329&gt;=4.25,"Critical",IF(T3329&gt;=3.5,"High",IF(T3329&gt;=2,"Medium","Low")))</f>
        <v/>
      </c>
    </row>
    <row r="3330">
      <c r="R3330">
        <f>IFERROR(XLOOKUP(XLOOKUP(D3330,tblReleaseChanges[Change_ID],tblReleaseChanges[Oracle_Severity],""),tblSeverityMap[Severity_Text],tblSeverityMap[Score],0),0)</f>
        <v/>
      </c>
      <c r="T3330">
        <f>ROUND((M3330*0.25)+(N3330*0.20)+(O3330*0.15)+(P3330*0.15)+(Q3330*0.10)+(R3330*0.10)+(S3330*0.05),2)</f>
        <v/>
      </c>
      <c r="U3330">
        <f>IF(T3330&gt;=4.25,"Critical",IF(T3330&gt;=3.5,"High",IF(T3330&gt;=2,"Medium","Low")))</f>
        <v/>
      </c>
    </row>
    <row r="3331">
      <c r="R3331">
        <f>IFERROR(XLOOKUP(XLOOKUP(D3331,tblReleaseChanges[Change_ID],tblReleaseChanges[Oracle_Severity],""),tblSeverityMap[Severity_Text],tblSeverityMap[Score],0),0)</f>
        <v/>
      </c>
      <c r="T3331">
        <f>ROUND((M3331*0.25)+(N3331*0.20)+(O3331*0.15)+(P3331*0.15)+(Q3331*0.10)+(R3331*0.10)+(S3331*0.05),2)</f>
        <v/>
      </c>
      <c r="U3331">
        <f>IF(T3331&gt;=4.25,"Critical",IF(T3331&gt;=3.5,"High",IF(T3331&gt;=2,"Medium","Low")))</f>
        <v/>
      </c>
    </row>
    <row r="3332">
      <c r="R3332">
        <f>IFERROR(XLOOKUP(XLOOKUP(D3332,tblReleaseChanges[Change_ID],tblReleaseChanges[Oracle_Severity],""),tblSeverityMap[Severity_Text],tblSeverityMap[Score],0),0)</f>
        <v/>
      </c>
      <c r="T3332">
        <f>ROUND((M3332*0.25)+(N3332*0.20)+(O3332*0.15)+(P3332*0.15)+(Q3332*0.10)+(R3332*0.10)+(S3332*0.05),2)</f>
        <v/>
      </c>
      <c r="U3332">
        <f>IF(T3332&gt;=4.25,"Critical",IF(T3332&gt;=3.5,"High",IF(T3332&gt;=2,"Medium","Low")))</f>
        <v/>
      </c>
    </row>
    <row r="3333">
      <c r="R3333">
        <f>IFERROR(XLOOKUP(XLOOKUP(D3333,tblReleaseChanges[Change_ID],tblReleaseChanges[Oracle_Severity],""),tblSeverityMap[Severity_Text],tblSeverityMap[Score],0),0)</f>
        <v/>
      </c>
      <c r="T3333">
        <f>ROUND((M3333*0.25)+(N3333*0.20)+(O3333*0.15)+(P3333*0.15)+(Q3333*0.10)+(R3333*0.10)+(S3333*0.05),2)</f>
        <v/>
      </c>
      <c r="U3333">
        <f>IF(T3333&gt;=4.25,"Critical",IF(T3333&gt;=3.5,"High",IF(T3333&gt;=2,"Medium","Low")))</f>
        <v/>
      </c>
    </row>
    <row r="3334">
      <c r="R3334">
        <f>IFERROR(XLOOKUP(XLOOKUP(D3334,tblReleaseChanges[Change_ID],tblReleaseChanges[Oracle_Severity],""),tblSeverityMap[Severity_Text],tblSeverityMap[Score],0),0)</f>
        <v/>
      </c>
      <c r="T3334">
        <f>ROUND((M3334*0.25)+(N3334*0.20)+(O3334*0.15)+(P3334*0.15)+(Q3334*0.10)+(R3334*0.10)+(S3334*0.05),2)</f>
        <v/>
      </c>
      <c r="U3334">
        <f>IF(T3334&gt;=4.25,"Critical",IF(T3334&gt;=3.5,"High",IF(T3334&gt;=2,"Medium","Low")))</f>
        <v/>
      </c>
    </row>
    <row r="3335">
      <c r="R3335">
        <f>IFERROR(XLOOKUP(XLOOKUP(D3335,tblReleaseChanges[Change_ID],tblReleaseChanges[Oracle_Severity],""),tblSeverityMap[Severity_Text],tblSeverityMap[Score],0),0)</f>
        <v/>
      </c>
      <c r="T3335">
        <f>ROUND((M3335*0.25)+(N3335*0.20)+(O3335*0.15)+(P3335*0.15)+(Q3335*0.10)+(R3335*0.10)+(S3335*0.05),2)</f>
        <v/>
      </c>
      <c r="U3335">
        <f>IF(T3335&gt;=4.25,"Critical",IF(T3335&gt;=3.5,"High",IF(T3335&gt;=2,"Medium","Low")))</f>
        <v/>
      </c>
    </row>
    <row r="3336">
      <c r="R3336">
        <f>IFERROR(XLOOKUP(XLOOKUP(D3336,tblReleaseChanges[Change_ID],tblReleaseChanges[Oracle_Severity],""),tblSeverityMap[Severity_Text],tblSeverityMap[Score],0),0)</f>
        <v/>
      </c>
      <c r="T3336">
        <f>ROUND((M3336*0.25)+(N3336*0.20)+(O3336*0.15)+(P3336*0.15)+(Q3336*0.10)+(R3336*0.10)+(S3336*0.05),2)</f>
        <v/>
      </c>
      <c r="U3336">
        <f>IF(T3336&gt;=4.25,"Critical",IF(T3336&gt;=3.5,"High",IF(T3336&gt;=2,"Medium","Low")))</f>
        <v/>
      </c>
    </row>
    <row r="3337">
      <c r="R3337">
        <f>IFERROR(XLOOKUP(XLOOKUP(D3337,tblReleaseChanges[Change_ID],tblReleaseChanges[Oracle_Severity],""),tblSeverityMap[Severity_Text],tblSeverityMap[Score],0),0)</f>
        <v/>
      </c>
      <c r="T3337">
        <f>ROUND((M3337*0.25)+(N3337*0.20)+(O3337*0.15)+(P3337*0.15)+(Q3337*0.10)+(R3337*0.10)+(S3337*0.05),2)</f>
        <v/>
      </c>
      <c r="U3337">
        <f>IF(T3337&gt;=4.25,"Critical",IF(T3337&gt;=3.5,"High",IF(T3337&gt;=2,"Medium","Low")))</f>
        <v/>
      </c>
    </row>
    <row r="3338">
      <c r="R3338">
        <f>IFERROR(XLOOKUP(XLOOKUP(D3338,tblReleaseChanges[Change_ID],tblReleaseChanges[Oracle_Severity],""),tblSeverityMap[Severity_Text],tblSeverityMap[Score],0),0)</f>
        <v/>
      </c>
      <c r="T3338">
        <f>ROUND((M3338*0.25)+(N3338*0.20)+(O3338*0.15)+(P3338*0.15)+(Q3338*0.10)+(R3338*0.10)+(S3338*0.05),2)</f>
        <v/>
      </c>
      <c r="U3338">
        <f>IF(T3338&gt;=4.25,"Critical",IF(T3338&gt;=3.5,"High",IF(T3338&gt;=2,"Medium","Low")))</f>
        <v/>
      </c>
    </row>
    <row r="3339">
      <c r="R3339">
        <f>IFERROR(XLOOKUP(XLOOKUP(D3339,tblReleaseChanges[Change_ID],tblReleaseChanges[Oracle_Severity],""),tblSeverityMap[Severity_Text],tblSeverityMap[Score],0),0)</f>
        <v/>
      </c>
      <c r="T3339">
        <f>ROUND((M3339*0.25)+(N3339*0.20)+(O3339*0.15)+(P3339*0.15)+(Q3339*0.10)+(R3339*0.10)+(S3339*0.05),2)</f>
        <v/>
      </c>
      <c r="U3339">
        <f>IF(T3339&gt;=4.25,"Critical",IF(T3339&gt;=3.5,"High",IF(T3339&gt;=2,"Medium","Low")))</f>
        <v/>
      </c>
    </row>
    <row r="3340">
      <c r="R3340">
        <f>IFERROR(XLOOKUP(XLOOKUP(D3340,tblReleaseChanges[Change_ID],tblReleaseChanges[Oracle_Severity],""),tblSeverityMap[Severity_Text],tblSeverityMap[Score],0),0)</f>
        <v/>
      </c>
      <c r="T3340">
        <f>ROUND((M3340*0.25)+(N3340*0.20)+(O3340*0.15)+(P3340*0.15)+(Q3340*0.10)+(R3340*0.10)+(S3340*0.05),2)</f>
        <v/>
      </c>
      <c r="U3340">
        <f>IF(T3340&gt;=4.25,"Critical",IF(T3340&gt;=3.5,"High",IF(T3340&gt;=2,"Medium","Low")))</f>
        <v/>
      </c>
    </row>
    <row r="3341">
      <c r="R3341">
        <f>IFERROR(XLOOKUP(XLOOKUP(D3341,tblReleaseChanges[Change_ID],tblReleaseChanges[Oracle_Severity],""),tblSeverityMap[Severity_Text],tblSeverityMap[Score],0),0)</f>
        <v/>
      </c>
      <c r="T3341">
        <f>ROUND((M3341*0.25)+(N3341*0.20)+(O3341*0.15)+(P3341*0.15)+(Q3341*0.10)+(R3341*0.10)+(S3341*0.05),2)</f>
        <v/>
      </c>
      <c r="U3341">
        <f>IF(T3341&gt;=4.25,"Critical",IF(T3341&gt;=3.5,"High",IF(T3341&gt;=2,"Medium","Low")))</f>
        <v/>
      </c>
    </row>
    <row r="3342">
      <c r="R3342">
        <f>IFERROR(XLOOKUP(XLOOKUP(D3342,tblReleaseChanges[Change_ID],tblReleaseChanges[Oracle_Severity],""),tblSeverityMap[Severity_Text],tblSeverityMap[Score],0),0)</f>
        <v/>
      </c>
      <c r="T3342">
        <f>ROUND((M3342*0.25)+(N3342*0.20)+(O3342*0.15)+(P3342*0.15)+(Q3342*0.10)+(R3342*0.10)+(S3342*0.05),2)</f>
        <v/>
      </c>
      <c r="U3342">
        <f>IF(T3342&gt;=4.25,"Critical",IF(T3342&gt;=3.5,"High",IF(T3342&gt;=2,"Medium","Low")))</f>
        <v/>
      </c>
    </row>
    <row r="3343">
      <c r="R3343">
        <f>IFERROR(XLOOKUP(XLOOKUP(D3343,tblReleaseChanges[Change_ID],tblReleaseChanges[Oracle_Severity],""),tblSeverityMap[Severity_Text],tblSeverityMap[Score],0),0)</f>
        <v/>
      </c>
      <c r="T3343">
        <f>ROUND((M3343*0.25)+(N3343*0.20)+(O3343*0.15)+(P3343*0.15)+(Q3343*0.10)+(R3343*0.10)+(S3343*0.05),2)</f>
        <v/>
      </c>
      <c r="U3343">
        <f>IF(T3343&gt;=4.25,"Critical",IF(T3343&gt;=3.5,"High",IF(T3343&gt;=2,"Medium","Low")))</f>
        <v/>
      </c>
    </row>
    <row r="3344">
      <c r="R3344">
        <f>IFERROR(XLOOKUP(XLOOKUP(D3344,tblReleaseChanges[Change_ID],tblReleaseChanges[Oracle_Severity],""),tblSeverityMap[Severity_Text],tblSeverityMap[Score],0),0)</f>
        <v/>
      </c>
      <c r="T3344">
        <f>ROUND((M3344*0.25)+(N3344*0.20)+(O3344*0.15)+(P3344*0.15)+(Q3344*0.10)+(R3344*0.10)+(S3344*0.05),2)</f>
        <v/>
      </c>
      <c r="U3344">
        <f>IF(T3344&gt;=4.25,"Critical",IF(T3344&gt;=3.5,"High",IF(T3344&gt;=2,"Medium","Low")))</f>
        <v/>
      </c>
    </row>
    <row r="3345">
      <c r="R3345">
        <f>IFERROR(XLOOKUP(XLOOKUP(D3345,tblReleaseChanges[Change_ID],tblReleaseChanges[Oracle_Severity],""),tblSeverityMap[Severity_Text],tblSeverityMap[Score],0),0)</f>
        <v/>
      </c>
      <c r="T3345">
        <f>ROUND((M3345*0.25)+(N3345*0.20)+(O3345*0.15)+(P3345*0.15)+(Q3345*0.10)+(R3345*0.10)+(S3345*0.05),2)</f>
        <v/>
      </c>
      <c r="U3345">
        <f>IF(T3345&gt;=4.25,"Critical",IF(T3345&gt;=3.5,"High",IF(T3345&gt;=2,"Medium","Low")))</f>
        <v/>
      </c>
    </row>
    <row r="3346">
      <c r="R3346">
        <f>IFERROR(XLOOKUP(XLOOKUP(D3346,tblReleaseChanges[Change_ID],tblReleaseChanges[Oracle_Severity],""),tblSeverityMap[Severity_Text],tblSeverityMap[Score],0),0)</f>
        <v/>
      </c>
      <c r="T3346">
        <f>ROUND((M3346*0.25)+(N3346*0.20)+(O3346*0.15)+(P3346*0.15)+(Q3346*0.10)+(R3346*0.10)+(S3346*0.05),2)</f>
        <v/>
      </c>
      <c r="U3346">
        <f>IF(T3346&gt;=4.25,"Critical",IF(T3346&gt;=3.5,"High",IF(T3346&gt;=2,"Medium","Low")))</f>
        <v/>
      </c>
    </row>
    <row r="3347">
      <c r="R3347">
        <f>IFERROR(XLOOKUP(XLOOKUP(D3347,tblReleaseChanges[Change_ID],tblReleaseChanges[Oracle_Severity],""),tblSeverityMap[Severity_Text],tblSeverityMap[Score],0),0)</f>
        <v/>
      </c>
      <c r="T3347">
        <f>ROUND((M3347*0.25)+(N3347*0.20)+(O3347*0.15)+(P3347*0.15)+(Q3347*0.10)+(R3347*0.10)+(S3347*0.05),2)</f>
        <v/>
      </c>
      <c r="U3347">
        <f>IF(T3347&gt;=4.25,"Critical",IF(T3347&gt;=3.5,"High",IF(T3347&gt;=2,"Medium","Low")))</f>
        <v/>
      </c>
    </row>
    <row r="3348">
      <c r="R3348">
        <f>IFERROR(XLOOKUP(XLOOKUP(D3348,tblReleaseChanges[Change_ID],tblReleaseChanges[Oracle_Severity],""),tblSeverityMap[Severity_Text],tblSeverityMap[Score],0),0)</f>
        <v/>
      </c>
      <c r="T3348">
        <f>ROUND((M3348*0.25)+(N3348*0.20)+(O3348*0.15)+(P3348*0.15)+(Q3348*0.10)+(R3348*0.10)+(S3348*0.05),2)</f>
        <v/>
      </c>
      <c r="U3348">
        <f>IF(T3348&gt;=4.25,"Critical",IF(T3348&gt;=3.5,"High",IF(T3348&gt;=2,"Medium","Low")))</f>
        <v/>
      </c>
    </row>
    <row r="3349">
      <c r="R3349">
        <f>IFERROR(XLOOKUP(XLOOKUP(D3349,tblReleaseChanges[Change_ID],tblReleaseChanges[Oracle_Severity],""),tblSeverityMap[Severity_Text],tblSeverityMap[Score],0),0)</f>
        <v/>
      </c>
      <c r="T3349">
        <f>ROUND((M3349*0.25)+(N3349*0.20)+(O3349*0.15)+(P3349*0.15)+(Q3349*0.10)+(R3349*0.10)+(S3349*0.05),2)</f>
        <v/>
      </c>
      <c r="U3349">
        <f>IF(T3349&gt;=4.25,"Critical",IF(T3349&gt;=3.5,"High",IF(T3349&gt;=2,"Medium","Low")))</f>
        <v/>
      </c>
    </row>
    <row r="3350">
      <c r="R3350">
        <f>IFERROR(XLOOKUP(XLOOKUP(D3350,tblReleaseChanges[Change_ID],tblReleaseChanges[Oracle_Severity],""),tblSeverityMap[Severity_Text],tblSeverityMap[Score],0),0)</f>
        <v/>
      </c>
      <c r="T3350">
        <f>ROUND((M3350*0.25)+(N3350*0.20)+(O3350*0.15)+(P3350*0.15)+(Q3350*0.10)+(R3350*0.10)+(S3350*0.05),2)</f>
        <v/>
      </c>
      <c r="U3350">
        <f>IF(T3350&gt;=4.25,"Critical",IF(T3350&gt;=3.5,"High",IF(T3350&gt;=2,"Medium","Low")))</f>
        <v/>
      </c>
    </row>
    <row r="3351">
      <c r="R3351">
        <f>IFERROR(XLOOKUP(XLOOKUP(D3351,tblReleaseChanges[Change_ID],tblReleaseChanges[Oracle_Severity],""),tblSeverityMap[Severity_Text],tblSeverityMap[Score],0),0)</f>
        <v/>
      </c>
      <c r="T3351">
        <f>ROUND((M3351*0.25)+(N3351*0.20)+(O3351*0.15)+(P3351*0.15)+(Q3351*0.10)+(R3351*0.10)+(S3351*0.05),2)</f>
        <v/>
      </c>
      <c r="U3351">
        <f>IF(T3351&gt;=4.25,"Critical",IF(T3351&gt;=3.5,"High",IF(T3351&gt;=2,"Medium","Low")))</f>
        <v/>
      </c>
    </row>
    <row r="3352">
      <c r="R3352">
        <f>IFERROR(XLOOKUP(XLOOKUP(D3352,tblReleaseChanges[Change_ID],tblReleaseChanges[Oracle_Severity],""),tblSeverityMap[Severity_Text],tblSeverityMap[Score],0),0)</f>
        <v/>
      </c>
      <c r="T3352">
        <f>ROUND((M3352*0.25)+(N3352*0.20)+(O3352*0.15)+(P3352*0.15)+(Q3352*0.10)+(R3352*0.10)+(S3352*0.05),2)</f>
        <v/>
      </c>
      <c r="U3352">
        <f>IF(T3352&gt;=4.25,"Critical",IF(T3352&gt;=3.5,"High",IF(T3352&gt;=2,"Medium","Low")))</f>
        <v/>
      </c>
    </row>
    <row r="3353">
      <c r="R3353">
        <f>IFERROR(XLOOKUP(XLOOKUP(D3353,tblReleaseChanges[Change_ID],tblReleaseChanges[Oracle_Severity],""),tblSeverityMap[Severity_Text],tblSeverityMap[Score],0),0)</f>
        <v/>
      </c>
      <c r="T3353">
        <f>ROUND((M3353*0.25)+(N3353*0.20)+(O3353*0.15)+(P3353*0.15)+(Q3353*0.10)+(R3353*0.10)+(S3353*0.05),2)</f>
        <v/>
      </c>
      <c r="U3353">
        <f>IF(T3353&gt;=4.25,"Critical",IF(T3353&gt;=3.5,"High",IF(T3353&gt;=2,"Medium","Low")))</f>
        <v/>
      </c>
    </row>
    <row r="3354">
      <c r="R3354">
        <f>IFERROR(XLOOKUP(XLOOKUP(D3354,tblReleaseChanges[Change_ID],tblReleaseChanges[Oracle_Severity],""),tblSeverityMap[Severity_Text],tblSeverityMap[Score],0),0)</f>
        <v/>
      </c>
      <c r="T3354">
        <f>ROUND((M3354*0.25)+(N3354*0.20)+(O3354*0.15)+(P3354*0.15)+(Q3354*0.10)+(R3354*0.10)+(S3354*0.05),2)</f>
        <v/>
      </c>
      <c r="U3354">
        <f>IF(T3354&gt;=4.25,"Critical",IF(T3354&gt;=3.5,"High",IF(T3354&gt;=2,"Medium","Low")))</f>
        <v/>
      </c>
    </row>
    <row r="3355">
      <c r="R3355">
        <f>IFERROR(XLOOKUP(XLOOKUP(D3355,tblReleaseChanges[Change_ID],tblReleaseChanges[Oracle_Severity],""),tblSeverityMap[Severity_Text],tblSeverityMap[Score],0),0)</f>
        <v/>
      </c>
      <c r="T3355">
        <f>ROUND((M3355*0.25)+(N3355*0.20)+(O3355*0.15)+(P3355*0.15)+(Q3355*0.10)+(R3355*0.10)+(S3355*0.05),2)</f>
        <v/>
      </c>
      <c r="U3355">
        <f>IF(T3355&gt;=4.25,"Critical",IF(T3355&gt;=3.5,"High",IF(T3355&gt;=2,"Medium","Low")))</f>
        <v/>
      </c>
    </row>
    <row r="3356">
      <c r="R3356">
        <f>IFERROR(XLOOKUP(XLOOKUP(D3356,tblReleaseChanges[Change_ID],tblReleaseChanges[Oracle_Severity],""),tblSeverityMap[Severity_Text],tblSeverityMap[Score],0),0)</f>
        <v/>
      </c>
      <c r="T3356">
        <f>ROUND((M3356*0.25)+(N3356*0.20)+(O3356*0.15)+(P3356*0.15)+(Q3356*0.10)+(R3356*0.10)+(S3356*0.05),2)</f>
        <v/>
      </c>
      <c r="U3356">
        <f>IF(T3356&gt;=4.25,"Critical",IF(T3356&gt;=3.5,"High",IF(T3356&gt;=2,"Medium","Low")))</f>
        <v/>
      </c>
    </row>
    <row r="3357">
      <c r="R3357">
        <f>IFERROR(XLOOKUP(XLOOKUP(D3357,tblReleaseChanges[Change_ID],tblReleaseChanges[Oracle_Severity],""),tblSeverityMap[Severity_Text],tblSeverityMap[Score],0),0)</f>
        <v/>
      </c>
      <c r="T3357">
        <f>ROUND((M3357*0.25)+(N3357*0.20)+(O3357*0.15)+(P3357*0.15)+(Q3357*0.10)+(R3357*0.10)+(S3357*0.05),2)</f>
        <v/>
      </c>
      <c r="U3357">
        <f>IF(T3357&gt;=4.25,"Critical",IF(T3357&gt;=3.5,"High",IF(T3357&gt;=2,"Medium","Low")))</f>
        <v/>
      </c>
    </row>
    <row r="3358">
      <c r="R3358">
        <f>IFERROR(XLOOKUP(XLOOKUP(D3358,tblReleaseChanges[Change_ID],tblReleaseChanges[Oracle_Severity],""),tblSeverityMap[Severity_Text],tblSeverityMap[Score],0),0)</f>
        <v/>
      </c>
      <c r="T3358">
        <f>ROUND((M3358*0.25)+(N3358*0.20)+(O3358*0.15)+(P3358*0.15)+(Q3358*0.10)+(R3358*0.10)+(S3358*0.05),2)</f>
        <v/>
      </c>
      <c r="U3358">
        <f>IF(T3358&gt;=4.25,"Critical",IF(T3358&gt;=3.5,"High",IF(T3358&gt;=2,"Medium","Low")))</f>
        <v/>
      </c>
    </row>
    <row r="3359">
      <c r="R3359">
        <f>IFERROR(XLOOKUP(XLOOKUP(D3359,tblReleaseChanges[Change_ID],tblReleaseChanges[Oracle_Severity],""),tblSeverityMap[Severity_Text],tblSeverityMap[Score],0),0)</f>
        <v/>
      </c>
      <c r="T3359">
        <f>ROUND((M3359*0.25)+(N3359*0.20)+(O3359*0.15)+(P3359*0.15)+(Q3359*0.10)+(R3359*0.10)+(S3359*0.05),2)</f>
        <v/>
      </c>
      <c r="U3359">
        <f>IF(T3359&gt;=4.25,"Critical",IF(T3359&gt;=3.5,"High",IF(T3359&gt;=2,"Medium","Low")))</f>
        <v/>
      </c>
    </row>
    <row r="3360">
      <c r="R3360">
        <f>IFERROR(XLOOKUP(XLOOKUP(D3360,tblReleaseChanges[Change_ID],tblReleaseChanges[Oracle_Severity],""),tblSeverityMap[Severity_Text],tblSeverityMap[Score],0),0)</f>
        <v/>
      </c>
      <c r="T3360">
        <f>ROUND((M3360*0.25)+(N3360*0.20)+(O3360*0.15)+(P3360*0.15)+(Q3360*0.10)+(R3360*0.10)+(S3360*0.05),2)</f>
        <v/>
      </c>
      <c r="U3360">
        <f>IF(T3360&gt;=4.25,"Critical",IF(T3360&gt;=3.5,"High",IF(T3360&gt;=2,"Medium","Low")))</f>
        <v/>
      </c>
    </row>
    <row r="3361">
      <c r="R3361">
        <f>IFERROR(XLOOKUP(XLOOKUP(D3361,tblReleaseChanges[Change_ID],tblReleaseChanges[Oracle_Severity],""),tblSeverityMap[Severity_Text],tblSeverityMap[Score],0),0)</f>
        <v/>
      </c>
      <c r="T3361">
        <f>ROUND((M3361*0.25)+(N3361*0.20)+(O3361*0.15)+(P3361*0.15)+(Q3361*0.10)+(R3361*0.10)+(S3361*0.05),2)</f>
        <v/>
      </c>
      <c r="U3361">
        <f>IF(T3361&gt;=4.25,"Critical",IF(T3361&gt;=3.5,"High",IF(T3361&gt;=2,"Medium","Low")))</f>
        <v/>
      </c>
    </row>
    <row r="3362">
      <c r="R3362">
        <f>IFERROR(XLOOKUP(XLOOKUP(D3362,tblReleaseChanges[Change_ID],tblReleaseChanges[Oracle_Severity],""),tblSeverityMap[Severity_Text],tblSeverityMap[Score],0),0)</f>
        <v/>
      </c>
      <c r="T3362">
        <f>ROUND((M3362*0.25)+(N3362*0.20)+(O3362*0.15)+(P3362*0.15)+(Q3362*0.10)+(R3362*0.10)+(S3362*0.05),2)</f>
        <v/>
      </c>
      <c r="U3362">
        <f>IF(T3362&gt;=4.25,"Critical",IF(T3362&gt;=3.5,"High",IF(T3362&gt;=2,"Medium","Low")))</f>
        <v/>
      </c>
    </row>
    <row r="3363">
      <c r="R3363">
        <f>IFERROR(XLOOKUP(XLOOKUP(D3363,tblReleaseChanges[Change_ID],tblReleaseChanges[Oracle_Severity],""),tblSeverityMap[Severity_Text],tblSeverityMap[Score],0),0)</f>
        <v/>
      </c>
      <c r="T3363">
        <f>ROUND((M3363*0.25)+(N3363*0.20)+(O3363*0.15)+(P3363*0.15)+(Q3363*0.10)+(R3363*0.10)+(S3363*0.05),2)</f>
        <v/>
      </c>
      <c r="U3363">
        <f>IF(T3363&gt;=4.25,"Critical",IF(T3363&gt;=3.5,"High",IF(T3363&gt;=2,"Medium","Low")))</f>
        <v/>
      </c>
    </row>
    <row r="3364">
      <c r="R3364">
        <f>IFERROR(XLOOKUP(XLOOKUP(D3364,tblReleaseChanges[Change_ID],tblReleaseChanges[Oracle_Severity],""),tblSeverityMap[Severity_Text],tblSeverityMap[Score],0),0)</f>
        <v/>
      </c>
      <c r="T3364">
        <f>ROUND((M3364*0.25)+(N3364*0.20)+(O3364*0.15)+(P3364*0.15)+(Q3364*0.10)+(R3364*0.10)+(S3364*0.05),2)</f>
        <v/>
      </c>
      <c r="U3364">
        <f>IF(T3364&gt;=4.25,"Critical",IF(T3364&gt;=3.5,"High",IF(T3364&gt;=2,"Medium","Low")))</f>
        <v/>
      </c>
    </row>
    <row r="3365">
      <c r="R3365">
        <f>IFERROR(XLOOKUP(XLOOKUP(D3365,tblReleaseChanges[Change_ID],tblReleaseChanges[Oracle_Severity],""),tblSeverityMap[Severity_Text],tblSeverityMap[Score],0),0)</f>
        <v/>
      </c>
      <c r="T3365">
        <f>ROUND((M3365*0.25)+(N3365*0.20)+(O3365*0.15)+(P3365*0.15)+(Q3365*0.10)+(R3365*0.10)+(S3365*0.05),2)</f>
        <v/>
      </c>
      <c r="U3365">
        <f>IF(T3365&gt;=4.25,"Critical",IF(T3365&gt;=3.5,"High",IF(T3365&gt;=2,"Medium","Low")))</f>
        <v/>
      </c>
    </row>
    <row r="3366">
      <c r="R3366">
        <f>IFERROR(XLOOKUP(XLOOKUP(D3366,tblReleaseChanges[Change_ID],tblReleaseChanges[Oracle_Severity],""),tblSeverityMap[Severity_Text],tblSeverityMap[Score],0),0)</f>
        <v/>
      </c>
      <c r="T3366">
        <f>ROUND((M3366*0.25)+(N3366*0.20)+(O3366*0.15)+(P3366*0.15)+(Q3366*0.10)+(R3366*0.10)+(S3366*0.05),2)</f>
        <v/>
      </c>
      <c r="U3366">
        <f>IF(T3366&gt;=4.25,"Critical",IF(T3366&gt;=3.5,"High",IF(T3366&gt;=2,"Medium","Low")))</f>
        <v/>
      </c>
    </row>
    <row r="3367">
      <c r="R3367">
        <f>IFERROR(XLOOKUP(XLOOKUP(D3367,tblReleaseChanges[Change_ID],tblReleaseChanges[Oracle_Severity],""),tblSeverityMap[Severity_Text],tblSeverityMap[Score],0),0)</f>
        <v/>
      </c>
      <c r="T3367">
        <f>ROUND((M3367*0.25)+(N3367*0.20)+(O3367*0.15)+(P3367*0.15)+(Q3367*0.10)+(R3367*0.10)+(S3367*0.05),2)</f>
        <v/>
      </c>
      <c r="U3367">
        <f>IF(T3367&gt;=4.25,"Critical",IF(T3367&gt;=3.5,"High",IF(T3367&gt;=2,"Medium","Low")))</f>
        <v/>
      </c>
    </row>
    <row r="3368">
      <c r="R3368">
        <f>IFERROR(XLOOKUP(XLOOKUP(D3368,tblReleaseChanges[Change_ID],tblReleaseChanges[Oracle_Severity],""),tblSeverityMap[Severity_Text],tblSeverityMap[Score],0),0)</f>
        <v/>
      </c>
      <c r="T3368">
        <f>ROUND((M3368*0.25)+(N3368*0.20)+(O3368*0.15)+(P3368*0.15)+(Q3368*0.10)+(R3368*0.10)+(S3368*0.05),2)</f>
        <v/>
      </c>
      <c r="U3368">
        <f>IF(T3368&gt;=4.25,"Critical",IF(T3368&gt;=3.5,"High",IF(T3368&gt;=2,"Medium","Low")))</f>
        <v/>
      </c>
    </row>
    <row r="3369">
      <c r="R3369">
        <f>IFERROR(XLOOKUP(XLOOKUP(D3369,tblReleaseChanges[Change_ID],tblReleaseChanges[Oracle_Severity],""),tblSeverityMap[Severity_Text],tblSeverityMap[Score],0),0)</f>
        <v/>
      </c>
      <c r="T3369">
        <f>ROUND((M3369*0.25)+(N3369*0.20)+(O3369*0.15)+(P3369*0.15)+(Q3369*0.10)+(R3369*0.10)+(S3369*0.05),2)</f>
        <v/>
      </c>
      <c r="U3369">
        <f>IF(T3369&gt;=4.25,"Critical",IF(T3369&gt;=3.5,"High",IF(T3369&gt;=2,"Medium","Low")))</f>
        <v/>
      </c>
    </row>
    <row r="3370">
      <c r="R3370">
        <f>IFERROR(XLOOKUP(XLOOKUP(D3370,tblReleaseChanges[Change_ID],tblReleaseChanges[Oracle_Severity],""),tblSeverityMap[Severity_Text],tblSeverityMap[Score],0),0)</f>
        <v/>
      </c>
      <c r="T3370">
        <f>ROUND((M3370*0.25)+(N3370*0.20)+(O3370*0.15)+(P3370*0.15)+(Q3370*0.10)+(R3370*0.10)+(S3370*0.05),2)</f>
        <v/>
      </c>
      <c r="U3370">
        <f>IF(T3370&gt;=4.25,"Critical",IF(T3370&gt;=3.5,"High",IF(T3370&gt;=2,"Medium","Low")))</f>
        <v/>
      </c>
    </row>
    <row r="3371">
      <c r="R3371">
        <f>IFERROR(XLOOKUP(XLOOKUP(D3371,tblReleaseChanges[Change_ID],tblReleaseChanges[Oracle_Severity],""),tblSeverityMap[Severity_Text],tblSeverityMap[Score],0),0)</f>
        <v/>
      </c>
      <c r="T3371">
        <f>ROUND((M3371*0.25)+(N3371*0.20)+(O3371*0.15)+(P3371*0.15)+(Q3371*0.10)+(R3371*0.10)+(S3371*0.05),2)</f>
        <v/>
      </c>
      <c r="U3371">
        <f>IF(T3371&gt;=4.25,"Critical",IF(T3371&gt;=3.5,"High",IF(T3371&gt;=2,"Medium","Low")))</f>
        <v/>
      </c>
    </row>
    <row r="3372">
      <c r="R3372">
        <f>IFERROR(XLOOKUP(XLOOKUP(D3372,tblReleaseChanges[Change_ID],tblReleaseChanges[Oracle_Severity],""),tblSeverityMap[Severity_Text],tblSeverityMap[Score],0),0)</f>
        <v/>
      </c>
      <c r="T3372">
        <f>ROUND((M3372*0.25)+(N3372*0.20)+(O3372*0.15)+(P3372*0.15)+(Q3372*0.10)+(R3372*0.10)+(S3372*0.05),2)</f>
        <v/>
      </c>
      <c r="U3372">
        <f>IF(T3372&gt;=4.25,"Critical",IF(T3372&gt;=3.5,"High",IF(T3372&gt;=2,"Medium","Low")))</f>
        <v/>
      </c>
    </row>
    <row r="3373">
      <c r="R3373">
        <f>IFERROR(XLOOKUP(XLOOKUP(D3373,tblReleaseChanges[Change_ID],tblReleaseChanges[Oracle_Severity],""),tblSeverityMap[Severity_Text],tblSeverityMap[Score],0),0)</f>
        <v/>
      </c>
      <c r="T3373">
        <f>ROUND((M3373*0.25)+(N3373*0.20)+(O3373*0.15)+(P3373*0.15)+(Q3373*0.10)+(R3373*0.10)+(S3373*0.05),2)</f>
        <v/>
      </c>
      <c r="U3373">
        <f>IF(T3373&gt;=4.25,"Critical",IF(T3373&gt;=3.5,"High",IF(T3373&gt;=2,"Medium","Low")))</f>
        <v/>
      </c>
    </row>
    <row r="3374">
      <c r="R3374">
        <f>IFERROR(XLOOKUP(XLOOKUP(D3374,tblReleaseChanges[Change_ID],tblReleaseChanges[Oracle_Severity],""),tblSeverityMap[Severity_Text],tblSeverityMap[Score],0),0)</f>
        <v/>
      </c>
      <c r="T3374">
        <f>ROUND((M3374*0.25)+(N3374*0.20)+(O3374*0.15)+(P3374*0.15)+(Q3374*0.10)+(R3374*0.10)+(S3374*0.05),2)</f>
        <v/>
      </c>
      <c r="U3374">
        <f>IF(T3374&gt;=4.25,"Critical",IF(T3374&gt;=3.5,"High",IF(T3374&gt;=2,"Medium","Low")))</f>
        <v/>
      </c>
    </row>
    <row r="3375">
      <c r="R3375">
        <f>IFERROR(XLOOKUP(XLOOKUP(D3375,tblReleaseChanges[Change_ID],tblReleaseChanges[Oracle_Severity],""),tblSeverityMap[Severity_Text],tblSeverityMap[Score],0),0)</f>
        <v/>
      </c>
      <c r="T3375">
        <f>ROUND((M3375*0.25)+(N3375*0.20)+(O3375*0.15)+(P3375*0.15)+(Q3375*0.10)+(R3375*0.10)+(S3375*0.05),2)</f>
        <v/>
      </c>
      <c r="U3375">
        <f>IF(T3375&gt;=4.25,"Critical",IF(T3375&gt;=3.5,"High",IF(T3375&gt;=2,"Medium","Low")))</f>
        <v/>
      </c>
    </row>
    <row r="3376">
      <c r="R3376">
        <f>IFERROR(XLOOKUP(XLOOKUP(D3376,tblReleaseChanges[Change_ID],tblReleaseChanges[Oracle_Severity],""),tblSeverityMap[Severity_Text],tblSeverityMap[Score],0),0)</f>
        <v/>
      </c>
      <c r="T3376">
        <f>ROUND((M3376*0.25)+(N3376*0.20)+(O3376*0.15)+(P3376*0.15)+(Q3376*0.10)+(R3376*0.10)+(S3376*0.05),2)</f>
        <v/>
      </c>
      <c r="U3376">
        <f>IF(T3376&gt;=4.25,"Critical",IF(T3376&gt;=3.5,"High",IF(T3376&gt;=2,"Medium","Low")))</f>
        <v/>
      </c>
    </row>
    <row r="3377">
      <c r="R3377">
        <f>IFERROR(XLOOKUP(XLOOKUP(D3377,tblReleaseChanges[Change_ID],tblReleaseChanges[Oracle_Severity],""),tblSeverityMap[Severity_Text],tblSeverityMap[Score],0),0)</f>
        <v/>
      </c>
      <c r="T3377">
        <f>ROUND((M3377*0.25)+(N3377*0.20)+(O3377*0.15)+(P3377*0.15)+(Q3377*0.10)+(R3377*0.10)+(S3377*0.05),2)</f>
        <v/>
      </c>
      <c r="U3377">
        <f>IF(T3377&gt;=4.25,"Critical",IF(T3377&gt;=3.5,"High",IF(T3377&gt;=2,"Medium","Low")))</f>
        <v/>
      </c>
    </row>
    <row r="3378">
      <c r="R3378">
        <f>IFERROR(XLOOKUP(XLOOKUP(D3378,tblReleaseChanges[Change_ID],tblReleaseChanges[Oracle_Severity],""),tblSeverityMap[Severity_Text],tblSeverityMap[Score],0),0)</f>
        <v/>
      </c>
      <c r="T3378">
        <f>ROUND((M3378*0.25)+(N3378*0.20)+(O3378*0.15)+(P3378*0.15)+(Q3378*0.10)+(R3378*0.10)+(S3378*0.05),2)</f>
        <v/>
      </c>
      <c r="U3378">
        <f>IF(T3378&gt;=4.25,"Critical",IF(T3378&gt;=3.5,"High",IF(T3378&gt;=2,"Medium","Low")))</f>
        <v/>
      </c>
    </row>
    <row r="3379">
      <c r="R3379">
        <f>IFERROR(XLOOKUP(XLOOKUP(D3379,tblReleaseChanges[Change_ID],tblReleaseChanges[Oracle_Severity],""),tblSeverityMap[Severity_Text],tblSeverityMap[Score],0),0)</f>
        <v/>
      </c>
      <c r="T3379">
        <f>ROUND((M3379*0.25)+(N3379*0.20)+(O3379*0.15)+(P3379*0.15)+(Q3379*0.10)+(R3379*0.10)+(S3379*0.05),2)</f>
        <v/>
      </c>
      <c r="U3379">
        <f>IF(T3379&gt;=4.25,"Critical",IF(T3379&gt;=3.5,"High",IF(T3379&gt;=2,"Medium","Low")))</f>
        <v/>
      </c>
    </row>
    <row r="3380">
      <c r="R3380">
        <f>IFERROR(XLOOKUP(XLOOKUP(D3380,tblReleaseChanges[Change_ID],tblReleaseChanges[Oracle_Severity],""),tblSeverityMap[Severity_Text],tblSeverityMap[Score],0),0)</f>
        <v/>
      </c>
      <c r="T3380">
        <f>ROUND((M3380*0.25)+(N3380*0.20)+(O3380*0.15)+(P3380*0.15)+(Q3380*0.10)+(R3380*0.10)+(S3380*0.05),2)</f>
        <v/>
      </c>
      <c r="U3380">
        <f>IF(T3380&gt;=4.25,"Critical",IF(T3380&gt;=3.5,"High",IF(T3380&gt;=2,"Medium","Low")))</f>
        <v/>
      </c>
    </row>
    <row r="3381">
      <c r="R3381">
        <f>IFERROR(XLOOKUP(XLOOKUP(D3381,tblReleaseChanges[Change_ID],tblReleaseChanges[Oracle_Severity],""),tblSeverityMap[Severity_Text],tblSeverityMap[Score],0),0)</f>
        <v/>
      </c>
      <c r="T3381">
        <f>ROUND((M3381*0.25)+(N3381*0.20)+(O3381*0.15)+(P3381*0.15)+(Q3381*0.10)+(R3381*0.10)+(S3381*0.05),2)</f>
        <v/>
      </c>
      <c r="U3381">
        <f>IF(T3381&gt;=4.25,"Critical",IF(T3381&gt;=3.5,"High",IF(T3381&gt;=2,"Medium","Low")))</f>
        <v/>
      </c>
    </row>
    <row r="3382">
      <c r="R3382">
        <f>IFERROR(XLOOKUP(XLOOKUP(D3382,tblReleaseChanges[Change_ID],tblReleaseChanges[Oracle_Severity],""),tblSeverityMap[Severity_Text],tblSeverityMap[Score],0),0)</f>
        <v/>
      </c>
      <c r="T3382">
        <f>ROUND((M3382*0.25)+(N3382*0.20)+(O3382*0.15)+(P3382*0.15)+(Q3382*0.10)+(R3382*0.10)+(S3382*0.05),2)</f>
        <v/>
      </c>
      <c r="U3382">
        <f>IF(T3382&gt;=4.25,"Critical",IF(T3382&gt;=3.5,"High",IF(T3382&gt;=2,"Medium","Low")))</f>
        <v/>
      </c>
    </row>
    <row r="3383">
      <c r="R3383">
        <f>IFERROR(XLOOKUP(XLOOKUP(D3383,tblReleaseChanges[Change_ID],tblReleaseChanges[Oracle_Severity],""),tblSeverityMap[Severity_Text],tblSeverityMap[Score],0),0)</f>
        <v/>
      </c>
      <c r="T3383">
        <f>ROUND((M3383*0.25)+(N3383*0.20)+(O3383*0.15)+(P3383*0.15)+(Q3383*0.10)+(R3383*0.10)+(S3383*0.05),2)</f>
        <v/>
      </c>
      <c r="U3383">
        <f>IF(T3383&gt;=4.25,"Critical",IF(T3383&gt;=3.5,"High",IF(T3383&gt;=2,"Medium","Low")))</f>
        <v/>
      </c>
    </row>
    <row r="3384">
      <c r="R3384">
        <f>IFERROR(XLOOKUP(XLOOKUP(D3384,tblReleaseChanges[Change_ID],tblReleaseChanges[Oracle_Severity],""),tblSeverityMap[Severity_Text],tblSeverityMap[Score],0),0)</f>
        <v/>
      </c>
      <c r="T3384">
        <f>ROUND((M3384*0.25)+(N3384*0.20)+(O3384*0.15)+(P3384*0.15)+(Q3384*0.10)+(R3384*0.10)+(S3384*0.05),2)</f>
        <v/>
      </c>
      <c r="U3384">
        <f>IF(T3384&gt;=4.25,"Critical",IF(T3384&gt;=3.5,"High",IF(T3384&gt;=2,"Medium","Low")))</f>
        <v/>
      </c>
    </row>
    <row r="3385">
      <c r="R3385">
        <f>IFERROR(XLOOKUP(XLOOKUP(D3385,tblReleaseChanges[Change_ID],tblReleaseChanges[Oracle_Severity],""),tblSeverityMap[Severity_Text],tblSeverityMap[Score],0),0)</f>
        <v/>
      </c>
      <c r="T3385">
        <f>ROUND((M3385*0.25)+(N3385*0.20)+(O3385*0.15)+(P3385*0.15)+(Q3385*0.10)+(R3385*0.10)+(S3385*0.05),2)</f>
        <v/>
      </c>
      <c r="U3385">
        <f>IF(T3385&gt;=4.25,"Critical",IF(T3385&gt;=3.5,"High",IF(T3385&gt;=2,"Medium","Low")))</f>
        <v/>
      </c>
    </row>
    <row r="3386">
      <c r="R3386">
        <f>IFERROR(XLOOKUP(XLOOKUP(D3386,tblReleaseChanges[Change_ID],tblReleaseChanges[Oracle_Severity],""),tblSeverityMap[Severity_Text],tblSeverityMap[Score],0),0)</f>
        <v/>
      </c>
      <c r="T3386">
        <f>ROUND((M3386*0.25)+(N3386*0.20)+(O3386*0.15)+(P3386*0.15)+(Q3386*0.10)+(R3386*0.10)+(S3386*0.05),2)</f>
        <v/>
      </c>
      <c r="U3386">
        <f>IF(T3386&gt;=4.25,"Critical",IF(T3386&gt;=3.5,"High",IF(T3386&gt;=2,"Medium","Low")))</f>
        <v/>
      </c>
    </row>
    <row r="3387">
      <c r="R3387">
        <f>IFERROR(XLOOKUP(XLOOKUP(D3387,tblReleaseChanges[Change_ID],tblReleaseChanges[Oracle_Severity],""),tblSeverityMap[Severity_Text],tblSeverityMap[Score],0),0)</f>
        <v/>
      </c>
      <c r="T3387">
        <f>ROUND((M3387*0.25)+(N3387*0.20)+(O3387*0.15)+(P3387*0.15)+(Q3387*0.10)+(R3387*0.10)+(S3387*0.05),2)</f>
        <v/>
      </c>
      <c r="U3387">
        <f>IF(T3387&gt;=4.25,"Critical",IF(T3387&gt;=3.5,"High",IF(T3387&gt;=2,"Medium","Low")))</f>
        <v/>
      </c>
    </row>
    <row r="3388">
      <c r="R3388">
        <f>IFERROR(XLOOKUP(XLOOKUP(D3388,tblReleaseChanges[Change_ID],tblReleaseChanges[Oracle_Severity],""),tblSeverityMap[Severity_Text],tblSeverityMap[Score],0),0)</f>
        <v/>
      </c>
      <c r="T3388">
        <f>ROUND((M3388*0.25)+(N3388*0.20)+(O3388*0.15)+(P3388*0.15)+(Q3388*0.10)+(R3388*0.10)+(S3388*0.05),2)</f>
        <v/>
      </c>
      <c r="U3388">
        <f>IF(T3388&gt;=4.25,"Critical",IF(T3388&gt;=3.5,"High",IF(T3388&gt;=2,"Medium","Low")))</f>
        <v/>
      </c>
    </row>
    <row r="3389">
      <c r="R3389">
        <f>IFERROR(XLOOKUP(XLOOKUP(D3389,tblReleaseChanges[Change_ID],tblReleaseChanges[Oracle_Severity],""),tblSeverityMap[Severity_Text],tblSeverityMap[Score],0),0)</f>
        <v/>
      </c>
      <c r="T3389">
        <f>ROUND((M3389*0.25)+(N3389*0.20)+(O3389*0.15)+(P3389*0.15)+(Q3389*0.10)+(R3389*0.10)+(S3389*0.05),2)</f>
        <v/>
      </c>
      <c r="U3389">
        <f>IF(T3389&gt;=4.25,"Critical",IF(T3389&gt;=3.5,"High",IF(T3389&gt;=2,"Medium","Low")))</f>
        <v/>
      </c>
    </row>
    <row r="3390">
      <c r="R3390">
        <f>IFERROR(XLOOKUP(XLOOKUP(D3390,tblReleaseChanges[Change_ID],tblReleaseChanges[Oracle_Severity],""),tblSeverityMap[Severity_Text],tblSeverityMap[Score],0),0)</f>
        <v/>
      </c>
      <c r="T3390">
        <f>ROUND((M3390*0.25)+(N3390*0.20)+(O3390*0.15)+(P3390*0.15)+(Q3390*0.10)+(R3390*0.10)+(S3390*0.05),2)</f>
        <v/>
      </c>
      <c r="U3390">
        <f>IF(T3390&gt;=4.25,"Critical",IF(T3390&gt;=3.5,"High",IF(T3390&gt;=2,"Medium","Low")))</f>
        <v/>
      </c>
    </row>
    <row r="3391">
      <c r="R3391">
        <f>IFERROR(XLOOKUP(XLOOKUP(D3391,tblReleaseChanges[Change_ID],tblReleaseChanges[Oracle_Severity],""),tblSeverityMap[Severity_Text],tblSeverityMap[Score],0),0)</f>
        <v/>
      </c>
      <c r="T3391">
        <f>ROUND((M3391*0.25)+(N3391*0.20)+(O3391*0.15)+(P3391*0.15)+(Q3391*0.10)+(R3391*0.10)+(S3391*0.05),2)</f>
        <v/>
      </c>
      <c r="U3391">
        <f>IF(T3391&gt;=4.25,"Critical",IF(T3391&gt;=3.5,"High",IF(T3391&gt;=2,"Medium","Low")))</f>
        <v/>
      </c>
    </row>
    <row r="3392">
      <c r="R3392">
        <f>IFERROR(XLOOKUP(XLOOKUP(D3392,tblReleaseChanges[Change_ID],tblReleaseChanges[Oracle_Severity],""),tblSeverityMap[Severity_Text],tblSeverityMap[Score],0),0)</f>
        <v/>
      </c>
      <c r="T3392">
        <f>ROUND((M3392*0.25)+(N3392*0.20)+(O3392*0.15)+(P3392*0.15)+(Q3392*0.10)+(R3392*0.10)+(S3392*0.05),2)</f>
        <v/>
      </c>
      <c r="U3392">
        <f>IF(T3392&gt;=4.25,"Critical",IF(T3392&gt;=3.5,"High",IF(T3392&gt;=2,"Medium","Low")))</f>
        <v/>
      </c>
    </row>
    <row r="3393">
      <c r="R3393">
        <f>IFERROR(XLOOKUP(XLOOKUP(D3393,tblReleaseChanges[Change_ID],tblReleaseChanges[Oracle_Severity],""),tblSeverityMap[Severity_Text],tblSeverityMap[Score],0),0)</f>
        <v/>
      </c>
      <c r="T3393">
        <f>ROUND((M3393*0.25)+(N3393*0.20)+(O3393*0.15)+(P3393*0.15)+(Q3393*0.10)+(R3393*0.10)+(S3393*0.05),2)</f>
        <v/>
      </c>
      <c r="U3393">
        <f>IF(T3393&gt;=4.25,"Critical",IF(T3393&gt;=3.5,"High",IF(T3393&gt;=2,"Medium","Low")))</f>
        <v/>
      </c>
    </row>
    <row r="3394">
      <c r="R3394">
        <f>IFERROR(XLOOKUP(XLOOKUP(D3394,tblReleaseChanges[Change_ID],tblReleaseChanges[Oracle_Severity],""),tblSeverityMap[Severity_Text],tblSeverityMap[Score],0),0)</f>
        <v/>
      </c>
      <c r="T3394">
        <f>ROUND((M3394*0.25)+(N3394*0.20)+(O3394*0.15)+(P3394*0.15)+(Q3394*0.10)+(R3394*0.10)+(S3394*0.05),2)</f>
        <v/>
      </c>
      <c r="U3394">
        <f>IF(T3394&gt;=4.25,"Critical",IF(T3394&gt;=3.5,"High",IF(T3394&gt;=2,"Medium","Low")))</f>
        <v/>
      </c>
    </row>
    <row r="3395">
      <c r="R3395">
        <f>IFERROR(XLOOKUP(XLOOKUP(D3395,tblReleaseChanges[Change_ID],tblReleaseChanges[Oracle_Severity],""),tblSeverityMap[Severity_Text],tblSeverityMap[Score],0),0)</f>
        <v/>
      </c>
      <c r="T3395">
        <f>ROUND((M3395*0.25)+(N3395*0.20)+(O3395*0.15)+(P3395*0.15)+(Q3395*0.10)+(R3395*0.10)+(S3395*0.05),2)</f>
        <v/>
      </c>
      <c r="U3395">
        <f>IF(T3395&gt;=4.25,"Critical",IF(T3395&gt;=3.5,"High",IF(T3395&gt;=2,"Medium","Low")))</f>
        <v/>
      </c>
    </row>
    <row r="3396">
      <c r="R3396">
        <f>IFERROR(XLOOKUP(XLOOKUP(D3396,tblReleaseChanges[Change_ID],tblReleaseChanges[Oracle_Severity],""),tblSeverityMap[Severity_Text],tblSeverityMap[Score],0),0)</f>
        <v/>
      </c>
      <c r="T3396">
        <f>ROUND((M3396*0.25)+(N3396*0.20)+(O3396*0.15)+(P3396*0.15)+(Q3396*0.10)+(R3396*0.10)+(S3396*0.05),2)</f>
        <v/>
      </c>
      <c r="U3396">
        <f>IF(T3396&gt;=4.25,"Critical",IF(T3396&gt;=3.5,"High",IF(T3396&gt;=2,"Medium","Low")))</f>
        <v/>
      </c>
    </row>
    <row r="3397">
      <c r="R3397">
        <f>IFERROR(XLOOKUP(XLOOKUP(D3397,tblReleaseChanges[Change_ID],tblReleaseChanges[Oracle_Severity],""),tblSeverityMap[Severity_Text],tblSeverityMap[Score],0),0)</f>
        <v/>
      </c>
      <c r="T3397">
        <f>ROUND((M3397*0.25)+(N3397*0.20)+(O3397*0.15)+(P3397*0.15)+(Q3397*0.10)+(R3397*0.10)+(S3397*0.05),2)</f>
        <v/>
      </c>
      <c r="U3397">
        <f>IF(T3397&gt;=4.25,"Critical",IF(T3397&gt;=3.5,"High",IF(T3397&gt;=2,"Medium","Low")))</f>
        <v/>
      </c>
    </row>
    <row r="3398">
      <c r="R3398">
        <f>IFERROR(XLOOKUP(XLOOKUP(D3398,tblReleaseChanges[Change_ID],tblReleaseChanges[Oracle_Severity],""),tblSeverityMap[Severity_Text],tblSeverityMap[Score],0),0)</f>
        <v/>
      </c>
      <c r="T3398">
        <f>ROUND((M3398*0.25)+(N3398*0.20)+(O3398*0.15)+(P3398*0.15)+(Q3398*0.10)+(R3398*0.10)+(S3398*0.05),2)</f>
        <v/>
      </c>
      <c r="U3398">
        <f>IF(T3398&gt;=4.25,"Critical",IF(T3398&gt;=3.5,"High",IF(T3398&gt;=2,"Medium","Low")))</f>
        <v/>
      </c>
    </row>
    <row r="3399">
      <c r="R3399">
        <f>IFERROR(XLOOKUP(XLOOKUP(D3399,tblReleaseChanges[Change_ID],tblReleaseChanges[Oracle_Severity],""),tblSeverityMap[Severity_Text],tblSeverityMap[Score],0),0)</f>
        <v/>
      </c>
      <c r="T3399">
        <f>ROUND((M3399*0.25)+(N3399*0.20)+(O3399*0.15)+(P3399*0.15)+(Q3399*0.10)+(R3399*0.10)+(S3399*0.05),2)</f>
        <v/>
      </c>
      <c r="U3399">
        <f>IF(T3399&gt;=4.25,"Critical",IF(T3399&gt;=3.5,"High",IF(T3399&gt;=2,"Medium","Low")))</f>
        <v/>
      </c>
    </row>
    <row r="3400">
      <c r="R3400">
        <f>IFERROR(XLOOKUP(XLOOKUP(D3400,tblReleaseChanges[Change_ID],tblReleaseChanges[Oracle_Severity],""),tblSeverityMap[Severity_Text],tblSeverityMap[Score],0),0)</f>
        <v/>
      </c>
      <c r="T3400">
        <f>ROUND((M3400*0.25)+(N3400*0.20)+(O3400*0.15)+(P3400*0.15)+(Q3400*0.10)+(R3400*0.10)+(S3400*0.05),2)</f>
        <v/>
      </c>
      <c r="U3400">
        <f>IF(T3400&gt;=4.25,"Critical",IF(T3400&gt;=3.5,"High",IF(T3400&gt;=2,"Medium","Low")))</f>
        <v/>
      </c>
    </row>
    <row r="3401">
      <c r="R3401">
        <f>IFERROR(XLOOKUP(XLOOKUP(D3401,tblReleaseChanges[Change_ID],tblReleaseChanges[Oracle_Severity],""),tblSeverityMap[Severity_Text],tblSeverityMap[Score],0),0)</f>
        <v/>
      </c>
      <c r="T3401">
        <f>ROUND((M3401*0.25)+(N3401*0.20)+(O3401*0.15)+(P3401*0.15)+(Q3401*0.10)+(R3401*0.10)+(S3401*0.05),2)</f>
        <v/>
      </c>
      <c r="U3401">
        <f>IF(T3401&gt;=4.25,"Critical",IF(T3401&gt;=3.5,"High",IF(T3401&gt;=2,"Medium","Low")))</f>
        <v/>
      </c>
    </row>
    <row r="3402">
      <c r="R3402">
        <f>IFERROR(XLOOKUP(XLOOKUP(D3402,tblReleaseChanges[Change_ID],tblReleaseChanges[Oracle_Severity],""),tblSeverityMap[Severity_Text],tblSeverityMap[Score],0),0)</f>
        <v/>
      </c>
      <c r="T3402">
        <f>ROUND((M3402*0.25)+(N3402*0.20)+(O3402*0.15)+(P3402*0.15)+(Q3402*0.10)+(R3402*0.10)+(S3402*0.05),2)</f>
        <v/>
      </c>
      <c r="U3402">
        <f>IF(T3402&gt;=4.25,"Critical",IF(T3402&gt;=3.5,"High",IF(T3402&gt;=2,"Medium","Low")))</f>
        <v/>
      </c>
    </row>
    <row r="3403">
      <c r="R3403">
        <f>IFERROR(XLOOKUP(XLOOKUP(D3403,tblReleaseChanges[Change_ID],tblReleaseChanges[Oracle_Severity],""),tblSeverityMap[Severity_Text],tblSeverityMap[Score],0),0)</f>
        <v/>
      </c>
      <c r="T3403">
        <f>ROUND((M3403*0.25)+(N3403*0.20)+(O3403*0.15)+(P3403*0.15)+(Q3403*0.10)+(R3403*0.10)+(S3403*0.05),2)</f>
        <v/>
      </c>
      <c r="U3403">
        <f>IF(T3403&gt;=4.25,"Critical",IF(T3403&gt;=3.5,"High",IF(T3403&gt;=2,"Medium","Low")))</f>
        <v/>
      </c>
    </row>
    <row r="3404">
      <c r="R3404">
        <f>IFERROR(XLOOKUP(XLOOKUP(D3404,tblReleaseChanges[Change_ID],tblReleaseChanges[Oracle_Severity],""),tblSeverityMap[Severity_Text],tblSeverityMap[Score],0),0)</f>
        <v/>
      </c>
      <c r="T3404">
        <f>ROUND((M3404*0.25)+(N3404*0.20)+(O3404*0.15)+(P3404*0.15)+(Q3404*0.10)+(R3404*0.10)+(S3404*0.05),2)</f>
        <v/>
      </c>
      <c r="U3404">
        <f>IF(T3404&gt;=4.25,"Critical",IF(T3404&gt;=3.5,"High",IF(T3404&gt;=2,"Medium","Low")))</f>
        <v/>
      </c>
    </row>
    <row r="3405">
      <c r="R3405">
        <f>IFERROR(XLOOKUP(XLOOKUP(D3405,tblReleaseChanges[Change_ID],tblReleaseChanges[Oracle_Severity],""),tblSeverityMap[Severity_Text],tblSeverityMap[Score],0),0)</f>
        <v/>
      </c>
      <c r="T3405">
        <f>ROUND((M3405*0.25)+(N3405*0.20)+(O3405*0.15)+(P3405*0.15)+(Q3405*0.10)+(R3405*0.10)+(S3405*0.05),2)</f>
        <v/>
      </c>
      <c r="U3405">
        <f>IF(T3405&gt;=4.25,"Critical",IF(T3405&gt;=3.5,"High",IF(T3405&gt;=2,"Medium","Low")))</f>
        <v/>
      </c>
    </row>
    <row r="3406">
      <c r="R3406">
        <f>IFERROR(XLOOKUP(XLOOKUP(D3406,tblReleaseChanges[Change_ID],tblReleaseChanges[Oracle_Severity],""),tblSeverityMap[Severity_Text],tblSeverityMap[Score],0),0)</f>
        <v/>
      </c>
      <c r="T3406">
        <f>ROUND((M3406*0.25)+(N3406*0.20)+(O3406*0.15)+(P3406*0.15)+(Q3406*0.10)+(R3406*0.10)+(S3406*0.05),2)</f>
        <v/>
      </c>
      <c r="U3406">
        <f>IF(T3406&gt;=4.25,"Critical",IF(T3406&gt;=3.5,"High",IF(T3406&gt;=2,"Medium","Low")))</f>
        <v/>
      </c>
    </row>
    <row r="3407">
      <c r="R3407">
        <f>IFERROR(XLOOKUP(XLOOKUP(D3407,tblReleaseChanges[Change_ID],tblReleaseChanges[Oracle_Severity],""),tblSeverityMap[Severity_Text],tblSeverityMap[Score],0),0)</f>
        <v/>
      </c>
      <c r="T3407">
        <f>ROUND((M3407*0.25)+(N3407*0.20)+(O3407*0.15)+(P3407*0.15)+(Q3407*0.10)+(R3407*0.10)+(S3407*0.05),2)</f>
        <v/>
      </c>
      <c r="U3407">
        <f>IF(T3407&gt;=4.25,"Critical",IF(T3407&gt;=3.5,"High",IF(T3407&gt;=2,"Medium","Low")))</f>
        <v/>
      </c>
    </row>
    <row r="3408">
      <c r="R3408">
        <f>IFERROR(XLOOKUP(XLOOKUP(D3408,tblReleaseChanges[Change_ID],tblReleaseChanges[Oracle_Severity],""),tblSeverityMap[Severity_Text],tblSeverityMap[Score],0),0)</f>
        <v/>
      </c>
      <c r="T3408">
        <f>ROUND((M3408*0.25)+(N3408*0.20)+(O3408*0.15)+(P3408*0.15)+(Q3408*0.10)+(R3408*0.10)+(S3408*0.05),2)</f>
        <v/>
      </c>
      <c r="U3408">
        <f>IF(T3408&gt;=4.25,"Critical",IF(T3408&gt;=3.5,"High",IF(T3408&gt;=2,"Medium","Low")))</f>
        <v/>
      </c>
    </row>
    <row r="3409">
      <c r="R3409">
        <f>IFERROR(XLOOKUP(XLOOKUP(D3409,tblReleaseChanges[Change_ID],tblReleaseChanges[Oracle_Severity],""),tblSeverityMap[Severity_Text],tblSeverityMap[Score],0),0)</f>
        <v/>
      </c>
      <c r="T3409">
        <f>ROUND((M3409*0.25)+(N3409*0.20)+(O3409*0.15)+(P3409*0.15)+(Q3409*0.10)+(R3409*0.10)+(S3409*0.05),2)</f>
        <v/>
      </c>
      <c r="U3409">
        <f>IF(T3409&gt;=4.25,"Critical",IF(T3409&gt;=3.5,"High",IF(T3409&gt;=2,"Medium","Low")))</f>
        <v/>
      </c>
    </row>
    <row r="3410">
      <c r="R3410">
        <f>IFERROR(XLOOKUP(XLOOKUP(D3410,tblReleaseChanges[Change_ID],tblReleaseChanges[Oracle_Severity],""),tblSeverityMap[Severity_Text],tblSeverityMap[Score],0),0)</f>
        <v/>
      </c>
      <c r="T3410">
        <f>ROUND((M3410*0.25)+(N3410*0.20)+(O3410*0.15)+(P3410*0.15)+(Q3410*0.10)+(R3410*0.10)+(S3410*0.05),2)</f>
        <v/>
      </c>
      <c r="U3410">
        <f>IF(T3410&gt;=4.25,"Critical",IF(T3410&gt;=3.5,"High",IF(T3410&gt;=2,"Medium","Low")))</f>
        <v/>
      </c>
    </row>
    <row r="3411">
      <c r="R3411">
        <f>IFERROR(XLOOKUP(XLOOKUP(D3411,tblReleaseChanges[Change_ID],tblReleaseChanges[Oracle_Severity],""),tblSeverityMap[Severity_Text],tblSeverityMap[Score],0),0)</f>
        <v/>
      </c>
      <c r="T3411">
        <f>ROUND((M3411*0.25)+(N3411*0.20)+(O3411*0.15)+(P3411*0.15)+(Q3411*0.10)+(R3411*0.10)+(S3411*0.05),2)</f>
        <v/>
      </c>
      <c r="U3411">
        <f>IF(T3411&gt;=4.25,"Critical",IF(T3411&gt;=3.5,"High",IF(T3411&gt;=2,"Medium","Low")))</f>
        <v/>
      </c>
    </row>
    <row r="3412">
      <c r="R3412">
        <f>IFERROR(XLOOKUP(XLOOKUP(D3412,tblReleaseChanges[Change_ID],tblReleaseChanges[Oracle_Severity],""),tblSeverityMap[Severity_Text],tblSeverityMap[Score],0),0)</f>
        <v/>
      </c>
      <c r="T3412">
        <f>ROUND((M3412*0.25)+(N3412*0.20)+(O3412*0.15)+(P3412*0.15)+(Q3412*0.10)+(R3412*0.10)+(S3412*0.05),2)</f>
        <v/>
      </c>
      <c r="U3412">
        <f>IF(T3412&gt;=4.25,"Critical",IF(T3412&gt;=3.5,"High",IF(T3412&gt;=2,"Medium","Low")))</f>
        <v/>
      </c>
    </row>
    <row r="3413">
      <c r="R3413">
        <f>IFERROR(XLOOKUP(XLOOKUP(D3413,tblReleaseChanges[Change_ID],tblReleaseChanges[Oracle_Severity],""),tblSeverityMap[Severity_Text],tblSeverityMap[Score],0),0)</f>
        <v/>
      </c>
      <c r="T3413">
        <f>ROUND((M3413*0.25)+(N3413*0.20)+(O3413*0.15)+(P3413*0.15)+(Q3413*0.10)+(R3413*0.10)+(S3413*0.05),2)</f>
        <v/>
      </c>
      <c r="U3413">
        <f>IF(T3413&gt;=4.25,"Critical",IF(T3413&gt;=3.5,"High",IF(T3413&gt;=2,"Medium","Low")))</f>
        <v/>
      </c>
    </row>
    <row r="3414">
      <c r="R3414">
        <f>IFERROR(XLOOKUP(XLOOKUP(D3414,tblReleaseChanges[Change_ID],tblReleaseChanges[Oracle_Severity],""),tblSeverityMap[Severity_Text],tblSeverityMap[Score],0),0)</f>
        <v/>
      </c>
      <c r="T3414">
        <f>ROUND((M3414*0.25)+(N3414*0.20)+(O3414*0.15)+(P3414*0.15)+(Q3414*0.10)+(R3414*0.10)+(S3414*0.05),2)</f>
        <v/>
      </c>
      <c r="U3414">
        <f>IF(T3414&gt;=4.25,"Critical",IF(T3414&gt;=3.5,"High",IF(T3414&gt;=2,"Medium","Low")))</f>
        <v/>
      </c>
    </row>
    <row r="3415">
      <c r="R3415">
        <f>IFERROR(XLOOKUP(XLOOKUP(D3415,tblReleaseChanges[Change_ID],tblReleaseChanges[Oracle_Severity],""),tblSeverityMap[Severity_Text],tblSeverityMap[Score],0),0)</f>
        <v/>
      </c>
      <c r="T3415">
        <f>ROUND((M3415*0.25)+(N3415*0.20)+(O3415*0.15)+(P3415*0.15)+(Q3415*0.10)+(R3415*0.10)+(S3415*0.05),2)</f>
        <v/>
      </c>
      <c r="U3415">
        <f>IF(T3415&gt;=4.25,"Critical",IF(T3415&gt;=3.5,"High",IF(T3415&gt;=2,"Medium","Low")))</f>
        <v/>
      </c>
    </row>
    <row r="3416">
      <c r="R3416">
        <f>IFERROR(XLOOKUP(XLOOKUP(D3416,tblReleaseChanges[Change_ID],tblReleaseChanges[Oracle_Severity],""),tblSeverityMap[Severity_Text],tblSeverityMap[Score],0),0)</f>
        <v/>
      </c>
      <c r="T3416">
        <f>ROUND((M3416*0.25)+(N3416*0.20)+(O3416*0.15)+(P3416*0.15)+(Q3416*0.10)+(R3416*0.10)+(S3416*0.05),2)</f>
        <v/>
      </c>
      <c r="U3416">
        <f>IF(T3416&gt;=4.25,"Critical",IF(T3416&gt;=3.5,"High",IF(T3416&gt;=2,"Medium","Low")))</f>
        <v/>
      </c>
    </row>
    <row r="3417">
      <c r="R3417">
        <f>IFERROR(XLOOKUP(XLOOKUP(D3417,tblReleaseChanges[Change_ID],tblReleaseChanges[Oracle_Severity],""),tblSeverityMap[Severity_Text],tblSeverityMap[Score],0),0)</f>
        <v/>
      </c>
      <c r="T3417">
        <f>ROUND((M3417*0.25)+(N3417*0.20)+(O3417*0.15)+(P3417*0.15)+(Q3417*0.10)+(R3417*0.10)+(S3417*0.05),2)</f>
        <v/>
      </c>
      <c r="U3417">
        <f>IF(T3417&gt;=4.25,"Critical",IF(T3417&gt;=3.5,"High",IF(T3417&gt;=2,"Medium","Low")))</f>
        <v/>
      </c>
    </row>
    <row r="3418">
      <c r="R3418">
        <f>IFERROR(XLOOKUP(XLOOKUP(D3418,tblReleaseChanges[Change_ID],tblReleaseChanges[Oracle_Severity],""),tblSeverityMap[Severity_Text],tblSeverityMap[Score],0),0)</f>
        <v/>
      </c>
      <c r="T3418">
        <f>ROUND((M3418*0.25)+(N3418*0.20)+(O3418*0.15)+(P3418*0.15)+(Q3418*0.10)+(R3418*0.10)+(S3418*0.05),2)</f>
        <v/>
      </c>
      <c r="U3418">
        <f>IF(T3418&gt;=4.25,"Critical",IF(T3418&gt;=3.5,"High",IF(T3418&gt;=2,"Medium","Low")))</f>
        <v/>
      </c>
    </row>
    <row r="3419">
      <c r="R3419">
        <f>IFERROR(XLOOKUP(XLOOKUP(D3419,tblReleaseChanges[Change_ID],tblReleaseChanges[Oracle_Severity],""),tblSeverityMap[Severity_Text],tblSeverityMap[Score],0),0)</f>
        <v/>
      </c>
      <c r="T3419">
        <f>ROUND((M3419*0.25)+(N3419*0.20)+(O3419*0.15)+(P3419*0.15)+(Q3419*0.10)+(R3419*0.10)+(S3419*0.05),2)</f>
        <v/>
      </c>
      <c r="U3419">
        <f>IF(T3419&gt;=4.25,"Critical",IF(T3419&gt;=3.5,"High",IF(T3419&gt;=2,"Medium","Low")))</f>
        <v/>
      </c>
    </row>
    <row r="3420">
      <c r="R3420">
        <f>IFERROR(XLOOKUP(XLOOKUP(D3420,tblReleaseChanges[Change_ID],tblReleaseChanges[Oracle_Severity],""),tblSeverityMap[Severity_Text],tblSeverityMap[Score],0),0)</f>
        <v/>
      </c>
      <c r="T3420">
        <f>ROUND((M3420*0.25)+(N3420*0.20)+(O3420*0.15)+(P3420*0.15)+(Q3420*0.10)+(R3420*0.10)+(S3420*0.05),2)</f>
        <v/>
      </c>
      <c r="U3420">
        <f>IF(T3420&gt;=4.25,"Critical",IF(T3420&gt;=3.5,"High",IF(T3420&gt;=2,"Medium","Low")))</f>
        <v/>
      </c>
    </row>
    <row r="3421">
      <c r="R3421">
        <f>IFERROR(XLOOKUP(XLOOKUP(D3421,tblReleaseChanges[Change_ID],tblReleaseChanges[Oracle_Severity],""),tblSeverityMap[Severity_Text],tblSeverityMap[Score],0),0)</f>
        <v/>
      </c>
      <c r="T3421">
        <f>ROUND((M3421*0.25)+(N3421*0.20)+(O3421*0.15)+(P3421*0.15)+(Q3421*0.10)+(R3421*0.10)+(S3421*0.05),2)</f>
        <v/>
      </c>
      <c r="U3421">
        <f>IF(T3421&gt;=4.25,"Critical",IF(T3421&gt;=3.5,"High",IF(T3421&gt;=2,"Medium","Low")))</f>
        <v/>
      </c>
    </row>
    <row r="3422">
      <c r="R3422">
        <f>IFERROR(XLOOKUP(XLOOKUP(D3422,tblReleaseChanges[Change_ID],tblReleaseChanges[Oracle_Severity],""),tblSeverityMap[Severity_Text],tblSeverityMap[Score],0),0)</f>
        <v/>
      </c>
      <c r="T3422">
        <f>ROUND((M3422*0.25)+(N3422*0.20)+(O3422*0.15)+(P3422*0.15)+(Q3422*0.10)+(R3422*0.10)+(S3422*0.05),2)</f>
        <v/>
      </c>
      <c r="U3422">
        <f>IF(T3422&gt;=4.25,"Critical",IF(T3422&gt;=3.5,"High",IF(T3422&gt;=2,"Medium","Low")))</f>
        <v/>
      </c>
    </row>
    <row r="3423">
      <c r="R3423">
        <f>IFERROR(XLOOKUP(XLOOKUP(D3423,tblReleaseChanges[Change_ID],tblReleaseChanges[Oracle_Severity],""),tblSeverityMap[Severity_Text],tblSeverityMap[Score],0),0)</f>
        <v/>
      </c>
      <c r="T3423">
        <f>ROUND((M3423*0.25)+(N3423*0.20)+(O3423*0.15)+(P3423*0.15)+(Q3423*0.10)+(R3423*0.10)+(S3423*0.05),2)</f>
        <v/>
      </c>
      <c r="U3423">
        <f>IF(T3423&gt;=4.25,"Critical",IF(T3423&gt;=3.5,"High",IF(T3423&gt;=2,"Medium","Low")))</f>
        <v/>
      </c>
    </row>
    <row r="3424">
      <c r="R3424">
        <f>IFERROR(XLOOKUP(XLOOKUP(D3424,tblReleaseChanges[Change_ID],tblReleaseChanges[Oracle_Severity],""),tblSeverityMap[Severity_Text],tblSeverityMap[Score],0),0)</f>
        <v/>
      </c>
      <c r="T3424">
        <f>ROUND((M3424*0.25)+(N3424*0.20)+(O3424*0.15)+(P3424*0.15)+(Q3424*0.10)+(R3424*0.10)+(S3424*0.05),2)</f>
        <v/>
      </c>
      <c r="U3424">
        <f>IF(T3424&gt;=4.25,"Critical",IF(T3424&gt;=3.5,"High",IF(T3424&gt;=2,"Medium","Low")))</f>
        <v/>
      </c>
    </row>
    <row r="3425">
      <c r="R3425">
        <f>IFERROR(XLOOKUP(XLOOKUP(D3425,tblReleaseChanges[Change_ID],tblReleaseChanges[Oracle_Severity],""),tblSeverityMap[Severity_Text],tblSeverityMap[Score],0),0)</f>
        <v/>
      </c>
      <c r="T3425">
        <f>ROUND((M3425*0.25)+(N3425*0.20)+(O3425*0.15)+(P3425*0.15)+(Q3425*0.10)+(R3425*0.10)+(S3425*0.05),2)</f>
        <v/>
      </c>
      <c r="U3425">
        <f>IF(T3425&gt;=4.25,"Critical",IF(T3425&gt;=3.5,"High",IF(T3425&gt;=2,"Medium","Low")))</f>
        <v/>
      </c>
    </row>
    <row r="3426">
      <c r="R3426">
        <f>IFERROR(XLOOKUP(XLOOKUP(D3426,tblReleaseChanges[Change_ID],tblReleaseChanges[Oracle_Severity],""),tblSeverityMap[Severity_Text],tblSeverityMap[Score],0),0)</f>
        <v/>
      </c>
      <c r="T3426">
        <f>ROUND((M3426*0.25)+(N3426*0.20)+(O3426*0.15)+(P3426*0.15)+(Q3426*0.10)+(R3426*0.10)+(S3426*0.05),2)</f>
        <v/>
      </c>
      <c r="U3426">
        <f>IF(T3426&gt;=4.25,"Critical",IF(T3426&gt;=3.5,"High",IF(T3426&gt;=2,"Medium","Low")))</f>
        <v/>
      </c>
    </row>
    <row r="3427">
      <c r="R3427">
        <f>IFERROR(XLOOKUP(XLOOKUP(D3427,tblReleaseChanges[Change_ID],tblReleaseChanges[Oracle_Severity],""),tblSeverityMap[Severity_Text],tblSeverityMap[Score],0),0)</f>
        <v/>
      </c>
      <c r="T3427">
        <f>ROUND((M3427*0.25)+(N3427*0.20)+(O3427*0.15)+(P3427*0.15)+(Q3427*0.10)+(R3427*0.10)+(S3427*0.05),2)</f>
        <v/>
      </c>
      <c r="U3427">
        <f>IF(T3427&gt;=4.25,"Critical",IF(T3427&gt;=3.5,"High",IF(T3427&gt;=2,"Medium","Low")))</f>
        <v/>
      </c>
    </row>
    <row r="3428">
      <c r="R3428">
        <f>IFERROR(XLOOKUP(XLOOKUP(D3428,tblReleaseChanges[Change_ID],tblReleaseChanges[Oracle_Severity],""),tblSeverityMap[Severity_Text],tblSeverityMap[Score],0),0)</f>
        <v/>
      </c>
      <c r="T3428">
        <f>ROUND((M3428*0.25)+(N3428*0.20)+(O3428*0.15)+(P3428*0.15)+(Q3428*0.10)+(R3428*0.10)+(S3428*0.05),2)</f>
        <v/>
      </c>
      <c r="U3428">
        <f>IF(T3428&gt;=4.25,"Critical",IF(T3428&gt;=3.5,"High",IF(T3428&gt;=2,"Medium","Low")))</f>
        <v/>
      </c>
    </row>
    <row r="3429">
      <c r="R3429">
        <f>IFERROR(XLOOKUP(XLOOKUP(D3429,tblReleaseChanges[Change_ID],tblReleaseChanges[Oracle_Severity],""),tblSeverityMap[Severity_Text],tblSeverityMap[Score],0),0)</f>
        <v/>
      </c>
      <c r="T3429">
        <f>ROUND((M3429*0.25)+(N3429*0.20)+(O3429*0.15)+(P3429*0.15)+(Q3429*0.10)+(R3429*0.10)+(S3429*0.05),2)</f>
        <v/>
      </c>
      <c r="U3429">
        <f>IF(T3429&gt;=4.25,"Critical",IF(T3429&gt;=3.5,"High",IF(T3429&gt;=2,"Medium","Low")))</f>
        <v/>
      </c>
    </row>
    <row r="3430">
      <c r="R3430">
        <f>IFERROR(XLOOKUP(XLOOKUP(D3430,tblReleaseChanges[Change_ID],tblReleaseChanges[Oracle_Severity],""),tblSeverityMap[Severity_Text],tblSeverityMap[Score],0),0)</f>
        <v/>
      </c>
      <c r="T3430">
        <f>ROUND((M3430*0.25)+(N3430*0.20)+(O3430*0.15)+(P3430*0.15)+(Q3430*0.10)+(R3430*0.10)+(S3430*0.05),2)</f>
        <v/>
      </c>
      <c r="U3430">
        <f>IF(T3430&gt;=4.25,"Critical",IF(T3430&gt;=3.5,"High",IF(T3430&gt;=2,"Medium","Low")))</f>
        <v/>
      </c>
    </row>
    <row r="3431">
      <c r="R3431">
        <f>IFERROR(XLOOKUP(XLOOKUP(D3431,tblReleaseChanges[Change_ID],tblReleaseChanges[Oracle_Severity],""),tblSeverityMap[Severity_Text],tblSeverityMap[Score],0),0)</f>
        <v/>
      </c>
      <c r="T3431">
        <f>ROUND((M3431*0.25)+(N3431*0.20)+(O3431*0.15)+(P3431*0.15)+(Q3431*0.10)+(R3431*0.10)+(S3431*0.05),2)</f>
        <v/>
      </c>
      <c r="U3431">
        <f>IF(T3431&gt;=4.25,"Critical",IF(T3431&gt;=3.5,"High",IF(T3431&gt;=2,"Medium","Low")))</f>
        <v/>
      </c>
    </row>
    <row r="3432">
      <c r="R3432">
        <f>IFERROR(XLOOKUP(XLOOKUP(D3432,tblReleaseChanges[Change_ID],tblReleaseChanges[Oracle_Severity],""),tblSeverityMap[Severity_Text],tblSeverityMap[Score],0),0)</f>
        <v/>
      </c>
      <c r="T3432">
        <f>ROUND((M3432*0.25)+(N3432*0.20)+(O3432*0.15)+(P3432*0.15)+(Q3432*0.10)+(R3432*0.10)+(S3432*0.05),2)</f>
        <v/>
      </c>
      <c r="U3432">
        <f>IF(T3432&gt;=4.25,"Critical",IF(T3432&gt;=3.5,"High",IF(T3432&gt;=2,"Medium","Low")))</f>
        <v/>
      </c>
    </row>
    <row r="3433">
      <c r="R3433">
        <f>IFERROR(XLOOKUP(XLOOKUP(D3433,tblReleaseChanges[Change_ID],tblReleaseChanges[Oracle_Severity],""),tblSeverityMap[Severity_Text],tblSeverityMap[Score],0),0)</f>
        <v/>
      </c>
      <c r="T3433">
        <f>ROUND((M3433*0.25)+(N3433*0.20)+(O3433*0.15)+(P3433*0.15)+(Q3433*0.10)+(R3433*0.10)+(S3433*0.05),2)</f>
        <v/>
      </c>
      <c r="U3433">
        <f>IF(T3433&gt;=4.25,"Critical",IF(T3433&gt;=3.5,"High",IF(T3433&gt;=2,"Medium","Low")))</f>
        <v/>
      </c>
    </row>
    <row r="3434">
      <c r="R3434">
        <f>IFERROR(XLOOKUP(XLOOKUP(D3434,tblReleaseChanges[Change_ID],tblReleaseChanges[Oracle_Severity],""),tblSeverityMap[Severity_Text],tblSeverityMap[Score],0),0)</f>
        <v/>
      </c>
      <c r="T3434">
        <f>ROUND((M3434*0.25)+(N3434*0.20)+(O3434*0.15)+(P3434*0.15)+(Q3434*0.10)+(R3434*0.10)+(S3434*0.05),2)</f>
        <v/>
      </c>
      <c r="U3434">
        <f>IF(T3434&gt;=4.25,"Critical",IF(T3434&gt;=3.5,"High",IF(T3434&gt;=2,"Medium","Low")))</f>
        <v/>
      </c>
    </row>
    <row r="3435">
      <c r="R3435">
        <f>IFERROR(XLOOKUP(XLOOKUP(D3435,tblReleaseChanges[Change_ID],tblReleaseChanges[Oracle_Severity],""),tblSeverityMap[Severity_Text],tblSeverityMap[Score],0),0)</f>
        <v/>
      </c>
      <c r="T3435">
        <f>ROUND((M3435*0.25)+(N3435*0.20)+(O3435*0.15)+(P3435*0.15)+(Q3435*0.10)+(R3435*0.10)+(S3435*0.05),2)</f>
        <v/>
      </c>
      <c r="U3435">
        <f>IF(T3435&gt;=4.25,"Critical",IF(T3435&gt;=3.5,"High",IF(T3435&gt;=2,"Medium","Low")))</f>
        <v/>
      </c>
    </row>
    <row r="3436">
      <c r="R3436">
        <f>IFERROR(XLOOKUP(XLOOKUP(D3436,tblReleaseChanges[Change_ID],tblReleaseChanges[Oracle_Severity],""),tblSeverityMap[Severity_Text],tblSeverityMap[Score],0),0)</f>
        <v/>
      </c>
      <c r="T3436">
        <f>ROUND((M3436*0.25)+(N3436*0.20)+(O3436*0.15)+(P3436*0.15)+(Q3436*0.10)+(R3436*0.10)+(S3436*0.05),2)</f>
        <v/>
      </c>
      <c r="U3436">
        <f>IF(T3436&gt;=4.25,"Critical",IF(T3436&gt;=3.5,"High",IF(T3436&gt;=2,"Medium","Low")))</f>
        <v/>
      </c>
    </row>
    <row r="3437">
      <c r="R3437">
        <f>IFERROR(XLOOKUP(XLOOKUP(D3437,tblReleaseChanges[Change_ID],tblReleaseChanges[Oracle_Severity],""),tblSeverityMap[Severity_Text],tblSeverityMap[Score],0),0)</f>
        <v/>
      </c>
      <c r="T3437">
        <f>ROUND((M3437*0.25)+(N3437*0.20)+(O3437*0.15)+(P3437*0.15)+(Q3437*0.10)+(R3437*0.10)+(S3437*0.05),2)</f>
        <v/>
      </c>
      <c r="U3437">
        <f>IF(T3437&gt;=4.25,"Critical",IF(T3437&gt;=3.5,"High",IF(T3437&gt;=2,"Medium","Low")))</f>
        <v/>
      </c>
    </row>
    <row r="3438">
      <c r="R3438">
        <f>IFERROR(XLOOKUP(XLOOKUP(D3438,tblReleaseChanges[Change_ID],tblReleaseChanges[Oracle_Severity],""),tblSeverityMap[Severity_Text],tblSeverityMap[Score],0),0)</f>
        <v/>
      </c>
      <c r="T3438">
        <f>ROUND((M3438*0.25)+(N3438*0.20)+(O3438*0.15)+(P3438*0.15)+(Q3438*0.10)+(R3438*0.10)+(S3438*0.05),2)</f>
        <v/>
      </c>
      <c r="U3438">
        <f>IF(T3438&gt;=4.25,"Critical",IF(T3438&gt;=3.5,"High",IF(T3438&gt;=2,"Medium","Low")))</f>
        <v/>
      </c>
    </row>
    <row r="3439">
      <c r="R3439">
        <f>IFERROR(XLOOKUP(XLOOKUP(D3439,tblReleaseChanges[Change_ID],tblReleaseChanges[Oracle_Severity],""),tblSeverityMap[Severity_Text],tblSeverityMap[Score],0),0)</f>
        <v/>
      </c>
      <c r="T3439">
        <f>ROUND((M3439*0.25)+(N3439*0.20)+(O3439*0.15)+(P3439*0.15)+(Q3439*0.10)+(R3439*0.10)+(S3439*0.05),2)</f>
        <v/>
      </c>
      <c r="U3439">
        <f>IF(T3439&gt;=4.25,"Critical",IF(T3439&gt;=3.5,"High",IF(T3439&gt;=2,"Medium","Low")))</f>
        <v/>
      </c>
    </row>
    <row r="3440">
      <c r="R3440">
        <f>IFERROR(XLOOKUP(XLOOKUP(D3440,tblReleaseChanges[Change_ID],tblReleaseChanges[Oracle_Severity],""),tblSeverityMap[Severity_Text],tblSeverityMap[Score],0),0)</f>
        <v/>
      </c>
      <c r="T3440">
        <f>ROUND((M3440*0.25)+(N3440*0.20)+(O3440*0.15)+(P3440*0.15)+(Q3440*0.10)+(R3440*0.10)+(S3440*0.05),2)</f>
        <v/>
      </c>
      <c r="U3440">
        <f>IF(T3440&gt;=4.25,"Critical",IF(T3440&gt;=3.5,"High",IF(T3440&gt;=2,"Medium","Low")))</f>
        <v/>
      </c>
    </row>
    <row r="3441">
      <c r="R3441">
        <f>IFERROR(XLOOKUP(XLOOKUP(D3441,tblReleaseChanges[Change_ID],tblReleaseChanges[Oracle_Severity],""),tblSeverityMap[Severity_Text],tblSeverityMap[Score],0),0)</f>
        <v/>
      </c>
      <c r="T3441">
        <f>ROUND((M3441*0.25)+(N3441*0.20)+(O3441*0.15)+(P3441*0.15)+(Q3441*0.10)+(R3441*0.10)+(S3441*0.05),2)</f>
        <v/>
      </c>
      <c r="U3441">
        <f>IF(T3441&gt;=4.25,"Critical",IF(T3441&gt;=3.5,"High",IF(T3441&gt;=2,"Medium","Low")))</f>
        <v/>
      </c>
    </row>
    <row r="3442">
      <c r="R3442">
        <f>IFERROR(XLOOKUP(XLOOKUP(D3442,tblReleaseChanges[Change_ID],tblReleaseChanges[Oracle_Severity],""),tblSeverityMap[Severity_Text],tblSeverityMap[Score],0),0)</f>
        <v/>
      </c>
      <c r="T3442">
        <f>ROUND((M3442*0.25)+(N3442*0.20)+(O3442*0.15)+(P3442*0.15)+(Q3442*0.10)+(R3442*0.10)+(S3442*0.05),2)</f>
        <v/>
      </c>
      <c r="U3442">
        <f>IF(T3442&gt;=4.25,"Critical",IF(T3442&gt;=3.5,"High",IF(T3442&gt;=2,"Medium","Low")))</f>
        <v/>
      </c>
    </row>
    <row r="3443">
      <c r="R3443">
        <f>IFERROR(XLOOKUP(XLOOKUP(D3443,tblReleaseChanges[Change_ID],tblReleaseChanges[Oracle_Severity],""),tblSeverityMap[Severity_Text],tblSeverityMap[Score],0),0)</f>
        <v/>
      </c>
      <c r="T3443">
        <f>ROUND((M3443*0.25)+(N3443*0.20)+(O3443*0.15)+(P3443*0.15)+(Q3443*0.10)+(R3443*0.10)+(S3443*0.05),2)</f>
        <v/>
      </c>
      <c r="U3443">
        <f>IF(T3443&gt;=4.25,"Critical",IF(T3443&gt;=3.5,"High",IF(T3443&gt;=2,"Medium","Low")))</f>
        <v/>
      </c>
    </row>
    <row r="3444">
      <c r="R3444">
        <f>IFERROR(XLOOKUP(XLOOKUP(D3444,tblReleaseChanges[Change_ID],tblReleaseChanges[Oracle_Severity],""),tblSeverityMap[Severity_Text],tblSeverityMap[Score],0),0)</f>
        <v/>
      </c>
      <c r="T3444">
        <f>ROUND((M3444*0.25)+(N3444*0.20)+(O3444*0.15)+(P3444*0.15)+(Q3444*0.10)+(R3444*0.10)+(S3444*0.05),2)</f>
        <v/>
      </c>
      <c r="U3444">
        <f>IF(T3444&gt;=4.25,"Critical",IF(T3444&gt;=3.5,"High",IF(T3444&gt;=2,"Medium","Low")))</f>
        <v/>
      </c>
    </row>
    <row r="3445">
      <c r="R3445">
        <f>IFERROR(XLOOKUP(XLOOKUP(D3445,tblReleaseChanges[Change_ID],tblReleaseChanges[Oracle_Severity],""),tblSeverityMap[Severity_Text],tblSeverityMap[Score],0),0)</f>
        <v/>
      </c>
      <c r="T3445">
        <f>ROUND((M3445*0.25)+(N3445*0.20)+(O3445*0.15)+(P3445*0.15)+(Q3445*0.10)+(R3445*0.10)+(S3445*0.05),2)</f>
        <v/>
      </c>
      <c r="U3445">
        <f>IF(T3445&gt;=4.25,"Critical",IF(T3445&gt;=3.5,"High",IF(T3445&gt;=2,"Medium","Low")))</f>
        <v/>
      </c>
    </row>
    <row r="3446">
      <c r="R3446">
        <f>IFERROR(XLOOKUP(XLOOKUP(D3446,tblReleaseChanges[Change_ID],tblReleaseChanges[Oracle_Severity],""),tblSeverityMap[Severity_Text],tblSeverityMap[Score],0),0)</f>
        <v/>
      </c>
      <c r="T3446">
        <f>ROUND((M3446*0.25)+(N3446*0.20)+(O3446*0.15)+(P3446*0.15)+(Q3446*0.10)+(R3446*0.10)+(S3446*0.05),2)</f>
        <v/>
      </c>
      <c r="U3446">
        <f>IF(T3446&gt;=4.25,"Critical",IF(T3446&gt;=3.5,"High",IF(T3446&gt;=2,"Medium","Low")))</f>
        <v/>
      </c>
    </row>
    <row r="3447">
      <c r="R3447">
        <f>IFERROR(XLOOKUP(XLOOKUP(D3447,tblReleaseChanges[Change_ID],tblReleaseChanges[Oracle_Severity],""),tblSeverityMap[Severity_Text],tblSeverityMap[Score],0),0)</f>
        <v/>
      </c>
      <c r="T3447">
        <f>ROUND((M3447*0.25)+(N3447*0.20)+(O3447*0.15)+(P3447*0.15)+(Q3447*0.10)+(R3447*0.10)+(S3447*0.05),2)</f>
        <v/>
      </c>
      <c r="U3447">
        <f>IF(T3447&gt;=4.25,"Critical",IF(T3447&gt;=3.5,"High",IF(T3447&gt;=2,"Medium","Low")))</f>
        <v/>
      </c>
    </row>
    <row r="3448">
      <c r="R3448">
        <f>IFERROR(XLOOKUP(XLOOKUP(D3448,tblReleaseChanges[Change_ID],tblReleaseChanges[Oracle_Severity],""),tblSeverityMap[Severity_Text],tblSeverityMap[Score],0),0)</f>
        <v/>
      </c>
      <c r="T3448">
        <f>ROUND((M3448*0.25)+(N3448*0.20)+(O3448*0.15)+(P3448*0.15)+(Q3448*0.10)+(R3448*0.10)+(S3448*0.05),2)</f>
        <v/>
      </c>
      <c r="U3448">
        <f>IF(T3448&gt;=4.25,"Critical",IF(T3448&gt;=3.5,"High",IF(T3448&gt;=2,"Medium","Low")))</f>
        <v/>
      </c>
    </row>
    <row r="3449">
      <c r="R3449">
        <f>IFERROR(XLOOKUP(XLOOKUP(D3449,tblReleaseChanges[Change_ID],tblReleaseChanges[Oracle_Severity],""),tblSeverityMap[Severity_Text],tblSeverityMap[Score],0),0)</f>
        <v/>
      </c>
      <c r="T3449">
        <f>ROUND((M3449*0.25)+(N3449*0.20)+(O3449*0.15)+(P3449*0.15)+(Q3449*0.10)+(R3449*0.10)+(S3449*0.05),2)</f>
        <v/>
      </c>
      <c r="U3449">
        <f>IF(T3449&gt;=4.25,"Critical",IF(T3449&gt;=3.5,"High",IF(T3449&gt;=2,"Medium","Low")))</f>
        <v/>
      </c>
    </row>
    <row r="3450">
      <c r="R3450">
        <f>IFERROR(XLOOKUP(XLOOKUP(D3450,tblReleaseChanges[Change_ID],tblReleaseChanges[Oracle_Severity],""),tblSeverityMap[Severity_Text],tblSeverityMap[Score],0),0)</f>
        <v/>
      </c>
      <c r="T3450">
        <f>ROUND((M3450*0.25)+(N3450*0.20)+(O3450*0.15)+(P3450*0.15)+(Q3450*0.10)+(R3450*0.10)+(S3450*0.05),2)</f>
        <v/>
      </c>
      <c r="U3450">
        <f>IF(T3450&gt;=4.25,"Critical",IF(T3450&gt;=3.5,"High",IF(T3450&gt;=2,"Medium","Low")))</f>
        <v/>
      </c>
    </row>
    <row r="3451">
      <c r="R3451">
        <f>IFERROR(XLOOKUP(XLOOKUP(D3451,tblReleaseChanges[Change_ID],tblReleaseChanges[Oracle_Severity],""),tblSeverityMap[Severity_Text],tblSeverityMap[Score],0),0)</f>
        <v/>
      </c>
      <c r="T3451">
        <f>ROUND((M3451*0.25)+(N3451*0.20)+(O3451*0.15)+(P3451*0.15)+(Q3451*0.10)+(R3451*0.10)+(S3451*0.05),2)</f>
        <v/>
      </c>
      <c r="U3451">
        <f>IF(T3451&gt;=4.25,"Critical",IF(T3451&gt;=3.5,"High",IF(T3451&gt;=2,"Medium","Low")))</f>
        <v/>
      </c>
    </row>
    <row r="3452">
      <c r="R3452">
        <f>IFERROR(XLOOKUP(XLOOKUP(D3452,tblReleaseChanges[Change_ID],tblReleaseChanges[Oracle_Severity],""),tblSeverityMap[Severity_Text],tblSeverityMap[Score],0),0)</f>
        <v/>
      </c>
      <c r="T3452">
        <f>ROUND((M3452*0.25)+(N3452*0.20)+(O3452*0.15)+(P3452*0.15)+(Q3452*0.10)+(R3452*0.10)+(S3452*0.05),2)</f>
        <v/>
      </c>
      <c r="U3452">
        <f>IF(T3452&gt;=4.25,"Critical",IF(T3452&gt;=3.5,"High",IF(T3452&gt;=2,"Medium","Low")))</f>
        <v/>
      </c>
    </row>
    <row r="3453">
      <c r="R3453">
        <f>IFERROR(XLOOKUP(XLOOKUP(D3453,tblReleaseChanges[Change_ID],tblReleaseChanges[Oracle_Severity],""),tblSeverityMap[Severity_Text],tblSeverityMap[Score],0),0)</f>
        <v/>
      </c>
      <c r="T3453">
        <f>ROUND((M3453*0.25)+(N3453*0.20)+(O3453*0.15)+(P3453*0.15)+(Q3453*0.10)+(R3453*0.10)+(S3453*0.05),2)</f>
        <v/>
      </c>
      <c r="U3453">
        <f>IF(T3453&gt;=4.25,"Critical",IF(T3453&gt;=3.5,"High",IF(T3453&gt;=2,"Medium","Low")))</f>
        <v/>
      </c>
    </row>
    <row r="3454">
      <c r="R3454">
        <f>IFERROR(XLOOKUP(XLOOKUP(D3454,tblReleaseChanges[Change_ID],tblReleaseChanges[Oracle_Severity],""),tblSeverityMap[Severity_Text],tblSeverityMap[Score],0),0)</f>
        <v/>
      </c>
      <c r="T3454">
        <f>ROUND((M3454*0.25)+(N3454*0.20)+(O3454*0.15)+(P3454*0.15)+(Q3454*0.10)+(R3454*0.10)+(S3454*0.05),2)</f>
        <v/>
      </c>
      <c r="U3454">
        <f>IF(T3454&gt;=4.25,"Critical",IF(T3454&gt;=3.5,"High",IF(T3454&gt;=2,"Medium","Low")))</f>
        <v/>
      </c>
    </row>
    <row r="3455">
      <c r="R3455">
        <f>IFERROR(XLOOKUP(XLOOKUP(D3455,tblReleaseChanges[Change_ID],tblReleaseChanges[Oracle_Severity],""),tblSeverityMap[Severity_Text],tblSeverityMap[Score],0),0)</f>
        <v/>
      </c>
      <c r="T3455">
        <f>ROUND((M3455*0.25)+(N3455*0.20)+(O3455*0.15)+(P3455*0.15)+(Q3455*0.10)+(R3455*0.10)+(S3455*0.05),2)</f>
        <v/>
      </c>
      <c r="U3455">
        <f>IF(T3455&gt;=4.25,"Critical",IF(T3455&gt;=3.5,"High",IF(T3455&gt;=2,"Medium","Low")))</f>
        <v/>
      </c>
    </row>
    <row r="3456">
      <c r="R3456">
        <f>IFERROR(XLOOKUP(XLOOKUP(D3456,tblReleaseChanges[Change_ID],tblReleaseChanges[Oracle_Severity],""),tblSeverityMap[Severity_Text],tblSeverityMap[Score],0),0)</f>
        <v/>
      </c>
      <c r="T3456">
        <f>ROUND((M3456*0.25)+(N3456*0.20)+(O3456*0.15)+(P3456*0.15)+(Q3456*0.10)+(R3456*0.10)+(S3456*0.05),2)</f>
        <v/>
      </c>
      <c r="U3456">
        <f>IF(T3456&gt;=4.25,"Critical",IF(T3456&gt;=3.5,"High",IF(T3456&gt;=2,"Medium","Low")))</f>
        <v/>
      </c>
    </row>
    <row r="3457">
      <c r="R3457">
        <f>IFERROR(XLOOKUP(XLOOKUP(D3457,tblReleaseChanges[Change_ID],tblReleaseChanges[Oracle_Severity],""),tblSeverityMap[Severity_Text],tblSeverityMap[Score],0),0)</f>
        <v/>
      </c>
      <c r="T3457">
        <f>ROUND((M3457*0.25)+(N3457*0.20)+(O3457*0.15)+(P3457*0.15)+(Q3457*0.10)+(R3457*0.10)+(S3457*0.05),2)</f>
        <v/>
      </c>
      <c r="U3457">
        <f>IF(T3457&gt;=4.25,"Critical",IF(T3457&gt;=3.5,"High",IF(T3457&gt;=2,"Medium","Low")))</f>
        <v/>
      </c>
    </row>
    <row r="3458">
      <c r="R3458">
        <f>IFERROR(XLOOKUP(XLOOKUP(D3458,tblReleaseChanges[Change_ID],tblReleaseChanges[Oracle_Severity],""),tblSeverityMap[Severity_Text],tblSeverityMap[Score],0),0)</f>
        <v/>
      </c>
      <c r="T3458">
        <f>ROUND((M3458*0.25)+(N3458*0.20)+(O3458*0.15)+(P3458*0.15)+(Q3458*0.10)+(R3458*0.10)+(S3458*0.05),2)</f>
        <v/>
      </c>
      <c r="U3458">
        <f>IF(T3458&gt;=4.25,"Critical",IF(T3458&gt;=3.5,"High",IF(T3458&gt;=2,"Medium","Low")))</f>
        <v/>
      </c>
    </row>
    <row r="3459">
      <c r="R3459">
        <f>IFERROR(XLOOKUP(XLOOKUP(D3459,tblReleaseChanges[Change_ID],tblReleaseChanges[Oracle_Severity],""),tblSeverityMap[Severity_Text],tblSeverityMap[Score],0),0)</f>
        <v/>
      </c>
      <c r="T3459">
        <f>ROUND((M3459*0.25)+(N3459*0.20)+(O3459*0.15)+(P3459*0.15)+(Q3459*0.10)+(R3459*0.10)+(S3459*0.05),2)</f>
        <v/>
      </c>
      <c r="U3459">
        <f>IF(T3459&gt;=4.25,"Critical",IF(T3459&gt;=3.5,"High",IF(T3459&gt;=2,"Medium","Low")))</f>
        <v/>
      </c>
    </row>
    <row r="3460">
      <c r="R3460">
        <f>IFERROR(XLOOKUP(XLOOKUP(D3460,tblReleaseChanges[Change_ID],tblReleaseChanges[Oracle_Severity],""),tblSeverityMap[Severity_Text],tblSeverityMap[Score],0),0)</f>
        <v/>
      </c>
      <c r="T3460">
        <f>ROUND((M3460*0.25)+(N3460*0.20)+(O3460*0.15)+(P3460*0.15)+(Q3460*0.10)+(R3460*0.10)+(S3460*0.05),2)</f>
        <v/>
      </c>
      <c r="U3460">
        <f>IF(T3460&gt;=4.25,"Critical",IF(T3460&gt;=3.5,"High",IF(T3460&gt;=2,"Medium","Low")))</f>
        <v/>
      </c>
    </row>
    <row r="3461">
      <c r="R3461">
        <f>IFERROR(XLOOKUP(XLOOKUP(D3461,tblReleaseChanges[Change_ID],tblReleaseChanges[Oracle_Severity],""),tblSeverityMap[Severity_Text],tblSeverityMap[Score],0),0)</f>
        <v/>
      </c>
      <c r="T3461">
        <f>ROUND((M3461*0.25)+(N3461*0.20)+(O3461*0.15)+(P3461*0.15)+(Q3461*0.10)+(R3461*0.10)+(S3461*0.05),2)</f>
        <v/>
      </c>
      <c r="U3461">
        <f>IF(T3461&gt;=4.25,"Critical",IF(T3461&gt;=3.5,"High",IF(T3461&gt;=2,"Medium","Low")))</f>
        <v/>
      </c>
    </row>
    <row r="3462">
      <c r="R3462">
        <f>IFERROR(XLOOKUP(XLOOKUP(D3462,tblReleaseChanges[Change_ID],tblReleaseChanges[Oracle_Severity],""),tblSeverityMap[Severity_Text],tblSeverityMap[Score],0),0)</f>
        <v/>
      </c>
      <c r="T3462">
        <f>ROUND((M3462*0.25)+(N3462*0.20)+(O3462*0.15)+(P3462*0.15)+(Q3462*0.10)+(R3462*0.10)+(S3462*0.05),2)</f>
        <v/>
      </c>
      <c r="U3462">
        <f>IF(T3462&gt;=4.25,"Critical",IF(T3462&gt;=3.5,"High",IF(T3462&gt;=2,"Medium","Low")))</f>
        <v/>
      </c>
    </row>
    <row r="3463">
      <c r="R3463">
        <f>IFERROR(XLOOKUP(XLOOKUP(D3463,tblReleaseChanges[Change_ID],tblReleaseChanges[Oracle_Severity],""),tblSeverityMap[Severity_Text],tblSeverityMap[Score],0),0)</f>
        <v/>
      </c>
      <c r="T3463">
        <f>ROUND((M3463*0.25)+(N3463*0.20)+(O3463*0.15)+(P3463*0.15)+(Q3463*0.10)+(R3463*0.10)+(S3463*0.05),2)</f>
        <v/>
      </c>
      <c r="U3463">
        <f>IF(T3463&gt;=4.25,"Critical",IF(T3463&gt;=3.5,"High",IF(T3463&gt;=2,"Medium","Low")))</f>
        <v/>
      </c>
    </row>
    <row r="3464">
      <c r="R3464">
        <f>IFERROR(XLOOKUP(XLOOKUP(D3464,tblReleaseChanges[Change_ID],tblReleaseChanges[Oracle_Severity],""),tblSeverityMap[Severity_Text],tblSeverityMap[Score],0),0)</f>
        <v/>
      </c>
      <c r="T3464">
        <f>ROUND((M3464*0.25)+(N3464*0.20)+(O3464*0.15)+(P3464*0.15)+(Q3464*0.10)+(R3464*0.10)+(S3464*0.05),2)</f>
        <v/>
      </c>
      <c r="U3464">
        <f>IF(T3464&gt;=4.25,"Critical",IF(T3464&gt;=3.5,"High",IF(T3464&gt;=2,"Medium","Low")))</f>
        <v/>
      </c>
    </row>
    <row r="3465">
      <c r="R3465">
        <f>IFERROR(XLOOKUP(XLOOKUP(D3465,tblReleaseChanges[Change_ID],tblReleaseChanges[Oracle_Severity],""),tblSeverityMap[Severity_Text],tblSeverityMap[Score],0),0)</f>
        <v/>
      </c>
      <c r="T3465">
        <f>ROUND((M3465*0.25)+(N3465*0.20)+(O3465*0.15)+(P3465*0.15)+(Q3465*0.10)+(R3465*0.10)+(S3465*0.05),2)</f>
        <v/>
      </c>
      <c r="U3465">
        <f>IF(T3465&gt;=4.25,"Critical",IF(T3465&gt;=3.5,"High",IF(T3465&gt;=2,"Medium","Low")))</f>
        <v/>
      </c>
    </row>
    <row r="3466">
      <c r="R3466">
        <f>IFERROR(XLOOKUP(XLOOKUP(D3466,tblReleaseChanges[Change_ID],tblReleaseChanges[Oracle_Severity],""),tblSeverityMap[Severity_Text],tblSeverityMap[Score],0),0)</f>
        <v/>
      </c>
      <c r="T3466">
        <f>ROUND((M3466*0.25)+(N3466*0.20)+(O3466*0.15)+(P3466*0.15)+(Q3466*0.10)+(R3466*0.10)+(S3466*0.05),2)</f>
        <v/>
      </c>
      <c r="U3466">
        <f>IF(T3466&gt;=4.25,"Critical",IF(T3466&gt;=3.5,"High",IF(T3466&gt;=2,"Medium","Low")))</f>
        <v/>
      </c>
    </row>
    <row r="3467">
      <c r="R3467">
        <f>IFERROR(XLOOKUP(XLOOKUP(D3467,tblReleaseChanges[Change_ID],tblReleaseChanges[Oracle_Severity],""),tblSeverityMap[Severity_Text],tblSeverityMap[Score],0),0)</f>
        <v/>
      </c>
      <c r="T3467">
        <f>ROUND((M3467*0.25)+(N3467*0.20)+(O3467*0.15)+(P3467*0.15)+(Q3467*0.10)+(R3467*0.10)+(S3467*0.05),2)</f>
        <v/>
      </c>
      <c r="U3467">
        <f>IF(T3467&gt;=4.25,"Critical",IF(T3467&gt;=3.5,"High",IF(T3467&gt;=2,"Medium","Low")))</f>
        <v/>
      </c>
    </row>
    <row r="3468">
      <c r="R3468">
        <f>IFERROR(XLOOKUP(XLOOKUP(D3468,tblReleaseChanges[Change_ID],tblReleaseChanges[Oracle_Severity],""),tblSeverityMap[Severity_Text],tblSeverityMap[Score],0),0)</f>
        <v/>
      </c>
      <c r="T3468">
        <f>ROUND((M3468*0.25)+(N3468*0.20)+(O3468*0.15)+(P3468*0.15)+(Q3468*0.10)+(R3468*0.10)+(S3468*0.05),2)</f>
        <v/>
      </c>
      <c r="U3468">
        <f>IF(T3468&gt;=4.25,"Critical",IF(T3468&gt;=3.5,"High",IF(T3468&gt;=2,"Medium","Low")))</f>
        <v/>
      </c>
    </row>
    <row r="3469">
      <c r="R3469">
        <f>IFERROR(XLOOKUP(XLOOKUP(D3469,tblReleaseChanges[Change_ID],tblReleaseChanges[Oracle_Severity],""),tblSeverityMap[Severity_Text],tblSeverityMap[Score],0),0)</f>
        <v/>
      </c>
      <c r="T3469">
        <f>ROUND((M3469*0.25)+(N3469*0.20)+(O3469*0.15)+(P3469*0.15)+(Q3469*0.10)+(R3469*0.10)+(S3469*0.05),2)</f>
        <v/>
      </c>
      <c r="U3469">
        <f>IF(T3469&gt;=4.25,"Critical",IF(T3469&gt;=3.5,"High",IF(T3469&gt;=2,"Medium","Low")))</f>
        <v/>
      </c>
    </row>
    <row r="3470">
      <c r="R3470">
        <f>IFERROR(XLOOKUP(XLOOKUP(D3470,tblReleaseChanges[Change_ID],tblReleaseChanges[Oracle_Severity],""),tblSeverityMap[Severity_Text],tblSeverityMap[Score],0),0)</f>
        <v/>
      </c>
      <c r="T3470">
        <f>ROUND((M3470*0.25)+(N3470*0.20)+(O3470*0.15)+(P3470*0.15)+(Q3470*0.10)+(R3470*0.10)+(S3470*0.05),2)</f>
        <v/>
      </c>
      <c r="U3470">
        <f>IF(T3470&gt;=4.25,"Critical",IF(T3470&gt;=3.5,"High",IF(T3470&gt;=2,"Medium","Low")))</f>
        <v/>
      </c>
    </row>
    <row r="3471">
      <c r="R3471">
        <f>IFERROR(XLOOKUP(XLOOKUP(D3471,tblReleaseChanges[Change_ID],tblReleaseChanges[Oracle_Severity],""),tblSeverityMap[Severity_Text],tblSeverityMap[Score],0),0)</f>
        <v/>
      </c>
      <c r="T3471">
        <f>ROUND((M3471*0.25)+(N3471*0.20)+(O3471*0.15)+(P3471*0.15)+(Q3471*0.10)+(R3471*0.10)+(S3471*0.05),2)</f>
        <v/>
      </c>
      <c r="U3471">
        <f>IF(T3471&gt;=4.25,"Critical",IF(T3471&gt;=3.5,"High",IF(T3471&gt;=2,"Medium","Low")))</f>
        <v/>
      </c>
    </row>
    <row r="3472">
      <c r="R3472">
        <f>IFERROR(XLOOKUP(XLOOKUP(D3472,tblReleaseChanges[Change_ID],tblReleaseChanges[Oracle_Severity],""),tblSeverityMap[Severity_Text],tblSeverityMap[Score],0),0)</f>
        <v/>
      </c>
      <c r="T3472">
        <f>ROUND((M3472*0.25)+(N3472*0.20)+(O3472*0.15)+(P3472*0.15)+(Q3472*0.10)+(R3472*0.10)+(S3472*0.05),2)</f>
        <v/>
      </c>
      <c r="U3472">
        <f>IF(T3472&gt;=4.25,"Critical",IF(T3472&gt;=3.5,"High",IF(T3472&gt;=2,"Medium","Low")))</f>
        <v/>
      </c>
    </row>
    <row r="3473">
      <c r="R3473">
        <f>IFERROR(XLOOKUP(XLOOKUP(D3473,tblReleaseChanges[Change_ID],tblReleaseChanges[Oracle_Severity],""),tblSeverityMap[Severity_Text],tblSeverityMap[Score],0),0)</f>
        <v/>
      </c>
      <c r="T3473">
        <f>ROUND((M3473*0.25)+(N3473*0.20)+(O3473*0.15)+(P3473*0.15)+(Q3473*0.10)+(R3473*0.10)+(S3473*0.05),2)</f>
        <v/>
      </c>
      <c r="U3473">
        <f>IF(T3473&gt;=4.25,"Critical",IF(T3473&gt;=3.5,"High",IF(T3473&gt;=2,"Medium","Low")))</f>
        <v/>
      </c>
    </row>
    <row r="3474">
      <c r="R3474">
        <f>IFERROR(XLOOKUP(XLOOKUP(D3474,tblReleaseChanges[Change_ID],tblReleaseChanges[Oracle_Severity],""),tblSeverityMap[Severity_Text],tblSeverityMap[Score],0),0)</f>
        <v/>
      </c>
      <c r="T3474">
        <f>ROUND((M3474*0.25)+(N3474*0.20)+(O3474*0.15)+(P3474*0.15)+(Q3474*0.10)+(R3474*0.10)+(S3474*0.05),2)</f>
        <v/>
      </c>
      <c r="U3474">
        <f>IF(T3474&gt;=4.25,"Critical",IF(T3474&gt;=3.5,"High",IF(T3474&gt;=2,"Medium","Low")))</f>
        <v/>
      </c>
    </row>
    <row r="3475">
      <c r="R3475">
        <f>IFERROR(XLOOKUP(XLOOKUP(D3475,tblReleaseChanges[Change_ID],tblReleaseChanges[Oracle_Severity],""),tblSeverityMap[Severity_Text],tblSeverityMap[Score],0),0)</f>
        <v/>
      </c>
      <c r="T3475">
        <f>ROUND((M3475*0.25)+(N3475*0.20)+(O3475*0.15)+(P3475*0.15)+(Q3475*0.10)+(R3475*0.10)+(S3475*0.05),2)</f>
        <v/>
      </c>
      <c r="U3475">
        <f>IF(T3475&gt;=4.25,"Critical",IF(T3475&gt;=3.5,"High",IF(T3475&gt;=2,"Medium","Low")))</f>
        <v/>
      </c>
    </row>
    <row r="3476">
      <c r="R3476">
        <f>IFERROR(XLOOKUP(XLOOKUP(D3476,tblReleaseChanges[Change_ID],tblReleaseChanges[Oracle_Severity],""),tblSeverityMap[Severity_Text],tblSeverityMap[Score],0),0)</f>
        <v/>
      </c>
      <c r="T3476">
        <f>ROUND((M3476*0.25)+(N3476*0.20)+(O3476*0.15)+(P3476*0.15)+(Q3476*0.10)+(R3476*0.10)+(S3476*0.05),2)</f>
        <v/>
      </c>
      <c r="U3476">
        <f>IF(T3476&gt;=4.25,"Critical",IF(T3476&gt;=3.5,"High",IF(T3476&gt;=2,"Medium","Low")))</f>
        <v/>
      </c>
    </row>
    <row r="3477">
      <c r="R3477">
        <f>IFERROR(XLOOKUP(XLOOKUP(D3477,tblReleaseChanges[Change_ID],tblReleaseChanges[Oracle_Severity],""),tblSeverityMap[Severity_Text],tblSeverityMap[Score],0),0)</f>
        <v/>
      </c>
      <c r="T3477">
        <f>ROUND((M3477*0.25)+(N3477*0.20)+(O3477*0.15)+(P3477*0.15)+(Q3477*0.10)+(R3477*0.10)+(S3477*0.05),2)</f>
        <v/>
      </c>
      <c r="U3477">
        <f>IF(T3477&gt;=4.25,"Critical",IF(T3477&gt;=3.5,"High",IF(T3477&gt;=2,"Medium","Low")))</f>
        <v/>
      </c>
    </row>
    <row r="3478">
      <c r="R3478">
        <f>IFERROR(XLOOKUP(XLOOKUP(D3478,tblReleaseChanges[Change_ID],tblReleaseChanges[Oracle_Severity],""),tblSeverityMap[Severity_Text],tblSeverityMap[Score],0),0)</f>
        <v/>
      </c>
      <c r="T3478">
        <f>ROUND((M3478*0.25)+(N3478*0.20)+(O3478*0.15)+(P3478*0.15)+(Q3478*0.10)+(R3478*0.10)+(S3478*0.05),2)</f>
        <v/>
      </c>
      <c r="U3478">
        <f>IF(T3478&gt;=4.25,"Critical",IF(T3478&gt;=3.5,"High",IF(T3478&gt;=2,"Medium","Low")))</f>
        <v/>
      </c>
    </row>
    <row r="3479">
      <c r="R3479">
        <f>IFERROR(XLOOKUP(XLOOKUP(D3479,tblReleaseChanges[Change_ID],tblReleaseChanges[Oracle_Severity],""),tblSeverityMap[Severity_Text],tblSeverityMap[Score],0),0)</f>
        <v/>
      </c>
      <c r="T3479">
        <f>ROUND((M3479*0.25)+(N3479*0.20)+(O3479*0.15)+(P3479*0.15)+(Q3479*0.10)+(R3479*0.10)+(S3479*0.05),2)</f>
        <v/>
      </c>
      <c r="U3479">
        <f>IF(T3479&gt;=4.25,"Critical",IF(T3479&gt;=3.5,"High",IF(T3479&gt;=2,"Medium","Low")))</f>
        <v/>
      </c>
    </row>
    <row r="3480">
      <c r="R3480">
        <f>IFERROR(XLOOKUP(XLOOKUP(D3480,tblReleaseChanges[Change_ID],tblReleaseChanges[Oracle_Severity],""),tblSeverityMap[Severity_Text],tblSeverityMap[Score],0),0)</f>
        <v/>
      </c>
      <c r="T3480">
        <f>ROUND((M3480*0.25)+(N3480*0.20)+(O3480*0.15)+(P3480*0.15)+(Q3480*0.10)+(R3480*0.10)+(S3480*0.05),2)</f>
        <v/>
      </c>
      <c r="U3480">
        <f>IF(T3480&gt;=4.25,"Critical",IF(T3480&gt;=3.5,"High",IF(T3480&gt;=2,"Medium","Low")))</f>
        <v/>
      </c>
    </row>
    <row r="3481">
      <c r="R3481">
        <f>IFERROR(XLOOKUP(XLOOKUP(D3481,tblReleaseChanges[Change_ID],tblReleaseChanges[Oracle_Severity],""),tblSeverityMap[Severity_Text],tblSeverityMap[Score],0),0)</f>
        <v/>
      </c>
      <c r="T3481">
        <f>ROUND((M3481*0.25)+(N3481*0.20)+(O3481*0.15)+(P3481*0.15)+(Q3481*0.10)+(R3481*0.10)+(S3481*0.05),2)</f>
        <v/>
      </c>
      <c r="U3481">
        <f>IF(T3481&gt;=4.25,"Critical",IF(T3481&gt;=3.5,"High",IF(T3481&gt;=2,"Medium","Low")))</f>
        <v/>
      </c>
    </row>
    <row r="3482">
      <c r="R3482">
        <f>IFERROR(XLOOKUP(XLOOKUP(D3482,tblReleaseChanges[Change_ID],tblReleaseChanges[Oracle_Severity],""),tblSeverityMap[Severity_Text],tblSeverityMap[Score],0),0)</f>
        <v/>
      </c>
      <c r="T3482">
        <f>ROUND((M3482*0.25)+(N3482*0.20)+(O3482*0.15)+(P3482*0.15)+(Q3482*0.10)+(R3482*0.10)+(S3482*0.05),2)</f>
        <v/>
      </c>
      <c r="U3482">
        <f>IF(T3482&gt;=4.25,"Critical",IF(T3482&gt;=3.5,"High",IF(T3482&gt;=2,"Medium","Low")))</f>
        <v/>
      </c>
    </row>
    <row r="3483">
      <c r="R3483">
        <f>IFERROR(XLOOKUP(XLOOKUP(D3483,tblReleaseChanges[Change_ID],tblReleaseChanges[Oracle_Severity],""),tblSeverityMap[Severity_Text],tblSeverityMap[Score],0),0)</f>
        <v/>
      </c>
      <c r="T3483">
        <f>ROUND((M3483*0.25)+(N3483*0.20)+(O3483*0.15)+(P3483*0.15)+(Q3483*0.10)+(R3483*0.10)+(S3483*0.05),2)</f>
        <v/>
      </c>
      <c r="U3483">
        <f>IF(T3483&gt;=4.25,"Critical",IF(T3483&gt;=3.5,"High",IF(T3483&gt;=2,"Medium","Low")))</f>
        <v/>
      </c>
    </row>
    <row r="3484">
      <c r="R3484">
        <f>IFERROR(XLOOKUP(XLOOKUP(D3484,tblReleaseChanges[Change_ID],tblReleaseChanges[Oracle_Severity],""),tblSeverityMap[Severity_Text],tblSeverityMap[Score],0),0)</f>
        <v/>
      </c>
      <c r="T3484">
        <f>ROUND((M3484*0.25)+(N3484*0.20)+(O3484*0.15)+(P3484*0.15)+(Q3484*0.10)+(R3484*0.10)+(S3484*0.05),2)</f>
        <v/>
      </c>
      <c r="U3484">
        <f>IF(T3484&gt;=4.25,"Critical",IF(T3484&gt;=3.5,"High",IF(T3484&gt;=2,"Medium","Low")))</f>
        <v/>
      </c>
    </row>
    <row r="3485">
      <c r="R3485">
        <f>IFERROR(XLOOKUP(XLOOKUP(D3485,tblReleaseChanges[Change_ID],tblReleaseChanges[Oracle_Severity],""),tblSeverityMap[Severity_Text],tblSeverityMap[Score],0),0)</f>
        <v/>
      </c>
      <c r="T3485">
        <f>ROUND((M3485*0.25)+(N3485*0.20)+(O3485*0.15)+(P3485*0.15)+(Q3485*0.10)+(R3485*0.10)+(S3485*0.05),2)</f>
        <v/>
      </c>
      <c r="U3485">
        <f>IF(T3485&gt;=4.25,"Critical",IF(T3485&gt;=3.5,"High",IF(T3485&gt;=2,"Medium","Low")))</f>
        <v/>
      </c>
    </row>
    <row r="3486">
      <c r="R3486">
        <f>IFERROR(XLOOKUP(XLOOKUP(D3486,tblReleaseChanges[Change_ID],tblReleaseChanges[Oracle_Severity],""),tblSeverityMap[Severity_Text],tblSeverityMap[Score],0),0)</f>
        <v/>
      </c>
      <c r="T3486">
        <f>ROUND((M3486*0.25)+(N3486*0.20)+(O3486*0.15)+(P3486*0.15)+(Q3486*0.10)+(R3486*0.10)+(S3486*0.05),2)</f>
        <v/>
      </c>
      <c r="U3486">
        <f>IF(T3486&gt;=4.25,"Critical",IF(T3486&gt;=3.5,"High",IF(T3486&gt;=2,"Medium","Low")))</f>
        <v/>
      </c>
    </row>
    <row r="3487">
      <c r="R3487">
        <f>IFERROR(XLOOKUP(XLOOKUP(D3487,tblReleaseChanges[Change_ID],tblReleaseChanges[Oracle_Severity],""),tblSeverityMap[Severity_Text],tblSeverityMap[Score],0),0)</f>
        <v/>
      </c>
      <c r="T3487">
        <f>ROUND((M3487*0.25)+(N3487*0.20)+(O3487*0.15)+(P3487*0.15)+(Q3487*0.10)+(R3487*0.10)+(S3487*0.05),2)</f>
        <v/>
      </c>
      <c r="U3487">
        <f>IF(T3487&gt;=4.25,"Critical",IF(T3487&gt;=3.5,"High",IF(T3487&gt;=2,"Medium","Low")))</f>
        <v/>
      </c>
    </row>
    <row r="3488">
      <c r="R3488">
        <f>IFERROR(XLOOKUP(XLOOKUP(D3488,tblReleaseChanges[Change_ID],tblReleaseChanges[Oracle_Severity],""),tblSeverityMap[Severity_Text],tblSeverityMap[Score],0),0)</f>
        <v/>
      </c>
      <c r="T3488">
        <f>ROUND((M3488*0.25)+(N3488*0.20)+(O3488*0.15)+(P3488*0.15)+(Q3488*0.10)+(R3488*0.10)+(S3488*0.05),2)</f>
        <v/>
      </c>
      <c r="U3488">
        <f>IF(T3488&gt;=4.25,"Critical",IF(T3488&gt;=3.5,"High",IF(T3488&gt;=2,"Medium","Low")))</f>
        <v/>
      </c>
    </row>
    <row r="3489">
      <c r="R3489">
        <f>IFERROR(XLOOKUP(XLOOKUP(D3489,tblReleaseChanges[Change_ID],tblReleaseChanges[Oracle_Severity],""),tblSeverityMap[Severity_Text],tblSeverityMap[Score],0),0)</f>
        <v/>
      </c>
      <c r="T3489">
        <f>ROUND((M3489*0.25)+(N3489*0.20)+(O3489*0.15)+(P3489*0.15)+(Q3489*0.10)+(R3489*0.10)+(S3489*0.05),2)</f>
        <v/>
      </c>
      <c r="U3489">
        <f>IF(T3489&gt;=4.25,"Critical",IF(T3489&gt;=3.5,"High",IF(T3489&gt;=2,"Medium","Low")))</f>
        <v/>
      </c>
    </row>
    <row r="3490">
      <c r="R3490">
        <f>IFERROR(XLOOKUP(XLOOKUP(D3490,tblReleaseChanges[Change_ID],tblReleaseChanges[Oracle_Severity],""),tblSeverityMap[Severity_Text],tblSeverityMap[Score],0),0)</f>
        <v/>
      </c>
      <c r="T3490">
        <f>ROUND((M3490*0.25)+(N3490*0.20)+(O3490*0.15)+(P3490*0.15)+(Q3490*0.10)+(R3490*0.10)+(S3490*0.05),2)</f>
        <v/>
      </c>
      <c r="U3490">
        <f>IF(T3490&gt;=4.25,"Critical",IF(T3490&gt;=3.5,"High",IF(T3490&gt;=2,"Medium","Low")))</f>
        <v/>
      </c>
    </row>
    <row r="3491">
      <c r="R3491">
        <f>IFERROR(XLOOKUP(XLOOKUP(D3491,tblReleaseChanges[Change_ID],tblReleaseChanges[Oracle_Severity],""),tblSeverityMap[Severity_Text],tblSeverityMap[Score],0),0)</f>
        <v/>
      </c>
      <c r="T3491">
        <f>ROUND((M3491*0.25)+(N3491*0.20)+(O3491*0.15)+(P3491*0.15)+(Q3491*0.10)+(R3491*0.10)+(S3491*0.05),2)</f>
        <v/>
      </c>
      <c r="U3491">
        <f>IF(T3491&gt;=4.25,"Critical",IF(T3491&gt;=3.5,"High",IF(T3491&gt;=2,"Medium","Low")))</f>
        <v/>
      </c>
    </row>
    <row r="3492">
      <c r="R3492">
        <f>IFERROR(XLOOKUP(XLOOKUP(D3492,tblReleaseChanges[Change_ID],tblReleaseChanges[Oracle_Severity],""),tblSeverityMap[Severity_Text],tblSeverityMap[Score],0),0)</f>
        <v/>
      </c>
      <c r="T3492">
        <f>ROUND((M3492*0.25)+(N3492*0.20)+(O3492*0.15)+(P3492*0.15)+(Q3492*0.10)+(R3492*0.10)+(S3492*0.05),2)</f>
        <v/>
      </c>
      <c r="U3492">
        <f>IF(T3492&gt;=4.25,"Critical",IF(T3492&gt;=3.5,"High",IF(T3492&gt;=2,"Medium","Low")))</f>
        <v/>
      </c>
    </row>
    <row r="3493">
      <c r="R3493">
        <f>IFERROR(XLOOKUP(XLOOKUP(D3493,tblReleaseChanges[Change_ID],tblReleaseChanges[Oracle_Severity],""),tblSeverityMap[Severity_Text],tblSeverityMap[Score],0),0)</f>
        <v/>
      </c>
      <c r="T3493">
        <f>ROUND((M3493*0.25)+(N3493*0.20)+(O3493*0.15)+(P3493*0.15)+(Q3493*0.10)+(R3493*0.10)+(S3493*0.05),2)</f>
        <v/>
      </c>
      <c r="U3493">
        <f>IF(T3493&gt;=4.25,"Critical",IF(T3493&gt;=3.5,"High",IF(T3493&gt;=2,"Medium","Low")))</f>
        <v/>
      </c>
    </row>
    <row r="3494">
      <c r="R3494">
        <f>IFERROR(XLOOKUP(XLOOKUP(D3494,tblReleaseChanges[Change_ID],tblReleaseChanges[Oracle_Severity],""),tblSeverityMap[Severity_Text],tblSeverityMap[Score],0),0)</f>
        <v/>
      </c>
      <c r="T3494">
        <f>ROUND((M3494*0.25)+(N3494*0.20)+(O3494*0.15)+(P3494*0.15)+(Q3494*0.10)+(R3494*0.10)+(S3494*0.05),2)</f>
        <v/>
      </c>
      <c r="U3494">
        <f>IF(T3494&gt;=4.25,"Critical",IF(T3494&gt;=3.5,"High",IF(T3494&gt;=2,"Medium","Low")))</f>
        <v/>
      </c>
    </row>
    <row r="3495">
      <c r="R3495">
        <f>IFERROR(XLOOKUP(XLOOKUP(D3495,tblReleaseChanges[Change_ID],tblReleaseChanges[Oracle_Severity],""),tblSeverityMap[Severity_Text],tblSeverityMap[Score],0),0)</f>
        <v/>
      </c>
      <c r="T3495">
        <f>ROUND((M3495*0.25)+(N3495*0.20)+(O3495*0.15)+(P3495*0.15)+(Q3495*0.10)+(R3495*0.10)+(S3495*0.05),2)</f>
        <v/>
      </c>
      <c r="U3495">
        <f>IF(T3495&gt;=4.25,"Critical",IF(T3495&gt;=3.5,"High",IF(T3495&gt;=2,"Medium","Low")))</f>
        <v/>
      </c>
    </row>
    <row r="3496">
      <c r="R3496">
        <f>IFERROR(XLOOKUP(XLOOKUP(D3496,tblReleaseChanges[Change_ID],tblReleaseChanges[Oracle_Severity],""),tblSeverityMap[Severity_Text],tblSeverityMap[Score],0),0)</f>
        <v/>
      </c>
      <c r="T3496">
        <f>ROUND((M3496*0.25)+(N3496*0.20)+(O3496*0.15)+(P3496*0.15)+(Q3496*0.10)+(R3496*0.10)+(S3496*0.05),2)</f>
        <v/>
      </c>
      <c r="U3496">
        <f>IF(T3496&gt;=4.25,"Critical",IF(T3496&gt;=3.5,"High",IF(T3496&gt;=2,"Medium","Low")))</f>
        <v/>
      </c>
    </row>
    <row r="3497">
      <c r="R3497">
        <f>IFERROR(XLOOKUP(XLOOKUP(D3497,tblReleaseChanges[Change_ID],tblReleaseChanges[Oracle_Severity],""),tblSeverityMap[Severity_Text],tblSeverityMap[Score],0),0)</f>
        <v/>
      </c>
      <c r="T3497">
        <f>ROUND((M3497*0.25)+(N3497*0.20)+(O3497*0.15)+(P3497*0.15)+(Q3497*0.10)+(R3497*0.10)+(S3497*0.05),2)</f>
        <v/>
      </c>
      <c r="U3497">
        <f>IF(T3497&gt;=4.25,"Critical",IF(T3497&gt;=3.5,"High",IF(T3497&gt;=2,"Medium","Low")))</f>
        <v/>
      </c>
    </row>
    <row r="3498">
      <c r="R3498">
        <f>IFERROR(XLOOKUP(XLOOKUP(D3498,tblReleaseChanges[Change_ID],tblReleaseChanges[Oracle_Severity],""),tblSeverityMap[Severity_Text],tblSeverityMap[Score],0),0)</f>
        <v/>
      </c>
      <c r="T3498">
        <f>ROUND((M3498*0.25)+(N3498*0.20)+(O3498*0.15)+(P3498*0.15)+(Q3498*0.10)+(R3498*0.10)+(S3498*0.05),2)</f>
        <v/>
      </c>
      <c r="U3498">
        <f>IF(T3498&gt;=4.25,"Critical",IF(T3498&gt;=3.5,"High",IF(T3498&gt;=2,"Medium","Low")))</f>
        <v/>
      </c>
    </row>
    <row r="3499">
      <c r="R3499">
        <f>IFERROR(XLOOKUP(XLOOKUP(D3499,tblReleaseChanges[Change_ID],tblReleaseChanges[Oracle_Severity],""),tblSeverityMap[Severity_Text],tblSeverityMap[Score],0),0)</f>
        <v/>
      </c>
      <c r="T3499">
        <f>ROUND((M3499*0.25)+(N3499*0.20)+(O3499*0.15)+(P3499*0.15)+(Q3499*0.10)+(R3499*0.10)+(S3499*0.05),2)</f>
        <v/>
      </c>
      <c r="U3499">
        <f>IF(T3499&gt;=4.25,"Critical",IF(T3499&gt;=3.5,"High",IF(T3499&gt;=2,"Medium","Low")))</f>
        <v/>
      </c>
    </row>
    <row r="3500">
      <c r="R3500">
        <f>IFERROR(XLOOKUP(XLOOKUP(D3500,tblReleaseChanges[Change_ID],tblReleaseChanges[Oracle_Severity],""),tblSeverityMap[Severity_Text],tblSeverityMap[Score],0),0)</f>
        <v/>
      </c>
      <c r="T3500">
        <f>ROUND((M3500*0.25)+(N3500*0.20)+(O3500*0.15)+(P3500*0.15)+(Q3500*0.10)+(R3500*0.10)+(S3500*0.05),2)</f>
        <v/>
      </c>
      <c r="U3500">
        <f>IF(T3500&gt;=4.25,"Critical",IF(T3500&gt;=3.5,"High",IF(T3500&gt;=2,"Medium","Low")))</f>
        <v/>
      </c>
    </row>
    <row r="3501">
      <c r="R3501">
        <f>IFERROR(XLOOKUP(XLOOKUP(D3501,tblReleaseChanges[Change_ID],tblReleaseChanges[Oracle_Severity],""),tblSeverityMap[Severity_Text],tblSeverityMap[Score],0),0)</f>
        <v/>
      </c>
      <c r="T3501">
        <f>ROUND((M3501*0.25)+(N3501*0.20)+(O3501*0.15)+(P3501*0.15)+(Q3501*0.10)+(R3501*0.10)+(S3501*0.05),2)</f>
        <v/>
      </c>
      <c r="U3501">
        <f>IF(T3501&gt;=4.25,"Critical",IF(T3501&gt;=3.5,"High",IF(T3501&gt;=2,"Medium","Low")))</f>
        <v/>
      </c>
    </row>
    <row r="3502">
      <c r="R3502">
        <f>IFERROR(XLOOKUP(XLOOKUP(D3502,tblReleaseChanges[Change_ID],tblReleaseChanges[Oracle_Severity],""),tblSeverityMap[Severity_Text],tblSeverityMap[Score],0),0)</f>
        <v/>
      </c>
      <c r="T3502">
        <f>ROUND((M3502*0.25)+(N3502*0.20)+(O3502*0.15)+(P3502*0.15)+(Q3502*0.10)+(R3502*0.10)+(S3502*0.05),2)</f>
        <v/>
      </c>
      <c r="U3502">
        <f>IF(T3502&gt;=4.25,"Critical",IF(T3502&gt;=3.5,"High",IF(T3502&gt;=2,"Medium","Low")))</f>
        <v/>
      </c>
    </row>
    <row r="3503">
      <c r="R3503">
        <f>IFERROR(XLOOKUP(XLOOKUP(D3503,tblReleaseChanges[Change_ID],tblReleaseChanges[Oracle_Severity],""),tblSeverityMap[Severity_Text],tblSeverityMap[Score],0),0)</f>
        <v/>
      </c>
      <c r="T3503">
        <f>ROUND((M3503*0.25)+(N3503*0.20)+(O3503*0.15)+(P3503*0.15)+(Q3503*0.10)+(R3503*0.10)+(S3503*0.05),2)</f>
        <v/>
      </c>
      <c r="U3503">
        <f>IF(T3503&gt;=4.25,"Critical",IF(T3503&gt;=3.5,"High",IF(T3503&gt;=2,"Medium","Low")))</f>
        <v/>
      </c>
    </row>
    <row r="3504">
      <c r="R3504">
        <f>IFERROR(XLOOKUP(XLOOKUP(D3504,tblReleaseChanges[Change_ID],tblReleaseChanges[Oracle_Severity],""),tblSeverityMap[Severity_Text],tblSeverityMap[Score],0),0)</f>
        <v/>
      </c>
      <c r="T3504">
        <f>ROUND((M3504*0.25)+(N3504*0.20)+(O3504*0.15)+(P3504*0.15)+(Q3504*0.10)+(R3504*0.10)+(S3504*0.05),2)</f>
        <v/>
      </c>
      <c r="U3504">
        <f>IF(T3504&gt;=4.25,"Critical",IF(T3504&gt;=3.5,"High",IF(T3504&gt;=2,"Medium","Low")))</f>
        <v/>
      </c>
    </row>
    <row r="3505">
      <c r="R3505">
        <f>IFERROR(XLOOKUP(XLOOKUP(D3505,tblReleaseChanges[Change_ID],tblReleaseChanges[Oracle_Severity],""),tblSeverityMap[Severity_Text],tblSeverityMap[Score],0),0)</f>
        <v/>
      </c>
      <c r="T3505">
        <f>ROUND((M3505*0.25)+(N3505*0.20)+(O3505*0.15)+(P3505*0.15)+(Q3505*0.10)+(R3505*0.10)+(S3505*0.05),2)</f>
        <v/>
      </c>
      <c r="U3505">
        <f>IF(T3505&gt;=4.25,"Critical",IF(T3505&gt;=3.5,"High",IF(T3505&gt;=2,"Medium","Low")))</f>
        <v/>
      </c>
    </row>
    <row r="3506">
      <c r="R3506">
        <f>IFERROR(XLOOKUP(XLOOKUP(D3506,tblReleaseChanges[Change_ID],tblReleaseChanges[Oracle_Severity],""),tblSeverityMap[Severity_Text],tblSeverityMap[Score],0),0)</f>
        <v/>
      </c>
      <c r="T3506">
        <f>ROUND((M3506*0.25)+(N3506*0.20)+(O3506*0.15)+(P3506*0.15)+(Q3506*0.10)+(R3506*0.10)+(S3506*0.05),2)</f>
        <v/>
      </c>
      <c r="U3506">
        <f>IF(T3506&gt;=4.25,"Critical",IF(T3506&gt;=3.5,"High",IF(T3506&gt;=2,"Medium","Low")))</f>
        <v/>
      </c>
    </row>
    <row r="3507">
      <c r="R3507">
        <f>IFERROR(XLOOKUP(XLOOKUP(D3507,tblReleaseChanges[Change_ID],tblReleaseChanges[Oracle_Severity],""),tblSeverityMap[Severity_Text],tblSeverityMap[Score],0),0)</f>
        <v/>
      </c>
      <c r="T3507">
        <f>ROUND((M3507*0.25)+(N3507*0.20)+(O3507*0.15)+(P3507*0.15)+(Q3507*0.10)+(R3507*0.10)+(S3507*0.05),2)</f>
        <v/>
      </c>
      <c r="U3507">
        <f>IF(T3507&gt;=4.25,"Critical",IF(T3507&gt;=3.5,"High",IF(T3507&gt;=2,"Medium","Low")))</f>
        <v/>
      </c>
    </row>
    <row r="3508">
      <c r="R3508">
        <f>IFERROR(XLOOKUP(XLOOKUP(D3508,tblReleaseChanges[Change_ID],tblReleaseChanges[Oracle_Severity],""),tblSeverityMap[Severity_Text],tblSeverityMap[Score],0),0)</f>
        <v/>
      </c>
      <c r="T3508">
        <f>ROUND((M3508*0.25)+(N3508*0.20)+(O3508*0.15)+(P3508*0.15)+(Q3508*0.10)+(R3508*0.10)+(S3508*0.05),2)</f>
        <v/>
      </c>
      <c r="U3508">
        <f>IF(T3508&gt;=4.25,"Critical",IF(T3508&gt;=3.5,"High",IF(T3508&gt;=2,"Medium","Low")))</f>
        <v/>
      </c>
    </row>
    <row r="3509">
      <c r="R3509">
        <f>IFERROR(XLOOKUP(XLOOKUP(D3509,tblReleaseChanges[Change_ID],tblReleaseChanges[Oracle_Severity],""),tblSeverityMap[Severity_Text],tblSeverityMap[Score],0),0)</f>
        <v/>
      </c>
      <c r="T3509">
        <f>ROUND((M3509*0.25)+(N3509*0.20)+(O3509*0.15)+(P3509*0.15)+(Q3509*0.10)+(R3509*0.10)+(S3509*0.05),2)</f>
        <v/>
      </c>
      <c r="U3509">
        <f>IF(T3509&gt;=4.25,"Critical",IF(T3509&gt;=3.5,"High",IF(T3509&gt;=2,"Medium","Low")))</f>
        <v/>
      </c>
    </row>
    <row r="3510">
      <c r="R3510">
        <f>IFERROR(XLOOKUP(XLOOKUP(D3510,tblReleaseChanges[Change_ID],tblReleaseChanges[Oracle_Severity],""),tblSeverityMap[Severity_Text],tblSeverityMap[Score],0),0)</f>
        <v/>
      </c>
      <c r="T3510">
        <f>ROUND((M3510*0.25)+(N3510*0.20)+(O3510*0.15)+(P3510*0.15)+(Q3510*0.10)+(R3510*0.10)+(S3510*0.05),2)</f>
        <v/>
      </c>
      <c r="U3510">
        <f>IF(T3510&gt;=4.25,"Critical",IF(T3510&gt;=3.5,"High",IF(T3510&gt;=2,"Medium","Low")))</f>
        <v/>
      </c>
    </row>
    <row r="3511">
      <c r="R3511">
        <f>IFERROR(XLOOKUP(XLOOKUP(D3511,tblReleaseChanges[Change_ID],tblReleaseChanges[Oracle_Severity],""),tblSeverityMap[Severity_Text],tblSeverityMap[Score],0),0)</f>
        <v/>
      </c>
      <c r="T3511">
        <f>ROUND((M3511*0.25)+(N3511*0.20)+(O3511*0.15)+(P3511*0.15)+(Q3511*0.10)+(R3511*0.10)+(S3511*0.05),2)</f>
        <v/>
      </c>
      <c r="U3511">
        <f>IF(T3511&gt;=4.25,"Critical",IF(T3511&gt;=3.5,"High",IF(T3511&gt;=2,"Medium","Low")))</f>
        <v/>
      </c>
    </row>
    <row r="3512">
      <c r="R3512">
        <f>IFERROR(XLOOKUP(XLOOKUP(D3512,tblReleaseChanges[Change_ID],tblReleaseChanges[Oracle_Severity],""),tblSeverityMap[Severity_Text],tblSeverityMap[Score],0),0)</f>
        <v/>
      </c>
      <c r="T3512">
        <f>ROUND((M3512*0.25)+(N3512*0.20)+(O3512*0.15)+(P3512*0.15)+(Q3512*0.10)+(R3512*0.10)+(S3512*0.05),2)</f>
        <v/>
      </c>
      <c r="U3512">
        <f>IF(T3512&gt;=4.25,"Critical",IF(T3512&gt;=3.5,"High",IF(T3512&gt;=2,"Medium","Low")))</f>
        <v/>
      </c>
    </row>
    <row r="3513">
      <c r="R3513">
        <f>IFERROR(XLOOKUP(XLOOKUP(D3513,tblReleaseChanges[Change_ID],tblReleaseChanges[Oracle_Severity],""),tblSeverityMap[Severity_Text],tblSeverityMap[Score],0),0)</f>
        <v/>
      </c>
      <c r="T3513">
        <f>ROUND((M3513*0.25)+(N3513*0.20)+(O3513*0.15)+(P3513*0.15)+(Q3513*0.10)+(R3513*0.10)+(S3513*0.05),2)</f>
        <v/>
      </c>
      <c r="U3513">
        <f>IF(T3513&gt;=4.25,"Critical",IF(T3513&gt;=3.5,"High",IF(T3513&gt;=2,"Medium","Low")))</f>
        <v/>
      </c>
    </row>
    <row r="3514">
      <c r="R3514">
        <f>IFERROR(XLOOKUP(XLOOKUP(D3514,tblReleaseChanges[Change_ID],tblReleaseChanges[Oracle_Severity],""),tblSeverityMap[Severity_Text],tblSeverityMap[Score],0),0)</f>
        <v/>
      </c>
      <c r="T3514">
        <f>ROUND((M3514*0.25)+(N3514*0.20)+(O3514*0.15)+(P3514*0.15)+(Q3514*0.10)+(R3514*0.10)+(S3514*0.05),2)</f>
        <v/>
      </c>
      <c r="U3514">
        <f>IF(T3514&gt;=4.25,"Critical",IF(T3514&gt;=3.5,"High",IF(T3514&gt;=2,"Medium","Low")))</f>
        <v/>
      </c>
    </row>
    <row r="3515">
      <c r="R3515">
        <f>IFERROR(XLOOKUP(XLOOKUP(D3515,tblReleaseChanges[Change_ID],tblReleaseChanges[Oracle_Severity],""),tblSeverityMap[Severity_Text],tblSeverityMap[Score],0),0)</f>
        <v/>
      </c>
      <c r="T3515">
        <f>ROUND((M3515*0.25)+(N3515*0.20)+(O3515*0.15)+(P3515*0.15)+(Q3515*0.10)+(R3515*0.10)+(S3515*0.05),2)</f>
        <v/>
      </c>
      <c r="U3515">
        <f>IF(T3515&gt;=4.25,"Critical",IF(T3515&gt;=3.5,"High",IF(T3515&gt;=2,"Medium","Low")))</f>
        <v/>
      </c>
    </row>
    <row r="3516">
      <c r="R3516">
        <f>IFERROR(XLOOKUP(XLOOKUP(D3516,tblReleaseChanges[Change_ID],tblReleaseChanges[Oracle_Severity],""),tblSeverityMap[Severity_Text],tblSeverityMap[Score],0),0)</f>
        <v/>
      </c>
      <c r="T3516">
        <f>ROUND((M3516*0.25)+(N3516*0.20)+(O3516*0.15)+(P3516*0.15)+(Q3516*0.10)+(R3516*0.10)+(S3516*0.05),2)</f>
        <v/>
      </c>
      <c r="U3516">
        <f>IF(T3516&gt;=4.25,"Critical",IF(T3516&gt;=3.5,"High",IF(T3516&gt;=2,"Medium","Low")))</f>
        <v/>
      </c>
    </row>
    <row r="3517">
      <c r="R3517">
        <f>IFERROR(XLOOKUP(XLOOKUP(D3517,tblReleaseChanges[Change_ID],tblReleaseChanges[Oracle_Severity],""),tblSeverityMap[Severity_Text],tblSeverityMap[Score],0),0)</f>
        <v/>
      </c>
      <c r="T3517">
        <f>ROUND((M3517*0.25)+(N3517*0.20)+(O3517*0.15)+(P3517*0.15)+(Q3517*0.10)+(R3517*0.10)+(S3517*0.05),2)</f>
        <v/>
      </c>
      <c r="U3517">
        <f>IF(T3517&gt;=4.25,"Critical",IF(T3517&gt;=3.5,"High",IF(T3517&gt;=2,"Medium","Low")))</f>
        <v/>
      </c>
    </row>
    <row r="3518">
      <c r="R3518">
        <f>IFERROR(XLOOKUP(XLOOKUP(D3518,tblReleaseChanges[Change_ID],tblReleaseChanges[Oracle_Severity],""),tblSeverityMap[Severity_Text],tblSeverityMap[Score],0),0)</f>
        <v/>
      </c>
      <c r="T3518">
        <f>ROUND((M3518*0.25)+(N3518*0.20)+(O3518*0.15)+(P3518*0.15)+(Q3518*0.10)+(R3518*0.10)+(S3518*0.05),2)</f>
        <v/>
      </c>
      <c r="U3518">
        <f>IF(T3518&gt;=4.25,"Critical",IF(T3518&gt;=3.5,"High",IF(T3518&gt;=2,"Medium","Low")))</f>
        <v/>
      </c>
    </row>
    <row r="3519">
      <c r="R3519">
        <f>IFERROR(XLOOKUP(XLOOKUP(D3519,tblReleaseChanges[Change_ID],tblReleaseChanges[Oracle_Severity],""),tblSeverityMap[Severity_Text],tblSeverityMap[Score],0),0)</f>
        <v/>
      </c>
      <c r="T3519">
        <f>ROUND((M3519*0.25)+(N3519*0.20)+(O3519*0.15)+(P3519*0.15)+(Q3519*0.10)+(R3519*0.10)+(S3519*0.05),2)</f>
        <v/>
      </c>
      <c r="U3519">
        <f>IF(T3519&gt;=4.25,"Critical",IF(T3519&gt;=3.5,"High",IF(T3519&gt;=2,"Medium","Low")))</f>
        <v/>
      </c>
    </row>
    <row r="3520">
      <c r="R3520">
        <f>IFERROR(XLOOKUP(XLOOKUP(D3520,tblReleaseChanges[Change_ID],tblReleaseChanges[Oracle_Severity],""),tblSeverityMap[Severity_Text],tblSeverityMap[Score],0),0)</f>
        <v/>
      </c>
      <c r="T3520">
        <f>ROUND((M3520*0.25)+(N3520*0.20)+(O3520*0.15)+(P3520*0.15)+(Q3520*0.10)+(R3520*0.10)+(S3520*0.05),2)</f>
        <v/>
      </c>
      <c r="U3520">
        <f>IF(T3520&gt;=4.25,"Critical",IF(T3520&gt;=3.5,"High",IF(T3520&gt;=2,"Medium","Low")))</f>
        <v/>
      </c>
    </row>
    <row r="3521">
      <c r="R3521">
        <f>IFERROR(XLOOKUP(XLOOKUP(D3521,tblReleaseChanges[Change_ID],tblReleaseChanges[Oracle_Severity],""),tblSeverityMap[Severity_Text],tblSeverityMap[Score],0),0)</f>
        <v/>
      </c>
      <c r="T3521">
        <f>ROUND((M3521*0.25)+(N3521*0.20)+(O3521*0.15)+(P3521*0.15)+(Q3521*0.10)+(R3521*0.10)+(S3521*0.05),2)</f>
        <v/>
      </c>
      <c r="U3521">
        <f>IF(T3521&gt;=4.25,"Critical",IF(T3521&gt;=3.5,"High",IF(T3521&gt;=2,"Medium","Low")))</f>
        <v/>
      </c>
    </row>
    <row r="3522">
      <c r="R3522">
        <f>IFERROR(XLOOKUP(XLOOKUP(D3522,tblReleaseChanges[Change_ID],tblReleaseChanges[Oracle_Severity],""),tblSeverityMap[Severity_Text],tblSeverityMap[Score],0),0)</f>
        <v/>
      </c>
      <c r="T3522">
        <f>ROUND((M3522*0.25)+(N3522*0.20)+(O3522*0.15)+(P3522*0.15)+(Q3522*0.10)+(R3522*0.10)+(S3522*0.05),2)</f>
        <v/>
      </c>
      <c r="U3522">
        <f>IF(T3522&gt;=4.25,"Critical",IF(T3522&gt;=3.5,"High",IF(T3522&gt;=2,"Medium","Low")))</f>
        <v/>
      </c>
    </row>
    <row r="3523">
      <c r="R3523">
        <f>IFERROR(XLOOKUP(XLOOKUP(D3523,tblReleaseChanges[Change_ID],tblReleaseChanges[Oracle_Severity],""),tblSeverityMap[Severity_Text],tblSeverityMap[Score],0),0)</f>
        <v/>
      </c>
      <c r="T3523">
        <f>ROUND((M3523*0.25)+(N3523*0.20)+(O3523*0.15)+(P3523*0.15)+(Q3523*0.10)+(R3523*0.10)+(S3523*0.05),2)</f>
        <v/>
      </c>
      <c r="U3523">
        <f>IF(T3523&gt;=4.25,"Critical",IF(T3523&gt;=3.5,"High",IF(T3523&gt;=2,"Medium","Low")))</f>
        <v/>
      </c>
    </row>
    <row r="3524">
      <c r="R3524">
        <f>IFERROR(XLOOKUP(XLOOKUP(D3524,tblReleaseChanges[Change_ID],tblReleaseChanges[Oracle_Severity],""),tblSeverityMap[Severity_Text],tblSeverityMap[Score],0),0)</f>
        <v/>
      </c>
      <c r="T3524">
        <f>ROUND((M3524*0.25)+(N3524*0.20)+(O3524*0.15)+(P3524*0.15)+(Q3524*0.10)+(R3524*0.10)+(S3524*0.05),2)</f>
        <v/>
      </c>
      <c r="U3524">
        <f>IF(T3524&gt;=4.25,"Critical",IF(T3524&gt;=3.5,"High",IF(T3524&gt;=2,"Medium","Low")))</f>
        <v/>
      </c>
    </row>
    <row r="3525">
      <c r="R3525">
        <f>IFERROR(XLOOKUP(XLOOKUP(D3525,tblReleaseChanges[Change_ID],tblReleaseChanges[Oracle_Severity],""),tblSeverityMap[Severity_Text],tblSeverityMap[Score],0),0)</f>
        <v/>
      </c>
      <c r="T3525">
        <f>ROUND((M3525*0.25)+(N3525*0.20)+(O3525*0.15)+(P3525*0.15)+(Q3525*0.10)+(R3525*0.10)+(S3525*0.05),2)</f>
        <v/>
      </c>
      <c r="U3525">
        <f>IF(T3525&gt;=4.25,"Critical",IF(T3525&gt;=3.5,"High",IF(T3525&gt;=2,"Medium","Low")))</f>
        <v/>
      </c>
    </row>
    <row r="3526">
      <c r="R3526">
        <f>IFERROR(XLOOKUP(XLOOKUP(D3526,tblReleaseChanges[Change_ID],tblReleaseChanges[Oracle_Severity],""),tblSeverityMap[Severity_Text],tblSeverityMap[Score],0),0)</f>
        <v/>
      </c>
      <c r="T3526">
        <f>ROUND((M3526*0.25)+(N3526*0.20)+(O3526*0.15)+(P3526*0.15)+(Q3526*0.10)+(R3526*0.10)+(S3526*0.05),2)</f>
        <v/>
      </c>
      <c r="U3526">
        <f>IF(T3526&gt;=4.25,"Critical",IF(T3526&gt;=3.5,"High",IF(T3526&gt;=2,"Medium","Low")))</f>
        <v/>
      </c>
    </row>
    <row r="3527">
      <c r="R3527">
        <f>IFERROR(XLOOKUP(XLOOKUP(D3527,tblReleaseChanges[Change_ID],tblReleaseChanges[Oracle_Severity],""),tblSeverityMap[Severity_Text],tblSeverityMap[Score],0),0)</f>
        <v/>
      </c>
      <c r="T3527">
        <f>ROUND((M3527*0.25)+(N3527*0.20)+(O3527*0.15)+(P3527*0.15)+(Q3527*0.10)+(R3527*0.10)+(S3527*0.05),2)</f>
        <v/>
      </c>
      <c r="U3527">
        <f>IF(T3527&gt;=4.25,"Critical",IF(T3527&gt;=3.5,"High",IF(T3527&gt;=2,"Medium","Low")))</f>
        <v/>
      </c>
    </row>
    <row r="3528">
      <c r="R3528">
        <f>IFERROR(XLOOKUP(XLOOKUP(D3528,tblReleaseChanges[Change_ID],tblReleaseChanges[Oracle_Severity],""),tblSeverityMap[Severity_Text],tblSeverityMap[Score],0),0)</f>
        <v/>
      </c>
      <c r="T3528">
        <f>ROUND((M3528*0.25)+(N3528*0.20)+(O3528*0.15)+(P3528*0.15)+(Q3528*0.10)+(R3528*0.10)+(S3528*0.05),2)</f>
        <v/>
      </c>
      <c r="U3528">
        <f>IF(T3528&gt;=4.25,"Critical",IF(T3528&gt;=3.5,"High",IF(T3528&gt;=2,"Medium","Low")))</f>
        <v/>
      </c>
    </row>
    <row r="3529">
      <c r="R3529">
        <f>IFERROR(XLOOKUP(XLOOKUP(D3529,tblReleaseChanges[Change_ID],tblReleaseChanges[Oracle_Severity],""),tblSeverityMap[Severity_Text],tblSeverityMap[Score],0),0)</f>
        <v/>
      </c>
      <c r="T3529">
        <f>ROUND((M3529*0.25)+(N3529*0.20)+(O3529*0.15)+(P3529*0.15)+(Q3529*0.10)+(R3529*0.10)+(S3529*0.05),2)</f>
        <v/>
      </c>
      <c r="U3529">
        <f>IF(T3529&gt;=4.25,"Critical",IF(T3529&gt;=3.5,"High",IF(T3529&gt;=2,"Medium","Low")))</f>
        <v/>
      </c>
    </row>
    <row r="3530">
      <c r="R3530">
        <f>IFERROR(XLOOKUP(XLOOKUP(D3530,tblReleaseChanges[Change_ID],tblReleaseChanges[Oracle_Severity],""),tblSeverityMap[Severity_Text],tblSeverityMap[Score],0),0)</f>
        <v/>
      </c>
      <c r="T3530">
        <f>ROUND((M3530*0.25)+(N3530*0.20)+(O3530*0.15)+(P3530*0.15)+(Q3530*0.10)+(R3530*0.10)+(S3530*0.05),2)</f>
        <v/>
      </c>
      <c r="U3530">
        <f>IF(T3530&gt;=4.25,"Critical",IF(T3530&gt;=3.5,"High",IF(T3530&gt;=2,"Medium","Low")))</f>
        <v/>
      </c>
    </row>
    <row r="3531">
      <c r="R3531">
        <f>IFERROR(XLOOKUP(XLOOKUP(D3531,tblReleaseChanges[Change_ID],tblReleaseChanges[Oracle_Severity],""),tblSeverityMap[Severity_Text],tblSeverityMap[Score],0),0)</f>
        <v/>
      </c>
      <c r="T3531">
        <f>ROUND((M3531*0.25)+(N3531*0.20)+(O3531*0.15)+(P3531*0.15)+(Q3531*0.10)+(R3531*0.10)+(S3531*0.05),2)</f>
        <v/>
      </c>
      <c r="U3531">
        <f>IF(T3531&gt;=4.25,"Critical",IF(T3531&gt;=3.5,"High",IF(T3531&gt;=2,"Medium","Low")))</f>
        <v/>
      </c>
    </row>
    <row r="3532">
      <c r="R3532">
        <f>IFERROR(XLOOKUP(XLOOKUP(D3532,tblReleaseChanges[Change_ID],tblReleaseChanges[Oracle_Severity],""),tblSeverityMap[Severity_Text],tblSeverityMap[Score],0),0)</f>
        <v/>
      </c>
      <c r="T3532">
        <f>ROUND((M3532*0.25)+(N3532*0.20)+(O3532*0.15)+(P3532*0.15)+(Q3532*0.10)+(R3532*0.10)+(S3532*0.05),2)</f>
        <v/>
      </c>
      <c r="U3532">
        <f>IF(T3532&gt;=4.25,"Critical",IF(T3532&gt;=3.5,"High",IF(T3532&gt;=2,"Medium","Low")))</f>
        <v/>
      </c>
    </row>
    <row r="3533">
      <c r="R3533">
        <f>IFERROR(XLOOKUP(XLOOKUP(D3533,tblReleaseChanges[Change_ID],tblReleaseChanges[Oracle_Severity],""),tblSeverityMap[Severity_Text],tblSeverityMap[Score],0),0)</f>
        <v/>
      </c>
      <c r="T3533">
        <f>ROUND((M3533*0.25)+(N3533*0.20)+(O3533*0.15)+(P3533*0.15)+(Q3533*0.10)+(R3533*0.10)+(S3533*0.05),2)</f>
        <v/>
      </c>
      <c r="U3533">
        <f>IF(T3533&gt;=4.25,"Critical",IF(T3533&gt;=3.5,"High",IF(T3533&gt;=2,"Medium","Low")))</f>
        <v/>
      </c>
    </row>
    <row r="3534">
      <c r="R3534">
        <f>IFERROR(XLOOKUP(XLOOKUP(D3534,tblReleaseChanges[Change_ID],tblReleaseChanges[Oracle_Severity],""),tblSeverityMap[Severity_Text],tblSeverityMap[Score],0),0)</f>
        <v/>
      </c>
      <c r="T3534">
        <f>ROUND((M3534*0.25)+(N3534*0.20)+(O3534*0.15)+(P3534*0.15)+(Q3534*0.10)+(R3534*0.10)+(S3534*0.05),2)</f>
        <v/>
      </c>
      <c r="U3534">
        <f>IF(T3534&gt;=4.25,"Critical",IF(T3534&gt;=3.5,"High",IF(T3534&gt;=2,"Medium","Low")))</f>
        <v/>
      </c>
    </row>
    <row r="3535">
      <c r="R3535">
        <f>IFERROR(XLOOKUP(XLOOKUP(D3535,tblReleaseChanges[Change_ID],tblReleaseChanges[Oracle_Severity],""),tblSeverityMap[Severity_Text],tblSeverityMap[Score],0),0)</f>
        <v/>
      </c>
      <c r="T3535">
        <f>ROUND((M3535*0.25)+(N3535*0.20)+(O3535*0.15)+(P3535*0.15)+(Q3535*0.10)+(R3535*0.10)+(S3535*0.05),2)</f>
        <v/>
      </c>
      <c r="U3535">
        <f>IF(T3535&gt;=4.25,"Critical",IF(T3535&gt;=3.5,"High",IF(T3535&gt;=2,"Medium","Low")))</f>
        <v/>
      </c>
    </row>
    <row r="3536">
      <c r="R3536">
        <f>IFERROR(XLOOKUP(XLOOKUP(D3536,tblReleaseChanges[Change_ID],tblReleaseChanges[Oracle_Severity],""),tblSeverityMap[Severity_Text],tblSeverityMap[Score],0),0)</f>
        <v/>
      </c>
      <c r="T3536">
        <f>ROUND((M3536*0.25)+(N3536*0.20)+(O3536*0.15)+(P3536*0.15)+(Q3536*0.10)+(R3536*0.10)+(S3536*0.05),2)</f>
        <v/>
      </c>
      <c r="U3536">
        <f>IF(T3536&gt;=4.25,"Critical",IF(T3536&gt;=3.5,"High",IF(T3536&gt;=2,"Medium","Low")))</f>
        <v/>
      </c>
    </row>
    <row r="3537">
      <c r="R3537">
        <f>IFERROR(XLOOKUP(XLOOKUP(D3537,tblReleaseChanges[Change_ID],tblReleaseChanges[Oracle_Severity],""),tblSeverityMap[Severity_Text],tblSeverityMap[Score],0),0)</f>
        <v/>
      </c>
      <c r="T3537">
        <f>ROUND((M3537*0.25)+(N3537*0.20)+(O3537*0.15)+(P3537*0.15)+(Q3537*0.10)+(R3537*0.10)+(S3537*0.05),2)</f>
        <v/>
      </c>
      <c r="U3537">
        <f>IF(T3537&gt;=4.25,"Critical",IF(T3537&gt;=3.5,"High",IF(T3537&gt;=2,"Medium","Low")))</f>
        <v/>
      </c>
    </row>
    <row r="3538">
      <c r="R3538">
        <f>IFERROR(XLOOKUP(XLOOKUP(D3538,tblReleaseChanges[Change_ID],tblReleaseChanges[Oracle_Severity],""),tblSeverityMap[Severity_Text],tblSeverityMap[Score],0),0)</f>
        <v/>
      </c>
      <c r="T3538">
        <f>ROUND((M3538*0.25)+(N3538*0.20)+(O3538*0.15)+(P3538*0.15)+(Q3538*0.10)+(R3538*0.10)+(S3538*0.05),2)</f>
        <v/>
      </c>
      <c r="U3538">
        <f>IF(T3538&gt;=4.25,"Critical",IF(T3538&gt;=3.5,"High",IF(T3538&gt;=2,"Medium","Low")))</f>
        <v/>
      </c>
    </row>
    <row r="3539">
      <c r="R3539">
        <f>IFERROR(XLOOKUP(XLOOKUP(D3539,tblReleaseChanges[Change_ID],tblReleaseChanges[Oracle_Severity],""),tblSeverityMap[Severity_Text],tblSeverityMap[Score],0),0)</f>
        <v/>
      </c>
      <c r="T3539">
        <f>ROUND((M3539*0.25)+(N3539*0.20)+(O3539*0.15)+(P3539*0.15)+(Q3539*0.10)+(R3539*0.10)+(S3539*0.05),2)</f>
        <v/>
      </c>
      <c r="U3539">
        <f>IF(T3539&gt;=4.25,"Critical",IF(T3539&gt;=3.5,"High",IF(T3539&gt;=2,"Medium","Low")))</f>
        <v/>
      </c>
    </row>
    <row r="3540">
      <c r="R3540">
        <f>IFERROR(XLOOKUP(XLOOKUP(D3540,tblReleaseChanges[Change_ID],tblReleaseChanges[Oracle_Severity],""),tblSeverityMap[Severity_Text],tblSeverityMap[Score],0),0)</f>
        <v/>
      </c>
      <c r="T3540">
        <f>ROUND((M3540*0.25)+(N3540*0.20)+(O3540*0.15)+(P3540*0.15)+(Q3540*0.10)+(R3540*0.10)+(S3540*0.05),2)</f>
        <v/>
      </c>
      <c r="U3540">
        <f>IF(T3540&gt;=4.25,"Critical",IF(T3540&gt;=3.5,"High",IF(T3540&gt;=2,"Medium","Low")))</f>
        <v/>
      </c>
    </row>
    <row r="3541">
      <c r="R3541">
        <f>IFERROR(XLOOKUP(XLOOKUP(D3541,tblReleaseChanges[Change_ID],tblReleaseChanges[Oracle_Severity],""),tblSeverityMap[Severity_Text],tblSeverityMap[Score],0),0)</f>
        <v/>
      </c>
      <c r="T3541">
        <f>ROUND((M3541*0.25)+(N3541*0.20)+(O3541*0.15)+(P3541*0.15)+(Q3541*0.10)+(R3541*0.10)+(S3541*0.05),2)</f>
        <v/>
      </c>
      <c r="U3541">
        <f>IF(T3541&gt;=4.25,"Critical",IF(T3541&gt;=3.5,"High",IF(T3541&gt;=2,"Medium","Low")))</f>
        <v/>
      </c>
    </row>
    <row r="3542">
      <c r="R3542">
        <f>IFERROR(XLOOKUP(XLOOKUP(D3542,tblReleaseChanges[Change_ID],tblReleaseChanges[Oracle_Severity],""),tblSeverityMap[Severity_Text],tblSeverityMap[Score],0),0)</f>
        <v/>
      </c>
      <c r="T3542">
        <f>ROUND((M3542*0.25)+(N3542*0.20)+(O3542*0.15)+(P3542*0.15)+(Q3542*0.10)+(R3542*0.10)+(S3542*0.05),2)</f>
        <v/>
      </c>
      <c r="U3542">
        <f>IF(T3542&gt;=4.25,"Critical",IF(T3542&gt;=3.5,"High",IF(T3542&gt;=2,"Medium","Low")))</f>
        <v/>
      </c>
    </row>
    <row r="3543">
      <c r="R3543">
        <f>IFERROR(XLOOKUP(XLOOKUP(D3543,tblReleaseChanges[Change_ID],tblReleaseChanges[Oracle_Severity],""),tblSeverityMap[Severity_Text],tblSeverityMap[Score],0),0)</f>
        <v/>
      </c>
      <c r="T3543">
        <f>ROUND((M3543*0.25)+(N3543*0.20)+(O3543*0.15)+(P3543*0.15)+(Q3543*0.10)+(R3543*0.10)+(S3543*0.05),2)</f>
        <v/>
      </c>
      <c r="U3543">
        <f>IF(T3543&gt;=4.25,"Critical",IF(T3543&gt;=3.5,"High",IF(T3543&gt;=2,"Medium","Low")))</f>
        <v/>
      </c>
    </row>
    <row r="3544">
      <c r="R3544">
        <f>IFERROR(XLOOKUP(XLOOKUP(D3544,tblReleaseChanges[Change_ID],tblReleaseChanges[Oracle_Severity],""),tblSeverityMap[Severity_Text],tblSeverityMap[Score],0),0)</f>
        <v/>
      </c>
      <c r="T3544">
        <f>ROUND((M3544*0.25)+(N3544*0.20)+(O3544*0.15)+(P3544*0.15)+(Q3544*0.10)+(R3544*0.10)+(S3544*0.05),2)</f>
        <v/>
      </c>
      <c r="U3544">
        <f>IF(T3544&gt;=4.25,"Critical",IF(T3544&gt;=3.5,"High",IF(T3544&gt;=2,"Medium","Low")))</f>
        <v/>
      </c>
    </row>
    <row r="3545">
      <c r="R3545">
        <f>IFERROR(XLOOKUP(XLOOKUP(D3545,tblReleaseChanges[Change_ID],tblReleaseChanges[Oracle_Severity],""),tblSeverityMap[Severity_Text],tblSeverityMap[Score],0),0)</f>
        <v/>
      </c>
      <c r="T3545">
        <f>ROUND((M3545*0.25)+(N3545*0.20)+(O3545*0.15)+(P3545*0.15)+(Q3545*0.10)+(R3545*0.10)+(S3545*0.05),2)</f>
        <v/>
      </c>
      <c r="U3545">
        <f>IF(T3545&gt;=4.25,"Critical",IF(T3545&gt;=3.5,"High",IF(T3545&gt;=2,"Medium","Low")))</f>
        <v/>
      </c>
    </row>
    <row r="3546">
      <c r="R3546">
        <f>IFERROR(XLOOKUP(XLOOKUP(D3546,tblReleaseChanges[Change_ID],tblReleaseChanges[Oracle_Severity],""),tblSeverityMap[Severity_Text],tblSeverityMap[Score],0),0)</f>
        <v/>
      </c>
      <c r="T3546">
        <f>ROUND((M3546*0.25)+(N3546*0.20)+(O3546*0.15)+(P3546*0.15)+(Q3546*0.10)+(R3546*0.10)+(S3546*0.05),2)</f>
        <v/>
      </c>
      <c r="U3546">
        <f>IF(T3546&gt;=4.25,"Critical",IF(T3546&gt;=3.5,"High",IF(T3546&gt;=2,"Medium","Low")))</f>
        <v/>
      </c>
    </row>
    <row r="3547">
      <c r="R3547">
        <f>IFERROR(XLOOKUP(XLOOKUP(D3547,tblReleaseChanges[Change_ID],tblReleaseChanges[Oracle_Severity],""),tblSeverityMap[Severity_Text],tblSeverityMap[Score],0),0)</f>
        <v/>
      </c>
      <c r="T3547">
        <f>ROUND((M3547*0.25)+(N3547*0.20)+(O3547*0.15)+(P3547*0.15)+(Q3547*0.10)+(R3547*0.10)+(S3547*0.05),2)</f>
        <v/>
      </c>
      <c r="U3547">
        <f>IF(T3547&gt;=4.25,"Critical",IF(T3547&gt;=3.5,"High",IF(T3547&gt;=2,"Medium","Low")))</f>
        <v/>
      </c>
    </row>
    <row r="3548">
      <c r="R3548">
        <f>IFERROR(XLOOKUP(XLOOKUP(D3548,tblReleaseChanges[Change_ID],tblReleaseChanges[Oracle_Severity],""),tblSeverityMap[Severity_Text],tblSeverityMap[Score],0),0)</f>
        <v/>
      </c>
      <c r="T3548">
        <f>ROUND((M3548*0.25)+(N3548*0.20)+(O3548*0.15)+(P3548*0.15)+(Q3548*0.10)+(R3548*0.10)+(S3548*0.05),2)</f>
        <v/>
      </c>
      <c r="U3548">
        <f>IF(T3548&gt;=4.25,"Critical",IF(T3548&gt;=3.5,"High",IF(T3548&gt;=2,"Medium","Low")))</f>
        <v/>
      </c>
    </row>
    <row r="3549">
      <c r="R3549">
        <f>IFERROR(XLOOKUP(XLOOKUP(D3549,tblReleaseChanges[Change_ID],tblReleaseChanges[Oracle_Severity],""),tblSeverityMap[Severity_Text],tblSeverityMap[Score],0),0)</f>
        <v/>
      </c>
      <c r="T3549">
        <f>ROUND((M3549*0.25)+(N3549*0.20)+(O3549*0.15)+(P3549*0.15)+(Q3549*0.10)+(R3549*0.10)+(S3549*0.05),2)</f>
        <v/>
      </c>
      <c r="U3549">
        <f>IF(T3549&gt;=4.25,"Critical",IF(T3549&gt;=3.5,"High",IF(T3549&gt;=2,"Medium","Low")))</f>
        <v/>
      </c>
    </row>
    <row r="3550">
      <c r="R3550">
        <f>IFERROR(XLOOKUP(XLOOKUP(D3550,tblReleaseChanges[Change_ID],tblReleaseChanges[Oracle_Severity],""),tblSeverityMap[Severity_Text],tblSeverityMap[Score],0),0)</f>
        <v/>
      </c>
      <c r="T3550">
        <f>ROUND((M3550*0.25)+(N3550*0.20)+(O3550*0.15)+(P3550*0.15)+(Q3550*0.10)+(R3550*0.10)+(S3550*0.05),2)</f>
        <v/>
      </c>
      <c r="U3550">
        <f>IF(T3550&gt;=4.25,"Critical",IF(T3550&gt;=3.5,"High",IF(T3550&gt;=2,"Medium","Low")))</f>
        <v/>
      </c>
    </row>
    <row r="3551">
      <c r="R3551">
        <f>IFERROR(XLOOKUP(XLOOKUP(D3551,tblReleaseChanges[Change_ID],tblReleaseChanges[Oracle_Severity],""),tblSeverityMap[Severity_Text],tblSeverityMap[Score],0),0)</f>
        <v/>
      </c>
      <c r="T3551">
        <f>ROUND((M3551*0.25)+(N3551*0.20)+(O3551*0.15)+(P3551*0.15)+(Q3551*0.10)+(R3551*0.10)+(S3551*0.05),2)</f>
        <v/>
      </c>
      <c r="U3551">
        <f>IF(T3551&gt;=4.25,"Critical",IF(T3551&gt;=3.5,"High",IF(T3551&gt;=2,"Medium","Low")))</f>
        <v/>
      </c>
    </row>
    <row r="3552">
      <c r="R3552">
        <f>IFERROR(XLOOKUP(XLOOKUP(D3552,tblReleaseChanges[Change_ID],tblReleaseChanges[Oracle_Severity],""),tblSeverityMap[Severity_Text],tblSeverityMap[Score],0),0)</f>
        <v/>
      </c>
      <c r="T3552">
        <f>ROUND((M3552*0.25)+(N3552*0.20)+(O3552*0.15)+(P3552*0.15)+(Q3552*0.10)+(R3552*0.10)+(S3552*0.05),2)</f>
        <v/>
      </c>
      <c r="U3552">
        <f>IF(T3552&gt;=4.25,"Critical",IF(T3552&gt;=3.5,"High",IF(T3552&gt;=2,"Medium","Low")))</f>
        <v/>
      </c>
    </row>
    <row r="3553">
      <c r="R3553">
        <f>IFERROR(XLOOKUP(XLOOKUP(D3553,tblReleaseChanges[Change_ID],tblReleaseChanges[Oracle_Severity],""),tblSeverityMap[Severity_Text],tblSeverityMap[Score],0),0)</f>
        <v/>
      </c>
      <c r="T3553">
        <f>ROUND((M3553*0.25)+(N3553*0.20)+(O3553*0.15)+(P3553*0.15)+(Q3553*0.10)+(R3553*0.10)+(S3553*0.05),2)</f>
        <v/>
      </c>
      <c r="U3553">
        <f>IF(T3553&gt;=4.25,"Critical",IF(T3553&gt;=3.5,"High",IF(T3553&gt;=2,"Medium","Low")))</f>
        <v/>
      </c>
    </row>
    <row r="3554">
      <c r="R3554">
        <f>IFERROR(XLOOKUP(XLOOKUP(D3554,tblReleaseChanges[Change_ID],tblReleaseChanges[Oracle_Severity],""),tblSeverityMap[Severity_Text],tblSeverityMap[Score],0),0)</f>
        <v/>
      </c>
      <c r="T3554">
        <f>ROUND((M3554*0.25)+(N3554*0.20)+(O3554*0.15)+(P3554*0.15)+(Q3554*0.10)+(R3554*0.10)+(S3554*0.05),2)</f>
        <v/>
      </c>
      <c r="U3554">
        <f>IF(T3554&gt;=4.25,"Critical",IF(T3554&gt;=3.5,"High",IF(T3554&gt;=2,"Medium","Low")))</f>
        <v/>
      </c>
    </row>
    <row r="3555">
      <c r="R3555">
        <f>IFERROR(XLOOKUP(XLOOKUP(D3555,tblReleaseChanges[Change_ID],tblReleaseChanges[Oracle_Severity],""),tblSeverityMap[Severity_Text],tblSeverityMap[Score],0),0)</f>
        <v/>
      </c>
      <c r="T3555">
        <f>ROUND((M3555*0.25)+(N3555*0.20)+(O3555*0.15)+(P3555*0.15)+(Q3555*0.10)+(R3555*0.10)+(S3555*0.05),2)</f>
        <v/>
      </c>
      <c r="U3555">
        <f>IF(T3555&gt;=4.25,"Critical",IF(T3555&gt;=3.5,"High",IF(T3555&gt;=2,"Medium","Low")))</f>
        <v/>
      </c>
    </row>
    <row r="3556">
      <c r="R3556">
        <f>IFERROR(XLOOKUP(XLOOKUP(D3556,tblReleaseChanges[Change_ID],tblReleaseChanges[Oracle_Severity],""),tblSeverityMap[Severity_Text],tblSeverityMap[Score],0),0)</f>
        <v/>
      </c>
      <c r="T3556">
        <f>ROUND((M3556*0.25)+(N3556*0.20)+(O3556*0.15)+(P3556*0.15)+(Q3556*0.10)+(R3556*0.10)+(S3556*0.05),2)</f>
        <v/>
      </c>
      <c r="U3556">
        <f>IF(T3556&gt;=4.25,"Critical",IF(T3556&gt;=3.5,"High",IF(T3556&gt;=2,"Medium","Low")))</f>
        <v/>
      </c>
    </row>
    <row r="3557">
      <c r="R3557">
        <f>IFERROR(XLOOKUP(XLOOKUP(D3557,tblReleaseChanges[Change_ID],tblReleaseChanges[Oracle_Severity],""),tblSeverityMap[Severity_Text],tblSeverityMap[Score],0),0)</f>
        <v/>
      </c>
      <c r="T3557">
        <f>ROUND((M3557*0.25)+(N3557*0.20)+(O3557*0.15)+(P3557*0.15)+(Q3557*0.10)+(R3557*0.10)+(S3557*0.05),2)</f>
        <v/>
      </c>
      <c r="U3557">
        <f>IF(T3557&gt;=4.25,"Critical",IF(T3557&gt;=3.5,"High",IF(T3557&gt;=2,"Medium","Low")))</f>
        <v/>
      </c>
    </row>
    <row r="3558">
      <c r="R3558">
        <f>IFERROR(XLOOKUP(XLOOKUP(D3558,tblReleaseChanges[Change_ID],tblReleaseChanges[Oracle_Severity],""),tblSeverityMap[Severity_Text],tblSeverityMap[Score],0),0)</f>
        <v/>
      </c>
      <c r="T3558">
        <f>ROUND((M3558*0.25)+(N3558*0.20)+(O3558*0.15)+(P3558*0.15)+(Q3558*0.10)+(R3558*0.10)+(S3558*0.05),2)</f>
        <v/>
      </c>
      <c r="U3558">
        <f>IF(T3558&gt;=4.25,"Critical",IF(T3558&gt;=3.5,"High",IF(T3558&gt;=2,"Medium","Low")))</f>
        <v/>
      </c>
    </row>
    <row r="3559">
      <c r="R3559">
        <f>IFERROR(XLOOKUP(XLOOKUP(D3559,tblReleaseChanges[Change_ID],tblReleaseChanges[Oracle_Severity],""),tblSeverityMap[Severity_Text],tblSeverityMap[Score],0),0)</f>
        <v/>
      </c>
      <c r="T3559">
        <f>ROUND((M3559*0.25)+(N3559*0.20)+(O3559*0.15)+(P3559*0.15)+(Q3559*0.10)+(R3559*0.10)+(S3559*0.05),2)</f>
        <v/>
      </c>
      <c r="U3559">
        <f>IF(T3559&gt;=4.25,"Critical",IF(T3559&gt;=3.5,"High",IF(T3559&gt;=2,"Medium","Low")))</f>
        <v/>
      </c>
    </row>
    <row r="3560">
      <c r="R3560">
        <f>IFERROR(XLOOKUP(XLOOKUP(D3560,tblReleaseChanges[Change_ID],tblReleaseChanges[Oracle_Severity],""),tblSeverityMap[Severity_Text],tblSeverityMap[Score],0),0)</f>
        <v/>
      </c>
      <c r="T3560">
        <f>ROUND((M3560*0.25)+(N3560*0.20)+(O3560*0.15)+(P3560*0.15)+(Q3560*0.10)+(R3560*0.10)+(S3560*0.05),2)</f>
        <v/>
      </c>
      <c r="U3560">
        <f>IF(T3560&gt;=4.25,"Critical",IF(T3560&gt;=3.5,"High",IF(T3560&gt;=2,"Medium","Low")))</f>
        <v/>
      </c>
    </row>
    <row r="3561">
      <c r="R3561">
        <f>IFERROR(XLOOKUP(XLOOKUP(D3561,tblReleaseChanges[Change_ID],tblReleaseChanges[Oracle_Severity],""),tblSeverityMap[Severity_Text],tblSeverityMap[Score],0),0)</f>
        <v/>
      </c>
      <c r="T3561">
        <f>ROUND((M3561*0.25)+(N3561*0.20)+(O3561*0.15)+(P3561*0.15)+(Q3561*0.10)+(R3561*0.10)+(S3561*0.05),2)</f>
        <v/>
      </c>
      <c r="U3561">
        <f>IF(T3561&gt;=4.25,"Critical",IF(T3561&gt;=3.5,"High",IF(T3561&gt;=2,"Medium","Low")))</f>
        <v/>
      </c>
    </row>
    <row r="3562">
      <c r="R3562">
        <f>IFERROR(XLOOKUP(XLOOKUP(D3562,tblReleaseChanges[Change_ID],tblReleaseChanges[Oracle_Severity],""),tblSeverityMap[Severity_Text],tblSeverityMap[Score],0),0)</f>
        <v/>
      </c>
      <c r="T3562">
        <f>ROUND((M3562*0.25)+(N3562*0.20)+(O3562*0.15)+(P3562*0.15)+(Q3562*0.10)+(R3562*0.10)+(S3562*0.05),2)</f>
        <v/>
      </c>
      <c r="U3562">
        <f>IF(T3562&gt;=4.25,"Critical",IF(T3562&gt;=3.5,"High",IF(T3562&gt;=2,"Medium","Low")))</f>
        <v/>
      </c>
    </row>
    <row r="3563">
      <c r="R3563">
        <f>IFERROR(XLOOKUP(XLOOKUP(D3563,tblReleaseChanges[Change_ID],tblReleaseChanges[Oracle_Severity],""),tblSeverityMap[Severity_Text],tblSeverityMap[Score],0),0)</f>
        <v/>
      </c>
      <c r="T3563">
        <f>ROUND((M3563*0.25)+(N3563*0.20)+(O3563*0.15)+(P3563*0.15)+(Q3563*0.10)+(R3563*0.10)+(S3563*0.05),2)</f>
        <v/>
      </c>
      <c r="U3563">
        <f>IF(T3563&gt;=4.25,"Critical",IF(T3563&gt;=3.5,"High",IF(T3563&gt;=2,"Medium","Low")))</f>
        <v/>
      </c>
    </row>
    <row r="3564">
      <c r="R3564">
        <f>IFERROR(XLOOKUP(XLOOKUP(D3564,tblReleaseChanges[Change_ID],tblReleaseChanges[Oracle_Severity],""),tblSeverityMap[Severity_Text],tblSeverityMap[Score],0),0)</f>
        <v/>
      </c>
      <c r="T3564">
        <f>ROUND((M3564*0.25)+(N3564*0.20)+(O3564*0.15)+(P3564*0.15)+(Q3564*0.10)+(R3564*0.10)+(S3564*0.05),2)</f>
        <v/>
      </c>
      <c r="U3564">
        <f>IF(T3564&gt;=4.25,"Critical",IF(T3564&gt;=3.5,"High",IF(T3564&gt;=2,"Medium","Low")))</f>
        <v/>
      </c>
    </row>
    <row r="3565">
      <c r="R3565">
        <f>IFERROR(XLOOKUP(XLOOKUP(D3565,tblReleaseChanges[Change_ID],tblReleaseChanges[Oracle_Severity],""),tblSeverityMap[Severity_Text],tblSeverityMap[Score],0),0)</f>
        <v/>
      </c>
      <c r="T3565">
        <f>ROUND((M3565*0.25)+(N3565*0.20)+(O3565*0.15)+(P3565*0.15)+(Q3565*0.10)+(R3565*0.10)+(S3565*0.05),2)</f>
        <v/>
      </c>
      <c r="U3565">
        <f>IF(T3565&gt;=4.25,"Critical",IF(T3565&gt;=3.5,"High",IF(T3565&gt;=2,"Medium","Low")))</f>
        <v/>
      </c>
    </row>
    <row r="3566">
      <c r="R3566">
        <f>IFERROR(XLOOKUP(XLOOKUP(D3566,tblReleaseChanges[Change_ID],tblReleaseChanges[Oracle_Severity],""),tblSeverityMap[Severity_Text],tblSeverityMap[Score],0),0)</f>
        <v/>
      </c>
      <c r="T3566">
        <f>ROUND((M3566*0.25)+(N3566*0.20)+(O3566*0.15)+(P3566*0.15)+(Q3566*0.10)+(R3566*0.10)+(S3566*0.05),2)</f>
        <v/>
      </c>
      <c r="U3566">
        <f>IF(T3566&gt;=4.25,"Critical",IF(T3566&gt;=3.5,"High",IF(T3566&gt;=2,"Medium","Low")))</f>
        <v/>
      </c>
    </row>
    <row r="3567">
      <c r="R3567">
        <f>IFERROR(XLOOKUP(XLOOKUP(D3567,tblReleaseChanges[Change_ID],tblReleaseChanges[Oracle_Severity],""),tblSeverityMap[Severity_Text],tblSeverityMap[Score],0),0)</f>
        <v/>
      </c>
      <c r="T3567">
        <f>ROUND((M3567*0.25)+(N3567*0.20)+(O3567*0.15)+(P3567*0.15)+(Q3567*0.10)+(R3567*0.10)+(S3567*0.05),2)</f>
        <v/>
      </c>
      <c r="U3567">
        <f>IF(T3567&gt;=4.25,"Critical",IF(T3567&gt;=3.5,"High",IF(T3567&gt;=2,"Medium","Low")))</f>
        <v/>
      </c>
    </row>
    <row r="3568">
      <c r="R3568">
        <f>IFERROR(XLOOKUP(XLOOKUP(D3568,tblReleaseChanges[Change_ID],tblReleaseChanges[Oracle_Severity],""),tblSeverityMap[Severity_Text],tblSeverityMap[Score],0),0)</f>
        <v/>
      </c>
      <c r="T3568">
        <f>ROUND((M3568*0.25)+(N3568*0.20)+(O3568*0.15)+(P3568*0.15)+(Q3568*0.10)+(R3568*0.10)+(S3568*0.05),2)</f>
        <v/>
      </c>
      <c r="U3568">
        <f>IF(T3568&gt;=4.25,"Critical",IF(T3568&gt;=3.5,"High",IF(T3568&gt;=2,"Medium","Low")))</f>
        <v/>
      </c>
    </row>
    <row r="3569">
      <c r="R3569">
        <f>IFERROR(XLOOKUP(XLOOKUP(D3569,tblReleaseChanges[Change_ID],tblReleaseChanges[Oracle_Severity],""),tblSeverityMap[Severity_Text],tblSeverityMap[Score],0),0)</f>
        <v/>
      </c>
      <c r="T3569">
        <f>ROUND((M3569*0.25)+(N3569*0.20)+(O3569*0.15)+(P3569*0.15)+(Q3569*0.10)+(R3569*0.10)+(S3569*0.05),2)</f>
        <v/>
      </c>
      <c r="U3569">
        <f>IF(T3569&gt;=4.25,"Critical",IF(T3569&gt;=3.5,"High",IF(T3569&gt;=2,"Medium","Low")))</f>
        <v/>
      </c>
    </row>
    <row r="3570">
      <c r="R3570">
        <f>IFERROR(XLOOKUP(XLOOKUP(D3570,tblReleaseChanges[Change_ID],tblReleaseChanges[Oracle_Severity],""),tblSeverityMap[Severity_Text],tblSeverityMap[Score],0),0)</f>
        <v/>
      </c>
      <c r="T3570">
        <f>ROUND((M3570*0.25)+(N3570*0.20)+(O3570*0.15)+(P3570*0.15)+(Q3570*0.10)+(R3570*0.10)+(S3570*0.05),2)</f>
        <v/>
      </c>
      <c r="U3570">
        <f>IF(T3570&gt;=4.25,"Critical",IF(T3570&gt;=3.5,"High",IF(T3570&gt;=2,"Medium","Low")))</f>
        <v/>
      </c>
    </row>
    <row r="3571">
      <c r="R3571">
        <f>IFERROR(XLOOKUP(XLOOKUP(D3571,tblReleaseChanges[Change_ID],tblReleaseChanges[Oracle_Severity],""),tblSeverityMap[Severity_Text],tblSeverityMap[Score],0),0)</f>
        <v/>
      </c>
      <c r="T3571">
        <f>ROUND((M3571*0.25)+(N3571*0.20)+(O3571*0.15)+(P3571*0.15)+(Q3571*0.10)+(R3571*0.10)+(S3571*0.05),2)</f>
        <v/>
      </c>
      <c r="U3571">
        <f>IF(T3571&gt;=4.25,"Critical",IF(T3571&gt;=3.5,"High",IF(T3571&gt;=2,"Medium","Low")))</f>
        <v/>
      </c>
    </row>
    <row r="3572">
      <c r="R3572">
        <f>IFERROR(XLOOKUP(XLOOKUP(D3572,tblReleaseChanges[Change_ID],tblReleaseChanges[Oracle_Severity],""),tblSeverityMap[Severity_Text],tblSeverityMap[Score],0),0)</f>
        <v/>
      </c>
      <c r="T3572">
        <f>ROUND((M3572*0.25)+(N3572*0.20)+(O3572*0.15)+(P3572*0.15)+(Q3572*0.10)+(R3572*0.10)+(S3572*0.05),2)</f>
        <v/>
      </c>
      <c r="U3572">
        <f>IF(T3572&gt;=4.25,"Critical",IF(T3572&gt;=3.5,"High",IF(T3572&gt;=2,"Medium","Low")))</f>
        <v/>
      </c>
    </row>
    <row r="3573">
      <c r="R3573">
        <f>IFERROR(XLOOKUP(XLOOKUP(D3573,tblReleaseChanges[Change_ID],tblReleaseChanges[Oracle_Severity],""),tblSeverityMap[Severity_Text],tblSeverityMap[Score],0),0)</f>
        <v/>
      </c>
      <c r="T3573">
        <f>ROUND((M3573*0.25)+(N3573*0.20)+(O3573*0.15)+(P3573*0.15)+(Q3573*0.10)+(R3573*0.10)+(S3573*0.05),2)</f>
        <v/>
      </c>
      <c r="U3573">
        <f>IF(T3573&gt;=4.25,"Critical",IF(T3573&gt;=3.5,"High",IF(T3573&gt;=2,"Medium","Low")))</f>
        <v/>
      </c>
    </row>
    <row r="3574">
      <c r="R3574">
        <f>IFERROR(XLOOKUP(XLOOKUP(D3574,tblReleaseChanges[Change_ID],tblReleaseChanges[Oracle_Severity],""),tblSeverityMap[Severity_Text],tblSeverityMap[Score],0),0)</f>
        <v/>
      </c>
      <c r="T3574">
        <f>ROUND((M3574*0.25)+(N3574*0.20)+(O3574*0.15)+(P3574*0.15)+(Q3574*0.10)+(R3574*0.10)+(S3574*0.05),2)</f>
        <v/>
      </c>
      <c r="U3574">
        <f>IF(T3574&gt;=4.25,"Critical",IF(T3574&gt;=3.5,"High",IF(T3574&gt;=2,"Medium","Low")))</f>
        <v/>
      </c>
    </row>
    <row r="3575">
      <c r="R3575">
        <f>IFERROR(XLOOKUP(XLOOKUP(D3575,tblReleaseChanges[Change_ID],tblReleaseChanges[Oracle_Severity],""),tblSeverityMap[Severity_Text],tblSeverityMap[Score],0),0)</f>
        <v/>
      </c>
      <c r="T3575">
        <f>ROUND((M3575*0.25)+(N3575*0.20)+(O3575*0.15)+(P3575*0.15)+(Q3575*0.10)+(R3575*0.10)+(S3575*0.05),2)</f>
        <v/>
      </c>
      <c r="U3575">
        <f>IF(T3575&gt;=4.25,"Critical",IF(T3575&gt;=3.5,"High",IF(T3575&gt;=2,"Medium","Low")))</f>
        <v/>
      </c>
    </row>
    <row r="3576">
      <c r="R3576">
        <f>IFERROR(XLOOKUP(XLOOKUP(D3576,tblReleaseChanges[Change_ID],tblReleaseChanges[Oracle_Severity],""),tblSeverityMap[Severity_Text],tblSeverityMap[Score],0),0)</f>
        <v/>
      </c>
      <c r="T3576">
        <f>ROUND((M3576*0.25)+(N3576*0.20)+(O3576*0.15)+(P3576*0.15)+(Q3576*0.10)+(R3576*0.10)+(S3576*0.05),2)</f>
        <v/>
      </c>
      <c r="U3576">
        <f>IF(T3576&gt;=4.25,"Critical",IF(T3576&gt;=3.5,"High",IF(T3576&gt;=2,"Medium","Low")))</f>
        <v/>
      </c>
    </row>
    <row r="3577">
      <c r="R3577">
        <f>IFERROR(XLOOKUP(XLOOKUP(D3577,tblReleaseChanges[Change_ID],tblReleaseChanges[Oracle_Severity],""),tblSeverityMap[Severity_Text],tblSeverityMap[Score],0),0)</f>
        <v/>
      </c>
      <c r="T3577">
        <f>ROUND((M3577*0.25)+(N3577*0.20)+(O3577*0.15)+(P3577*0.15)+(Q3577*0.10)+(R3577*0.10)+(S3577*0.05),2)</f>
        <v/>
      </c>
      <c r="U3577">
        <f>IF(T3577&gt;=4.25,"Critical",IF(T3577&gt;=3.5,"High",IF(T3577&gt;=2,"Medium","Low")))</f>
        <v/>
      </c>
    </row>
    <row r="3578">
      <c r="R3578">
        <f>IFERROR(XLOOKUP(XLOOKUP(D3578,tblReleaseChanges[Change_ID],tblReleaseChanges[Oracle_Severity],""),tblSeverityMap[Severity_Text],tblSeverityMap[Score],0),0)</f>
        <v/>
      </c>
      <c r="T3578">
        <f>ROUND((M3578*0.25)+(N3578*0.20)+(O3578*0.15)+(P3578*0.15)+(Q3578*0.10)+(R3578*0.10)+(S3578*0.05),2)</f>
        <v/>
      </c>
      <c r="U3578">
        <f>IF(T3578&gt;=4.25,"Critical",IF(T3578&gt;=3.5,"High",IF(T3578&gt;=2,"Medium","Low")))</f>
        <v/>
      </c>
    </row>
    <row r="3579">
      <c r="R3579">
        <f>IFERROR(XLOOKUP(XLOOKUP(D3579,tblReleaseChanges[Change_ID],tblReleaseChanges[Oracle_Severity],""),tblSeverityMap[Severity_Text],tblSeverityMap[Score],0),0)</f>
        <v/>
      </c>
      <c r="T3579">
        <f>ROUND((M3579*0.25)+(N3579*0.20)+(O3579*0.15)+(P3579*0.15)+(Q3579*0.10)+(R3579*0.10)+(S3579*0.05),2)</f>
        <v/>
      </c>
      <c r="U3579">
        <f>IF(T3579&gt;=4.25,"Critical",IF(T3579&gt;=3.5,"High",IF(T3579&gt;=2,"Medium","Low")))</f>
        <v/>
      </c>
    </row>
    <row r="3580">
      <c r="R3580">
        <f>IFERROR(XLOOKUP(XLOOKUP(D3580,tblReleaseChanges[Change_ID],tblReleaseChanges[Oracle_Severity],""),tblSeverityMap[Severity_Text],tblSeverityMap[Score],0),0)</f>
        <v/>
      </c>
      <c r="T3580">
        <f>ROUND((M3580*0.25)+(N3580*0.20)+(O3580*0.15)+(P3580*0.15)+(Q3580*0.10)+(R3580*0.10)+(S3580*0.05),2)</f>
        <v/>
      </c>
      <c r="U3580">
        <f>IF(T3580&gt;=4.25,"Critical",IF(T3580&gt;=3.5,"High",IF(T3580&gt;=2,"Medium","Low")))</f>
        <v/>
      </c>
    </row>
    <row r="3581">
      <c r="R3581">
        <f>IFERROR(XLOOKUP(XLOOKUP(D3581,tblReleaseChanges[Change_ID],tblReleaseChanges[Oracle_Severity],""),tblSeverityMap[Severity_Text],tblSeverityMap[Score],0),0)</f>
        <v/>
      </c>
      <c r="T3581">
        <f>ROUND((M3581*0.25)+(N3581*0.20)+(O3581*0.15)+(P3581*0.15)+(Q3581*0.10)+(R3581*0.10)+(S3581*0.05),2)</f>
        <v/>
      </c>
      <c r="U3581">
        <f>IF(T3581&gt;=4.25,"Critical",IF(T3581&gt;=3.5,"High",IF(T3581&gt;=2,"Medium","Low")))</f>
        <v/>
      </c>
    </row>
    <row r="3582">
      <c r="R3582">
        <f>IFERROR(XLOOKUP(XLOOKUP(D3582,tblReleaseChanges[Change_ID],tblReleaseChanges[Oracle_Severity],""),tblSeverityMap[Severity_Text],tblSeverityMap[Score],0),0)</f>
        <v/>
      </c>
      <c r="T3582">
        <f>ROUND((M3582*0.25)+(N3582*0.20)+(O3582*0.15)+(P3582*0.15)+(Q3582*0.10)+(R3582*0.10)+(S3582*0.05),2)</f>
        <v/>
      </c>
      <c r="U3582">
        <f>IF(T3582&gt;=4.25,"Critical",IF(T3582&gt;=3.5,"High",IF(T3582&gt;=2,"Medium","Low")))</f>
        <v/>
      </c>
    </row>
    <row r="3583">
      <c r="R3583">
        <f>IFERROR(XLOOKUP(XLOOKUP(D3583,tblReleaseChanges[Change_ID],tblReleaseChanges[Oracle_Severity],""),tblSeverityMap[Severity_Text],tblSeverityMap[Score],0),0)</f>
        <v/>
      </c>
      <c r="T3583">
        <f>ROUND((M3583*0.25)+(N3583*0.20)+(O3583*0.15)+(P3583*0.15)+(Q3583*0.10)+(R3583*0.10)+(S3583*0.05),2)</f>
        <v/>
      </c>
      <c r="U3583">
        <f>IF(T3583&gt;=4.25,"Critical",IF(T3583&gt;=3.5,"High",IF(T3583&gt;=2,"Medium","Low")))</f>
        <v/>
      </c>
    </row>
    <row r="3584">
      <c r="R3584">
        <f>IFERROR(XLOOKUP(XLOOKUP(D3584,tblReleaseChanges[Change_ID],tblReleaseChanges[Oracle_Severity],""),tblSeverityMap[Severity_Text],tblSeverityMap[Score],0),0)</f>
        <v/>
      </c>
      <c r="T3584">
        <f>ROUND((M3584*0.25)+(N3584*0.20)+(O3584*0.15)+(P3584*0.15)+(Q3584*0.10)+(R3584*0.10)+(S3584*0.05),2)</f>
        <v/>
      </c>
      <c r="U3584">
        <f>IF(T3584&gt;=4.25,"Critical",IF(T3584&gt;=3.5,"High",IF(T3584&gt;=2,"Medium","Low")))</f>
        <v/>
      </c>
    </row>
    <row r="3585">
      <c r="R3585">
        <f>IFERROR(XLOOKUP(XLOOKUP(D3585,tblReleaseChanges[Change_ID],tblReleaseChanges[Oracle_Severity],""),tblSeverityMap[Severity_Text],tblSeverityMap[Score],0),0)</f>
        <v/>
      </c>
      <c r="T3585">
        <f>ROUND((M3585*0.25)+(N3585*0.20)+(O3585*0.15)+(P3585*0.15)+(Q3585*0.10)+(R3585*0.10)+(S3585*0.05),2)</f>
        <v/>
      </c>
      <c r="U3585">
        <f>IF(T3585&gt;=4.25,"Critical",IF(T3585&gt;=3.5,"High",IF(T3585&gt;=2,"Medium","Low")))</f>
        <v/>
      </c>
    </row>
    <row r="3586">
      <c r="R3586">
        <f>IFERROR(XLOOKUP(XLOOKUP(D3586,tblReleaseChanges[Change_ID],tblReleaseChanges[Oracle_Severity],""),tblSeverityMap[Severity_Text],tblSeverityMap[Score],0),0)</f>
        <v/>
      </c>
      <c r="T3586">
        <f>ROUND((M3586*0.25)+(N3586*0.20)+(O3586*0.15)+(P3586*0.15)+(Q3586*0.10)+(R3586*0.10)+(S3586*0.05),2)</f>
        <v/>
      </c>
      <c r="U3586">
        <f>IF(T3586&gt;=4.25,"Critical",IF(T3586&gt;=3.5,"High",IF(T3586&gt;=2,"Medium","Low")))</f>
        <v/>
      </c>
    </row>
    <row r="3587">
      <c r="R3587">
        <f>IFERROR(XLOOKUP(XLOOKUP(D3587,tblReleaseChanges[Change_ID],tblReleaseChanges[Oracle_Severity],""),tblSeverityMap[Severity_Text],tblSeverityMap[Score],0),0)</f>
        <v/>
      </c>
      <c r="T3587">
        <f>ROUND((M3587*0.25)+(N3587*0.20)+(O3587*0.15)+(P3587*0.15)+(Q3587*0.10)+(R3587*0.10)+(S3587*0.05),2)</f>
        <v/>
      </c>
      <c r="U3587">
        <f>IF(T3587&gt;=4.25,"Critical",IF(T3587&gt;=3.5,"High",IF(T3587&gt;=2,"Medium","Low")))</f>
        <v/>
      </c>
    </row>
    <row r="3588">
      <c r="R3588">
        <f>IFERROR(XLOOKUP(XLOOKUP(D3588,tblReleaseChanges[Change_ID],tblReleaseChanges[Oracle_Severity],""),tblSeverityMap[Severity_Text],tblSeverityMap[Score],0),0)</f>
        <v/>
      </c>
      <c r="T3588">
        <f>ROUND((M3588*0.25)+(N3588*0.20)+(O3588*0.15)+(P3588*0.15)+(Q3588*0.10)+(R3588*0.10)+(S3588*0.05),2)</f>
        <v/>
      </c>
      <c r="U3588">
        <f>IF(T3588&gt;=4.25,"Critical",IF(T3588&gt;=3.5,"High",IF(T3588&gt;=2,"Medium","Low")))</f>
        <v/>
      </c>
    </row>
    <row r="3589">
      <c r="R3589">
        <f>IFERROR(XLOOKUP(XLOOKUP(D3589,tblReleaseChanges[Change_ID],tblReleaseChanges[Oracle_Severity],""),tblSeverityMap[Severity_Text],tblSeverityMap[Score],0),0)</f>
        <v/>
      </c>
      <c r="T3589">
        <f>ROUND((M3589*0.25)+(N3589*0.20)+(O3589*0.15)+(P3589*0.15)+(Q3589*0.10)+(R3589*0.10)+(S3589*0.05),2)</f>
        <v/>
      </c>
      <c r="U3589">
        <f>IF(T3589&gt;=4.25,"Critical",IF(T3589&gt;=3.5,"High",IF(T3589&gt;=2,"Medium","Low")))</f>
        <v/>
      </c>
    </row>
    <row r="3590">
      <c r="R3590">
        <f>IFERROR(XLOOKUP(XLOOKUP(D3590,tblReleaseChanges[Change_ID],tblReleaseChanges[Oracle_Severity],""),tblSeverityMap[Severity_Text],tblSeverityMap[Score],0),0)</f>
        <v/>
      </c>
      <c r="T3590">
        <f>ROUND((M3590*0.25)+(N3590*0.20)+(O3590*0.15)+(P3590*0.15)+(Q3590*0.10)+(R3590*0.10)+(S3590*0.05),2)</f>
        <v/>
      </c>
      <c r="U3590">
        <f>IF(T3590&gt;=4.25,"Critical",IF(T3590&gt;=3.5,"High",IF(T3590&gt;=2,"Medium","Low")))</f>
        <v/>
      </c>
    </row>
    <row r="3591">
      <c r="R3591">
        <f>IFERROR(XLOOKUP(XLOOKUP(D3591,tblReleaseChanges[Change_ID],tblReleaseChanges[Oracle_Severity],""),tblSeverityMap[Severity_Text],tblSeverityMap[Score],0),0)</f>
        <v/>
      </c>
      <c r="T3591">
        <f>ROUND((M3591*0.25)+(N3591*0.20)+(O3591*0.15)+(P3591*0.15)+(Q3591*0.10)+(R3591*0.10)+(S3591*0.05),2)</f>
        <v/>
      </c>
      <c r="U3591">
        <f>IF(T3591&gt;=4.25,"Critical",IF(T3591&gt;=3.5,"High",IF(T3591&gt;=2,"Medium","Low")))</f>
        <v/>
      </c>
    </row>
    <row r="3592">
      <c r="R3592">
        <f>IFERROR(XLOOKUP(XLOOKUP(D3592,tblReleaseChanges[Change_ID],tblReleaseChanges[Oracle_Severity],""),tblSeverityMap[Severity_Text],tblSeverityMap[Score],0),0)</f>
        <v/>
      </c>
      <c r="T3592">
        <f>ROUND((M3592*0.25)+(N3592*0.20)+(O3592*0.15)+(P3592*0.15)+(Q3592*0.10)+(R3592*0.10)+(S3592*0.05),2)</f>
        <v/>
      </c>
      <c r="U3592">
        <f>IF(T3592&gt;=4.25,"Critical",IF(T3592&gt;=3.5,"High",IF(T3592&gt;=2,"Medium","Low")))</f>
        <v/>
      </c>
    </row>
    <row r="3593">
      <c r="R3593">
        <f>IFERROR(XLOOKUP(XLOOKUP(D3593,tblReleaseChanges[Change_ID],tblReleaseChanges[Oracle_Severity],""),tblSeverityMap[Severity_Text],tblSeverityMap[Score],0),0)</f>
        <v/>
      </c>
      <c r="T3593">
        <f>ROUND((M3593*0.25)+(N3593*0.20)+(O3593*0.15)+(P3593*0.15)+(Q3593*0.10)+(R3593*0.10)+(S3593*0.05),2)</f>
        <v/>
      </c>
      <c r="U3593">
        <f>IF(T3593&gt;=4.25,"Critical",IF(T3593&gt;=3.5,"High",IF(T3593&gt;=2,"Medium","Low")))</f>
        <v/>
      </c>
    </row>
    <row r="3594">
      <c r="R3594">
        <f>IFERROR(XLOOKUP(XLOOKUP(D3594,tblReleaseChanges[Change_ID],tblReleaseChanges[Oracle_Severity],""),tblSeverityMap[Severity_Text],tblSeverityMap[Score],0),0)</f>
        <v/>
      </c>
      <c r="T3594">
        <f>ROUND((M3594*0.25)+(N3594*0.20)+(O3594*0.15)+(P3594*0.15)+(Q3594*0.10)+(R3594*0.10)+(S3594*0.05),2)</f>
        <v/>
      </c>
      <c r="U3594">
        <f>IF(T3594&gt;=4.25,"Critical",IF(T3594&gt;=3.5,"High",IF(T3594&gt;=2,"Medium","Low")))</f>
        <v/>
      </c>
    </row>
    <row r="3595">
      <c r="R3595">
        <f>IFERROR(XLOOKUP(XLOOKUP(D3595,tblReleaseChanges[Change_ID],tblReleaseChanges[Oracle_Severity],""),tblSeverityMap[Severity_Text],tblSeverityMap[Score],0),0)</f>
        <v/>
      </c>
      <c r="T3595">
        <f>ROUND((M3595*0.25)+(N3595*0.20)+(O3595*0.15)+(P3595*0.15)+(Q3595*0.10)+(R3595*0.10)+(S3595*0.05),2)</f>
        <v/>
      </c>
      <c r="U3595">
        <f>IF(T3595&gt;=4.25,"Critical",IF(T3595&gt;=3.5,"High",IF(T3595&gt;=2,"Medium","Low")))</f>
        <v/>
      </c>
    </row>
    <row r="3596">
      <c r="R3596">
        <f>IFERROR(XLOOKUP(XLOOKUP(D3596,tblReleaseChanges[Change_ID],tblReleaseChanges[Oracle_Severity],""),tblSeverityMap[Severity_Text],tblSeverityMap[Score],0),0)</f>
        <v/>
      </c>
      <c r="T3596">
        <f>ROUND((M3596*0.25)+(N3596*0.20)+(O3596*0.15)+(P3596*0.15)+(Q3596*0.10)+(R3596*0.10)+(S3596*0.05),2)</f>
        <v/>
      </c>
      <c r="U3596">
        <f>IF(T3596&gt;=4.25,"Critical",IF(T3596&gt;=3.5,"High",IF(T3596&gt;=2,"Medium","Low")))</f>
        <v/>
      </c>
    </row>
    <row r="3597">
      <c r="R3597">
        <f>IFERROR(XLOOKUP(XLOOKUP(D3597,tblReleaseChanges[Change_ID],tblReleaseChanges[Oracle_Severity],""),tblSeverityMap[Severity_Text],tblSeverityMap[Score],0),0)</f>
        <v/>
      </c>
      <c r="T3597">
        <f>ROUND((M3597*0.25)+(N3597*0.20)+(O3597*0.15)+(P3597*0.15)+(Q3597*0.10)+(R3597*0.10)+(S3597*0.05),2)</f>
        <v/>
      </c>
      <c r="U3597">
        <f>IF(T3597&gt;=4.25,"Critical",IF(T3597&gt;=3.5,"High",IF(T3597&gt;=2,"Medium","Low")))</f>
        <v/>
      </c>
    </row>
    <row r="3598">
      <c r="R3598">
        <f>IFERROR(XLOOKUP(XLOOKUP(D3598,tblReleaseChanges[Change_ID],tblReleaseChanges[Oracle_Severity],""),tblSeverityMap[Severity_Text],tblSeverityMap[Score],0),0)</f>
        <v/>
      </c>
      <c r="T3598">
        <f>ROUND((M3598*0.25)+(N3598*0.20)+(O3598*0.15)+(P3598*0.15)+(Q3598*0.10)+(R3598*0.10)+(S3598*0.05),2)</f>
        <v/>
      </c>
      <c r="U3598">
        <f>IF(T3598&gt;=4.25,"Critical",IF(T3598&gt;=3.5,"High",IF(T3598&gt;=2,"Medium","Low")))</f>
        <v/>
      </c>
    </row>
    <row r="3599">
      <c r="R3599">
        <f>IFERROR(XLOOKUP(XLOOKUP(D3599,tblReleaseChanges[Change_ID],tblReleaseChanges[Oracle_Severity],""),tblSeverityMap[Severity_Text],tblSeverityMap[Score],0),0)</f>
        <v/>
      </c>
      <c r="T3599">
        <f>ROUND((M3599*0.25)+(N3599*0.20)+(O3599*0.15)+(P3599*0.15)+(Q3599*0.10)+(R3599*0.10)+(S3599*0.05),2)</f>
        <v/>
      </c>
      <c r="U3599">
        <f>IF(T3599&gt;=4.25,"Critical",IF(T3599&gt;=3.5,"High",IF(T3599&gt;=2,"Medium","Low")))</f>
        <v/>
      </c>
    </row>
    <row r="3600">
      <c r="R3600">
        <f>IFERROR(XLOOKUP(XLOOKUP(D3600,tblReleaseChanges[Change_ID],tblReleaseChanges[Oracle_Severity],""),tblSeverityMap[Severity_Text],tblSeverityMap[Score],0),0)</f>
        <v/>
      </c>
      <c r="T3600">
        <f>ROUND((M3600*0.25)+(N3600*0.20)+(O3600*0.15)+(P3600*0.15)+(Q3600*0.10)+(R3600*0.10)+(S3600*0.05),2)</f>
        <v/>
      </c>
      <c r="U3600">
        <f>IF(T3600&gt;=4.25,"Critical",IF(T3600&gt;=3.5,"High",IF(T3600&gt;=2,"Medium","Low")))</f>
        <v/>
      </c>
    </row>
    <row r="3601">
      <c r="R3601">
        <f>IFERROR(XLOOKUP(XLOOKUP(D3601,tblReleaseChanges[Change_ID],tblReleaseChanges[Oracle_Severity],""),tblSeverityMap[Severity_Text],tblSeverityMap[Score],0),0)</f>
        <v/>
      </c>
      <c r="T3601">
        <f>ROUND((M3601*0.25)+(N3601*0.20)+(O3601*0.15)+(P3601*0.15)+(Q3601*0.10)+(R3601*0.10)+(S3601*0.05),2)</f>
        <v/>
      </c>
      <c r="U3601">
        <f>IF(T3601&gt;=4.25,"Critical",IF(T3601&gt;=3.5,"High",IF(T3601&gt;=2,"Medium","Low")))</f>
        <v/>
      </c>
    </row>
    <row r="3602">
      <c r="R3602">
        <f>IFERROR(XLOOKUP(XLOOKUP(D3602,tblReleaseChanges[Change_ID],tblReleaseChanges[Oracle_Severity],""),tblSeverityMap[Severity_Text],tblSeverityMap[Score],0),0)</f>
        <v/>
      </c>
      <c r="T3602">
        <f>ROUND((M3602*0.25)+(N3602*0.20)+(O3602*0.15)+(P3602*0.15)+(Q3602*0.10)+(R3602*0.10)+(S3602*0.05),2)</f>
        <v/>
      </c>
      <c r="U3602">
        <f>IF(T3602&gt;=4.25,"Critical",IF(T3602&gt;=3.5,"High",IF(T3602&gt;=2,"Medium","Low")))</f>
        <v/>
      </c>
    </row>
    <row r="3603">
      <c r="R3603">
        <f>IFERROR(XLOOKUP(XLOOKUP(D3603,tblReleaseChanges[Change_ID],tblReleaseChanges[Oracle_Severity],""),tblSeverityMap[Severity_Text],tblSeverityMap[Score],0),0)</f>
        <v/>
      </c>
      <c r="T3603">
        <f>ROUND((M3603*0.25)+(N3603*0.20)+(O3603*0.15)+(P3603*0.15)+(Q3603*0.10)+(R3603*0.10)+(S3603*0.05),2)</f>
        <v/>
      </c>
      <c r="U3603">
        <f>IF(T3603&gt;=4.25,"Critical",IF(T3603&gt;=3.5,"High",IF(T3603&gt;=2,"Medium","Low")))</f>
        <v/>
      </c>
    </row>
    <row r="3604">
      <c r="R3604">
        <f>IFERROR(XLOOKUP(XLOOKUP(D3604,tblReleaseChanges[Change_ID],tblReleaseChanges[Oracle_Severity],""),tblSeverityMap[Severity_Text],tblSeverityMap[Score],0),0)</f>
        <v/>
      </c>
      <c r="T3604">
        <f>ROUND((M3604*0.25)+(N3604*0.20)+(O3604*0.15)+(P3604*0.15)+(Q3604*0.10)+(R3604*0.10)+(S3604*0.05),2)</f>
        <v/>
      </c>
      <c r="U3604">
        <f>IF(T3604&gt;=4.25,"Critical",IF(T3604&gt;=3.5,"High",IF(T3604&gt;=2,"Medium","Low")))</f>
        <v/>
      </c>
    </row>
    <row r="3605">
      <c r="R3605">
        <f>IFERROR(XLOOKUP(XLOOKUP(D3605,tblReleaseChanges[Change_ID],tblReleaseChanges[Oracle_Severity],""),tblSeverityMap[Severity_Text],tblSeverityMap[Score],0),0)</f>
        <v/>
      </c>
      <c r="T3605">
        <f>ROUND((M3605*0.25)+(N3605*0.20)+(O3605*0.15)+(P3605*0.15)+(Q3605*0.10)+(R3605*0.10)+(S3605*0.05),2)</f>
        <v/>
      </c>
      <c r="U3605">
        <f>IF(T3605&gt;=4.25,"Critical",IF(T3605&gt;=3.5,"High",IF(T3605&gt;=2,"Medium","Low")))</f>
        <v/>
      </c>
    </row>
    <row r="3606">
      <c r="R3606">
        <f>IFERROR(XLOOKUP(XLOOKUP(D3606,tblReleaseChanges[Change_ID],tblReleaseChanges[Oracle_Severity],""),tblSeverityMap[Severity_Text],tblSeverityMap[Score],0),0)</f>
        <v/>
      </c>
      <c r="T3606">
        <f>ROUND((M3606*0.25)+(N3606*0.20)+(O3606*0.15)+(P3606*0.15)+(Q3606*0.10)+(R3606*0.10)+(S3606*0.05),2)</f>
        <v/>
      </c>
      <c r="U3606">
        <f>IF(T3606&gt;=4.25,"Critical",IF(T3606&gt;=3.5,"High",IF(T3606&gt;=2,"Medium","Low")))</f>
        <v/>
      </c>
    </row>
    <row r="3607">
      <c r="R3607">
        <f>IFERROR(XLOOKUP(XLOOKUP(D3607,tblReleaseChanges[Change_ID],tblReleaseChanges[Oracle_Severity],""),tblSeverityMap[Severity_Text],tblSeverityMap[Score],0),0)</f>
        <v/>
      </c>
      <c r="T3607">
        <f>ROUND((M3607*0.25)+(N3607*0.20)+(O3607*0.15)+(P3607*0.15)+(Q3607*0.10)+(R3607*0.10)+(S3607*0.05),2)</f>
        <v/>
      </c>
      <c r="U3607">
        <f>IF(T3607&gt;=4.25,"Critical",IF(T3607&gt;=3.5,"High",IF(T3607&gt;=2,"Medium","Low")))</f>
        <v/>
      </c>
    </row>
    <row r="3608">
      <c r="R3608">
        <f>IFERROR(XLOOKUP(XLOOKUP(D3608,tblReleaseChanges[Change_ID],tblReleaseChanges[Oracle_Severity],""),tblSeverityMap[Severity_Text],tblSeverityMap[Score],0),0)</f>
        <v/>
      </c>
      <c r="T3608">
        <f>ROUND((M3608*0.25)+(N3608*0.20)+(O3608*0.15)+(P3608*0.15)+(Q3608*0.10)+(R3608*0.10)+(S3608*0.05),2)</f>
        <v/>
      </c>
      <c r="U3608">
        <f>IF(T3608&gt;=4.25,"Critical",IF(T3608&gt;=3.5,"High",IF(T3608&gt;=2,"Medium","Low")))</f>
        <v/>
      </c>
    </row>
    <row r="3609">
      <c r="R3609">
        <f>IFERROR(XLOOKUP(XLOOKUP(D3609,tblReleaseChanges[Change_ID],tblReleaseChanges[Oracle_Severity],""),tblSeverityMap[Severity_Text],tblSeverityMap[Score],0),0)</f>
        <v/>
      </c>
      <c r="T3609">
        <f>ROUND((M3609*0.25)+(N3609*0.20)+(O3609*0.15)+(P3609*0.15)+(Q3609*0.10)+(R3609*0.10)+(S3609*0.05),2)</f>
        <v/>
      </c>
      <c r="U3609">
        <f>IF(T3609&gt;=4.25,"Critical",IF(T3609&gt;=3.5,"High",IF(T3609&gt;=2,"Medium","Low")))</f>
        <v/>
      </c>
    </row>
    <row r="3610">
      <c r="R3610">
        <f>IFERROR(XLOOKUP(XLOOKUP(D3610,tblReleaseChanges[Change_ID],tblReleaseChanges[Oracle_Severity],""),tblSeverityMap[Severity_Text],tblSeverityMap[Score],0),0)</f>
        <v/>
      </c>
      <c r="T3610">
        <f>ROUND((M3610*0.25)+(N3610*0.20)+(O3610*0.15)+(P3610*0.15)+(Q3610*0.10)+(R3610*0.10)+(S3610*0.05),2)</f>
        <v/>
      </c>
      <c r="U3610">
        <f>IF(T3610&gt;=4.25,"Critical",IF(T3610&gt;=3.5,"High",IF(T3610&gt;=2,"Medium","Low")))</f>
        <v/>
      </c>
    </row>
    <row r="3611">
      <c r="R3611">
        <f>IFERROR(XLOOKUP(XLOOKUP(D3611,tblReleaseChanges[Change_ID],tblReleaseChanges[Oracle_Severity],""),tblSeverityMap[Severity_Text],tblSeverityMap[Score],0),0)</f>
        <v/>
      </c>
      <c r="T3611">
        <f>ROUND((M3611*0.25)+(N3611*0.20)+(O3611*0.15)+(P3611*0.15)+(Q3611*0.10)+(R3611*0.10)+(S3611*0.05),2)</f>
        <v/>
      </c>
      <c r="U3611">
        <f>IF(T3611&gt;=4.25,"Critical",IF(T3611&gt;=3.5,"High",IF(T3611&gt;=2,"Medium","Low")))</f>
        <v/>
      </c>
    </row>
    <row r="3612">
      <c r="R3612">
        <f>IFERROR(XLOOKUP(XLOOKUP(D3612,tblReleaseChanges[Change_ID],tblReleaseChanges[Oracle_Severity],""),tblSeverityMap[Severity_Text],tblSeverityMap[Score],0),0)</f>
        <v/>
      </c>
      <c r="T3612">
        <f>ROUND((M3612*0.25)+(N3612*0.20)+(O3612*0.15)+(P3612*0.15)+(Q3612*0.10)+(R3612*0.10)+(S3612*0.05),2)</f>
        <v/>
      </c>
      <c r="U3612">
        <f>IF(T3612&gt;=4.25,"Critical",IF(T3612&gt;=3.5,"High",IF(T3612&gt;=2,"Medium","Low")))</f>
        <v/>
      </c>
    </row>
    <row r="3613">
      <c r="R3613">
        <f>IFERROR(XLOOKUP(XLOOKUP(D3613,tblReleaseChanges[Change_ID],tblReleaseChanges[Oracle_Severity],""),tblSeverityMap[Severity_Text],tblSeverityMap[Score],0),0)</f>
        <v/>
      </c>
      <c r="T3613">
        <f>ROUND((M3613*0.25)+(N3613*0.20)+(O3613*0.15)+(P3613*0.15)+(Q3613*0.10)+(R3613*0.10)+(S3613*0.05),2)</f>
        <v/>
      </c>
      <c r="U3613">
        <f>IF(T3613&gt;=4.25,"Critical",IF(T3613&gt;=3.5,"High",IF(T3613&gt;=2,"Medium","Low")))</f>
        <v/>
      </c>
    </row>
    <row r="3614">
      <c r="R3614">
        <f>IFERROR(XLOOKUP(XLOOKUP(D3614,tblReleaseChanges[Change_ID],tblReleaseChanges[Oracle_Severity],""),tblSeverityMap[Severity_Text],tblSeverityMap[Score],0),0)</f>
        <v/>
      </c>
      <c r="T3614">
        <f>ROUND((M3614*0.25)+(N3614*0.20)+(O3614*0.15)+(P3614*0.15)+(Q3614*0.10)+(R3614*0.10)+(S3614*0.05),2)</f>
        <v/>
      </c>
      <c r="U3614">
        <f>IF(T3614&gt;=4.25,"Critical",IF(T3614&gt;=3.5,"High",IF(T3614&gt;=2,"Medium","Low")))</f>
        <v/>
      </c>
    </row>
    <row r="3615">
      <c r="R3615">
        <f>IFERROR(XLOOKUP(XLOOKUP(D3615,tblReleaseChanges[Change_ID],tblReleaseChanges[Oracle_Severity],""),tblSeverityMap[Severity_Text],tblSeverityMap[Score],0),0)</f>
        <v/>
      </c>
      <c r="T3615">
        <f>ROUND((M3615*0.25)+(N3615*0.20)+(O3615*0.15)+(P3615*0.15)+(Q3615*0.10)+(R3615*0.10)+(S3615*0.05),2)</f>
        <v/>
      </c>
      <c r="U3615">
        <f>IF(T3615&gt;=4.25,"Critical",IF(T3615&gt;=3.5,"High",IF(T3615&gt;=2,"Medium","Low")))</f>
        <v/>
      </c>
    </row>
    <row r="3616">
      <c r="R3616">
        <f>IFERROR(XLOOKUP(XLOOKUP(D3616,tblReleaseChanges[Change_ID],tblReleaseChanges[Oracle_Severity],""),tblSeverityMap[Severity_Text],tblSeverityMap[Score],0),0)</f>
        <v/>
      </c>
      <c r="T3616">
        <f>ROUND((M3616*0.25)+(N3616*0.20)+(O3616*0.15)+(P3616*0.15)+(Q3616*0.10)+(R3616*0.10)+(S3616*0.05),2)</f>
        <v/>
      </c>
      <c r="U3616">
        <f>IF(T3616&gt;=4.25,"Critical",IF(T3616&gt;=3.5,"High",IF(T3616&gt;=2,"Medium","Low")))</f>
        <v/>
      </c>
    </row>
    <row r="3617">
      <c r="R3617">
        <f>IFERROR(XLOOKUP(XLOOKUP(D3617,tblReleaseChanges[Change_ID],tblReleaseChanges[Oracle_Severity],""),tblSeverityMap[Severity_Text],tblSeverityMap[Score],0),0)</f>
        <v/>
      </c>
      <c r="T3617">
        <f>ROUND((M3617*0.25)+(N3617*0.20)+(O3617*0.15)+(P3617*0.15)+(Q3617*0.10)+(R3617*0.10)+(S3617*0.05),2)</f>
        <v/>
      </c>
      <c r="U3617">
        <f>IF(T3617&gt;=4.25,"Critical",IF(T3617&gt;=3.5,"High",IF(T3617&gt;=2,"Medium","Low")))</f>
        <v/>
      </c>
    </row>
    <row r="3618">
      <c r="R3618">
        <f>IFERROR(XLOOKUP(XLOOKUP(D3618,tblReleaseChanges[Change_ID],tblReleaseChanges[Oracle_Severity],""),tblSeverityMap[Severity_Text],tblSeverityMap[Score],0),0)</f>
        <v/>
      </c>
      <c r="T3618">
        <f>ROUND((M3618*0.25)+(N3618*0.20)+(O3618*0.15)+(P3618*0.15)+(Q3618*0.10)+(R3618*0.10)+(S3618*0.05),2)</f>
        <v/>
      </c>
      <c r="U3618">
        <f>IF(T3618&gt;=4.25,"Critical",IF(T3618&gt;=3.5,"High",IF(T3618&gt;=2,"Medium","Low")))</f>
        <v/>
      </c>
    </row>
    <row r="3619">
      <c r="R3619">
        <f>IFERROR(XLOOKUP(XLOOKUP(D3619,tblReleaseChanges[Change_ID],tblReleaseChanges[Oracle_Severity],""),tblSeverityMap[Severity_Text],tblSeverityMap[Score],0),0)</f>
        <v/>
      </c>
      <c r="T3619">
        <f>ROUND((M3619*0.25)+(N3619*0.20)+(O3619*0.15)+(P3619*0.15)+(Q3619*0.10)+(R3619*0.10)+(S3619*0.05),2)</f>
        <v/>
      </c>
      <c r="U3619">
        <f>IF(T3619&gt;=4.25,"Critical",IF(T3619&gt;=3.5,"High",IF(T3619&gt;=2,"Medium","Low")))</f>
        <v/>
      </c>
    </row>
    <row r="3620">
      <c r="R3620">
        <f>IFERROR(XLOOKUP(XLOOKUP(D3620,tblReleaseChanges[Change_ID],tblReleaseChanges[Oracle_Severity],""),tblSeverityMap[Severity_Text],tblSeverityMap[Score],0),0)</f>
        <v/>
      </c>
      <c r="T3620">
        <f>ROUND((M3620*0.25)+(N3620*0.20)+(O3620*0.15)+(P3620*0.15)+(Q3620*0.10)+(R3620*0.10)+(S3620*0.05),2)</f>
        <v/>
      </c>
      <c r="U3620">
        <f>IF(T3620&gt;=4.25,"Critical",IF(T3620&gt;=3.5,"High",IF(T3620&gt;=2,"Medium","Low")))</f>
        <v/>
      </c>
    </row>
    <row r="3621">
      <c r="R3621">
        <f>IFERROR(XLOOKUP(XLOOKUP(D3621,tblReleaseChanges[Change_ID],tblReleaseChanges[Oracle_Severity],""),tblSeverityMap[Severity_Text],tblSeverityMap[Score],0),0)</f>
        <v/>
      </c>
      <c r="T3621">
        <f>ROUND((M3621*0.25)+(N3621*0.20)+(O3621*0.15)+(P3621*0.15)+(Q3621*0.10)+(R3621*0.10)+(S3621*0.05),2)</f>
        <v/>
      </c>
      <c r="U3621">
        <f>IF(T3621&gt;=4.25,"Critical",IF(T3621&gt;=3.5,"High",IF(T3621&gt;=2,"Medium","Low")))</f>
        <v/>
      </c>
    </row>
    <row r="3622">
      <c r="R3622">
        <f>IFERROR(XLOOKUP(XLOOKUP(D3622,tblReleaseChanges[Change_ID],tblReleaseChanges[Oracle_Severity],""),tblSeverityMap[Severity_Text],tblSeverityMap[Score],0),0)</f>
        <v/>
      </c>
      <c r="T3622">
        <f>ROUND((M3622*0.25)+(N3622*0.20)+(O3622*0.15)+(P3622*0.15)+(Q3622*0.10)+(R3622*0.10)+(S3622*0.05),2)</f>
        <v/>
      </c>
      <c r="U3622">
        <f>IF(T3622&gt;=4.25,"Critical",IF(T3622&gt;=3.5,"High",IF(T3622&gt;=2,"Medium","Low")))</f>
        <v/>
      </c>
    </row>
    <row r="3623">
      <c r="R3623">
        <f>IFERROR(XLOOKUP(XLOOKUP(D3623,tblReleaseChanges[Change_ID],tblReleaseChanges[Oracle_Severity],""),tblSeverityMap[Severity_Text],tblSeverityMap[Score],0),0)</f>
        <v/>
      </c>
      <c r="T3623">
        <f>ROUND((M3623*0.25)+(N3623*0.20)+(O3623*0.15)+(P3623*0.15)+(Q3623*0.10)+(R3623*0.10)+(S3623*0.05),2)</f>
        <v/>
      </c>
      <c r="U3623">
        <f>IF(T3623&gt;=4.25,"Critical",IF(T3623&gt;=3.5,"High",IF(T3623&gt;=2,"Medium","Low")))</f>
        <v/>
      </c>
    </row>
    <row r="3624">
      <c r="R3624">
        <f>IFERROR(XLOOKUP(XLOOKUP(D3624,tblReleaseChanges[Change_ID],tblReleaseChanges[Oracle_Severity],""),tblSeverityMap[Severity_Text],tblSeverityMap[Score],0),0)</f>
        <v/>
      </c>
      <c r="T3624">
        <f>ROUND((M3624*0.25)+(N3624*0.20)+(O3624*0.15)+(P3624*0.15)+(Q3624*0.10)+(R3624*0.10)+(S3624*0.05),2)</f>
        <v/>
      </c>
      <c r="U3624">
        <f>IF(T3624&gt;=4.25,"Critical",IF(T3624&gt;=3.5,"High",IF(T3624&gt;=2,"Medium","Low")))</f>
        <v/>
      </c>
    </row>
    <row r="3625">
      <c r="R3625">
        <f>IFERROR(XLOOKUP(XLOOKUP(D3625,tblReleaseChanges[Change_ID],tblReleaseChanges[Oracle_Severity],""),tblSeverityMap[Severity_Text],tblSeverityMap[Score],0),0)</f>
        <v/>
      </c>
      <c r="T3625">
        <f>ROUND((M3625*0.25)+(N3625*0.20)+(O3625*0.15)+(P3625*0.15)+(Q3625*0.10)+(R3625*0.10)+(S3625*0.05),2)</f>
        <v/>
      </c>
      <c r="U3625">
        <f>IF(T3625&gt;=4.25,"Critical",IF(T3625&gt;=3.5,"High",IF(T3625&gt;=2,"Medium","Low")))</f>
        <v/>
      </c>
    </row>
    <row r="3626">
      <c r="R3626">
        <f>IFERROR(XLOOKUP(XLOOKUP(D3626,tblReleaseChanges[Change_ID],tblReleaseChanges[Oracle_Severity],""),tblSeverityMap[Severity_Text],tblSeverityMap[Score],0),0)</f>
        <v/>
      </c>
      <c r="T3626">
        <f>ROUND((M3626*0.25)+(N3626*0.20)+(O3626*0.15)+(P3626*0.15)+(Q3626*0.10)+(R3626*0.10)+(S3626*0.05),2)</f>
        <v/>
      </c>
      <c r="U3626">
        <f>IF(T3626&gt;=4.25,"Critical",IF(T3626&gt;=3.5,"High",IF(T3626&gt;=2,"Medium","Low")))</f>
        <v/>
      </c>
    </row>
    <row r="3627">
      <c r="R3627">
        <f>IFERROR(XLOOKUP(XLOOKUP(D3627,tblReleaseChanges[Change_ID],tblReleaseChanges[Oracle_Severity],""),tblSeverityMap[Severity_Text],tblSeverityMap[Score],0),0)</f>
        <v/>
      </c>
      <c r="T3627">
        <f>ROUND((M3627*0.25)+(N3627*0.20)+(O3627*0.15)+(P3627*0.15)+(Q3627*0.10)+(R3627*0.10)+(S3627*0.05),2)</f>
        <v/>
      </c>
      <c r="U3627">
        <f>IF(T3627&gt;=4.25,"Critical",IF(T3627&gt;=3.5,"High",IF(T3627&gt;=2,"Medium","Low")))</f>
        <v/>
      </c>
    </row>
    <row r="3628">
      <c r="R3628">
        <f>IFERROR(XLOOKUP(XLOOKUP(D3628,tblReleaseChanges[Change_ID],tblReleaseChanges[Oracle_Severity],""),tblSeverityMap[Severity_Text],tblSeverityMap[Score],0),0)</f>
        <v/>
      </c>
      <c r="T3628">
        <f>ROUND((M3628*0.25)+(N3628*0.20)+(O3628*0.15)+(P3628*0.15)+(Q3628*0.10)+(R3628*0.10)+(S3628*0.05),2)</f>
        <v/>
      </c>
      <c r="U3628">
        <f>IF(T3628&gt;=4.25,"Critical",IF(T3628&gt;=3.5,"High",IF(T3628&gt;=2,"Medium","Low")))</f>
        <v/>
      </c>
    </row>
    <row r="3629">
      <c r="R3629">
        <f>IFERROR(XLOOKUP(XLOOKUP(D3629,tblReleaseChanges[Change_ID],tblReleaseChanges[Oracle_Severity],""),tblSeverityMap[Severity_Text],tblSeverityMap[Score],0),0)</f>
        <v/>
      </c>
      <c r="T3629">
        <f>ROUND((M3629*0.25)+(N3629*0.20)+(O3629*0.15)+(P3629*0.15)+(Q3629*0.10)+(R3629*0.10)+(S3629*0.05),2)</f>
        <v/>
      </c>
      <c r="U3629">
        <f>IF(T3629&gt;=4.25,"Critical",IF(T3629&gt;=3.5,"High",IF(T3629&gt;=2,"Medium","Low")))</f>
        <v/>
      </c>
    </row>
    <row r="3630">
      <c r="R3630">
        <f>IFERROR(XLOOKUP(XLOOKUP(D3630,tblReleaseChanges[Change_ID],tblReleaseChanges[Oracle_Severity],""),tblSeverityMap[Severity_Text],tblSeverityMap[Score],0),0)</f>
        <v/>
      </c>
      <c r="T3630">
        <f>ROUND((M3630*0.25)+(N3630*0.20)+(O3630*0.15)+(P3630*0.15)+(Q3630*0.10)+(R3630*0.10)+(S3630*0.05),2)</f>
        <v/>
      </c>
      <c r="U3630">
        <f>IF(T3630&gt;=4.25,"Critical",IF(T3630&gt;=3.5,"High",IF(T3630&gt;=2,"Medium","Low")))</f>
        <v/>
      </c>
    </row>
    <row r="3631">
      <c r="R3631">
        <f>IFERROR(XLOOKUP(XLOOKUP(D3631,tblReleaseChanges[Change_ID],tblReleaseChanges[Oracle_Severity],""),tblSeverityMap[Severity_Text],tblSeverityMap[Score],0),0)</f>
        <v/>
      </c>
      <c r="T3631">
        <f>ROUND((M3631*0.25)+(N3631*0.20)+(O3631*0.15)+(P3631*0.15)+(Q3631*0.10)+(R3631*0.10)+(S3631*0.05),2)</f>
        <v/>
      </c>
      <c r="U3631">
        <f>IF(T3631&gt;=4.25,"Critical",IF(T3631&gt;=3.5,"High",IF(T3631&gt;=2,"Medium","Low")))</f>
        <v/>
      </c>
    </row>
    <row r="3632">
      <c r="R3632">
        <f>IFERROR(XLOOKUP(XLOOKUP(D3632,tblReleaseChanges[Change_ID],tblReleaseChanges[Oracle_Severity],""),tblSeverityMap[Severity_Text],tblSeverityMap[Score],0),0)</f>
        <v/>
      </c>
      <c r="T3632">
        <f>ROUND((M3632*0.25)+(N3632*0.20)+(O3632*0.15)+(P3632*0.15)+(Q3632*0.10)+(R3632*0.10)+(S3632*0.05),2)</f>
        <v/>
      </c>
      <c r="U3632">
        <f>IF(T3632&gt;=4.25,"Critical",IF(T3632&gt;=3.5,"High",IF(T3632&gt;=2,"Medium","Low")))</f>
        <v/>
      </c>
    </row>
    <row r="3633">
      <c r="R3633">
        <f>IFERROR(XLOOKUP(XLOOKUP(D3633,tblReleaseChanges[Change_ID],tblReleaseChanges[Oracle_Severity],""),tblSeverityMap[Severity_Text],tblSeverityMap[Score],0),0)</f>
        <v/>
      </c>
      <c r="T3633">
        <f>ROUND((M3633*0.25)+(N3633*0.20)+(O3633*0.15)+(P3633*0.15)+(Q3633*0.10)+(R3633*0.10)+(S3633*0.05),2)</f>
        <v/>
      </c>
      <c r="U3633">
        <f>IF(T3633&gt;=4.25,"Critical",IF(T3633&gt;=3.5,"High",IF(T3633&gt;=2,"Medium","Low")))</f>
        <v/>
      </c>
    </row>
    <row r="3634">
      <c r="R3634">
        <f>IFERROR(XLOOKUP(XLOOKUP(D3634,tblReleaseChanges[Change_ID],tblReleaseChanges[Oracle_Severity],""),tblSeverityMap[Severity_Text],tblSeverityMap[Score],0),0)</f>
        <v/>
      </c>
      <c r="T3634">
        <f>ROUND((M3634*0.25)+(N3634*0.20)+(O3634*0.15)+(P3634*0.15)+(Q3634*0.10)+(R3634*0.10)+(S3634*0.05),2)</f>
        <v/>
      </c>
      <c r="U3634">
        <f>IF(T3634&gt;=4.25,"Critical",IF(T3634&gt;=3.5,"High",IF(T3634&gt;=2,"Medium","Low")))</f>
        <v/>
      </c>
    </row>
    <row r="3635">
      <c r="R3635">
        <f>IFERROR(XLOOKUP(XLOOKUP(D3635,tblReleaseChanges[Change_ID],tblReleaseChanges[Oracle_Severity],""),tblSeverityMap[Severity_Text],tblSeverityMap[Score],0),0)</f>
        <v/>
      </c>
      <c r="T3635">
        <f>ROUND((M3635*0.25)+(N3635*0.20)+(O3635*0.15)+(P3635*0.15)+(Q3635*0.10)+(R3635*0.10)+(S3635*0.05),2)</f>
        <v/>
      </c>
      <c r="U3635">
        <f>IF(T3635&gt;=4.25,"Critical",IF(T3635&gt;=3.5,"High",IF(T3635&gt;=2,"Medium","Low")))</f>
        <v/>
      </c>
    </row>
    <row r="3636">
      <c r="R3636">
        <f>IFERROR(XLOOKUP(XLOOKUP(D3636,tblReleaseChanges[Change_ID],tblReleaseChanges[Oracle_Severity],""),tblSeverityMap[Severity_Text],tblSeverityMap[Score],0),0)</f>
        <v/>
      </c>
      <c r="T3636">
        <f>ROUND((M3636*0.25)+(N3636*0.20)+(O3636*0.15)+(P3636*0.15)+(Q3636*0.10)+(R3636*0.10)+(S3636*0.05),2)</f>
        <v/>
      </c>
      <c r="U3636">
        <f>IF(T3636&gt;=4.25,"Critical",IF(T3636&gt;=3.5,"High",IF(T3636&gt;=2,"Medium","Low")))</f>
        <v/>
      </c>
    </row>
    <row r="3637">
      <c r="R3637">
        <f>IFERROR(XLOOKUP(XLOOKUP(D3637,tblReleaseChanges[Change_ID],tblReleaseChanges[Oracle_Severity],""),tblSeverityMap[Severity_Text],tblSeverityMap[Score],0),0)</f>
        <v/>
      </c>
      <c r="T3637">
        <f>ROUND((M3637*0.25)+(N3637*0.20)+(O3637*0.15)+(P3637*0.15)+(Q3637*0.10)+(R3637*0.10)+(S3637*0.05),2)</f>
        <v/>
      </c>
      <c r="U3637">
        <f>IF(T3637&gt;=4.25,"Critical",IF(T3637&gt;=3.5,"High",IF(T3637&gt;=2,"Medium","Low")))</f>
        <v/>
      </c>
    </row>
    <row r="3638">
      <c r="R3638">
        <f>IFERROR(XLOOKUP(XLOOKUP(D3638,tblReleaseChanges[Change_ID],tblReleaseChanges[Oracle_Severity],""),tblSeverityMap[Severity_Text],tblSeverityMap[Score],0),0)</f>
        <v/>
      </c>
      <c r="T3638">
        <f>ROUND((M3638*0.25)+(N3638*0.20)+(O3638*0.15)+(P3638*0.15)+(Q3638*0.10)+(R3638*0.10)+(S3638*0.05),2)</f>
        <v/>
      </c>
      <c r="U3638">
        <f>IF(T3638&gt;=4.25,"Critical",IF(T3638&gt;=3.5,"High",IF(T3638&gt;=2,"Medium","Low")))</f>
        <v/>
      </c>
    </row>
    <row r="3639">
      <c r="R3639">
        <f>IFERROR(XLOOKUP(XLOOKUP(D3639,tblReleaseChanges[Change_ID],tblReleaseChanges[Oracle_Severity],""),tblSeverityMap[Severity_Text],tblSeverityMap[Score],0),0)</f>
        <v/>
      </c>
      <c r="T3639">
        <f>ROUND((M3639*0.25)+(N3639*0.20)+(O3639*0.15)+(P3639*0.15)+(Q3639*0.10)+(R3639*0.10)+(S3639*0.05),2)</f>
        <v/>
      </c>
      <c r="U3639">
        <f>IF(T3639&gt;=4.25,"Critical",IF(T3639&gt;=3.5,"High",IF(T3639&gt;=2,"Medium","Low")))</f>
        <v/>
      </c>
    </row>
    <row r="3640">
      <c r="R3640">
        <f>IFERROR(XLOOKUP(XLOOKUP(D3640,tblReleaseChanges[Change_ID],tblReleaseChanges[Oracle_Severity],""),tblSeverityMap[Severity_Text],tblSeverityMap[Score],0),0)</f>
        <v/>
      </c>
      <c r="T3640">
        <f>ROUND((M3640*0.25)+(N3640*0.20)+(O3640*0.15)+(P3640*0.15)+(Q3640*0.10)+(R3640*0.10)+(S3640*0.05),2)</f>
        <v/>
      </c>
      <c r="U3640">
        <f>IF(T3640&gt;=4.25,"Critical",IF(T3640&gt;=3.5,"High",IF(T3640&gt;=2,"Medium","Low")))</f>
        <v/>
      </c>
    </row>
    <row r="3641">
      <c r="R3641">
        <f>IFERROR(XLOOKUP(XLOOKUP(D3641,tblReleaseChanges[Change_ID],tblReleaseChanges[Oracle_Severity],""),tblSeverityMap[Severity_Text],tblSeverityMap[Score],0),0)</f>
        <v/>
      </c>
      <c r="T3641">
        <f>ROUND((M3641*0.25)+(N3641*0.20)+(O3641*0.15)+(P3641*0.15)+(Q3641*0.10)+(R3641*0.10)+(S3641*0.05),2)</f>
        <v/>
      </c>
      <c r="U3641">
        <f>IF(T3641&gt;=4.25,"Critical",IF(T3641&gt;=3.5,"High",IF(T3641&gt;=2,"Medium","Low")))</f>
        <v/>
      </c>
    </row>
    <row r="3642">
      <c r="R3642">
        <f>IFERROR(XLOOKUP(XLOOKUP(D3642,tblReleaseChanges[Change_ID],tblReleaseChanges[Oracle_Severity],""),tblSeverityMap[Severity_Text],tblSeverityMap[Score],0),0)</f>
        <v/>
      </c>
      <c r="T3642">
        <f>ROUND((M3642*0.25)+(N3642*0.20)+(O3642*0.15)+(P3642*0.15)+(Q3642*0.10)+(R3642*0.10)+(S3642*0.05),2)</f>
        <v/>
      </c>
      <c r="U3642">
        <f>IF(T3642&gt;=4.25,"Critical",IF(T3642&gt;=3.5,"High",IF(T3642&gt;=2,"Medium","Low")))</f>
        <v/>
      </c>
    </row>
    <row r="3643">
      <c r="R3643">
        <f>IFERROR(XLOOKUP(XLOOKUP(D3643,tblReleaseChanges[Change_ID],tblReleaseChanges[Oracle_Severity],""),tblSeverityMap[Severity_Text],tblSeverityMap[Score],0),0)</f>
        <v/>
      </c>
      <c r="T3643">
        <f>ROUND((M3643*0.25)+(N3643*0.20)+(O3643*0.15)+(P3643*0.15)+(Q3643*0.10)+(R3643*0.10)+(S3643*0.05),2)</f>
        <v/>
      </c>
      <c r="U3643">
        <f>IF(T3643&gt;=4.25,"Critical",IF(T3643&gt;=3.5,"High",IF(T3643&gt;=2,"Medium","Low")))</f>
        <v/>
      </c>
    </row>
    <row r="3644">
      <c r="R3644">
        <f>IFERROR(XLOOKUP(XLOOKUP(D3644,tblReleaseChanges[Change_ID],tblReleaseChanges[Oracle_Severity],""),tblSeverityMap[Severity_Text],tblSeverityMap[Score],0),0)</f>
        <v/>
      </c>
      <c r="T3644">
        <f>ROUND((M3644*0.25)+(N3644*0.20)+(O3644*0.15)+(P3644*0.15)+(Q3644*0.10)+(R3644*0.10)+(S3644*0.05),2)</f>
        <v/>
      </c>
      <c r="U3644">
        <f>IF(T3644&gt;=4.25,"Critical",IF(T3644&gt;=3.5,"High",IF(T3644&gt;=2,"Medium","Low")))</f>
        <v/>
      </c>
    </row>
    <row r="3645">
      <c r="R3645">
        <f>IFERROR(XLOOKUP(XLOOKUP(D3645,tblReleaseChanges[Change_ID],tblReleaseChanges[Oracle_Severity],""),tblSeverityMap[Severity_Text],tblSeverityMap[Score],0),0)</f>
        <v/>
      </c>
      <c r="T3645">
        <f>ROUND((M3645*0.25)+(N3645*0.20)+(O3645*0.15)+(P3645*0.15)+(Q3645*0.10)+(R3645*0.10)+(S3645*0.05),2)</f>
        <v/>
      </c>
      <c r="U3645">
        <f>IF(T3645&gt;=4.25,"Critical",IF(T3645&gt;=3.5,"High",IF(T3645&gt;=2,"Medium","Low")))</f>
        <v/>
      </c>
    </row>
    <row r="3646">
      <c r="R3646">
        <f>IFERROR(XLOOKUP(XLOOKUP(D3646,tblReleaseChanges[Change_ID],tblReleaseChanges[Oracle_Severity],""),tblSeverityMap[Severity_Text],tblSeverityMap[Score],0),0)</f>
        <v/>
      </c>
      <c r="T3646">
        <f>ROUND((M3646*0.25)+(N3646*0.20)+(O3646*0.15)+(P3646*0.15)+(Q3646*0.10)+(R3646*0.10)+(S3646*0.05),2)</f>
        <v/>
      </c>
      <c r="U3646">
        <f>IF(T3646&gt;=4.25,"Critical",IF(T3646&gt;=3.5,"High",IF(T3646&gt;=2,"Medium","Low")))</f>
        <v/>
      </c>
    </row>
    <row r="3647">
      <c r="R3647">
        <f>IFERROR(XLOOKUP(XLOOKUP(D3647,tblReleaseChanges[Change_ID],tblReleaseChanges[Oracle_Severity],""),tblSeverityMap[Severity_Text],tblSeverityMap[Score],0),0)</f>
        <v/>
      </c>
      <c r="T3647">
        <f>ROUND((M3647*0.25)+(N3647*0.20)+(O3647*0.15)+(P3647*0.15)+(Q3647*0.10)+(R3647*0.10)+(S3647*0.05),2)</f>
        <v/>
      </c>
      <c r="U3647">
        <f>IF(T3647&gt;=4.25,"Critical",IF(T3647&gt;=3.5,"High",IF(T3647&gt;=2,"Medium","Low")))</f>
        <v/>
      </c>
    </row>
    <row r="3648">
      <c r="R3648">
        <f>IFERROR(XLOOKUP(XLOOKUP(D3648,tblReleaseChanges[Change_ID],tblReleaseChanges[Oracle_Severity],""),tblSeverityMap[Severity_Text],tblSeverityMap[Score],0),0)</f>
        <v/>
      </c>
      <c r="T3648">
        <f>ROUND((M3648*0.25)+(N3648*0.20)+(O3648*0.15)+(P3648*0.15)+(Q3648*0.10)+(R3648*0.10)+(S3648*0.05),2)</f>
        <v/>
      </c>
      <c r="U3648">
        <f>IF(T3648&gt;=4.25,"Critical",IF(T3648&gt;=3.5,"High",IF(T3648&gt;=2,"Medium","Low")))</f>
        <v/>
      </c>
    </row>
    <row r="3649">
      <c r="R3649">
        <f>IFERROR(XLOOKUP(XLOOKUP(D3649,tblReleaseChanges[Change_ID],tblReleaseChanges[Oracle_Severity],""),tblSeverityMap[Severity_Text],tblSeverityMap[Score],0),0)</f>
        <v/>
      </c>
      <c r="T3649">
        <f>ROUND((M3649*0.25)+(N3649*0.20)+(O3649*0.15)+(P3649*0.15)+(Q3649*0.10)+(R3649*0.10)+(S3649*0.05),2)</f>
        <v/>
      </c>
      <c r="U3649">
        <f>IF(T3649&gt;=4.25,"Critical",IF(T3649&gt;=3.5,"High",IF(T3649&gt;=2,"Medium","Low")))</f>
        <v/>
      </c>
    </row>
    <row r="3650">
      <c r="R3650">
        <f>IFERROR(XLOOKUP(XLOOKUP(D3650,tblReleaseChanges[Change_ID],tblReleaseChanges[Oracle_Severity],""),tblSeverityMap[Severity_Text],tblSeverityMap[Score],0),0)</f>
        <v/>
      </c>
      <c r="T3650">
        <f>ROUND((M3650*0.25)+(N3650*0.20)+(O3650*0.15)+(P3650*0.15)+(Q3650*0.10)+(R3650*0.10)+(S3650*0.05),2)</f>
        <v/>
      </c>
      <c r="U3650">
        <f>IF(T3650&gt;=4.25,"Critical",IF(T3650&gt;=3.5,"High",IF(T3650&gt;=2,"Medium","Low")))</f>
        <v/>
      </c>
    </row>
    <row r="3651">
      <c r="R3651">
        <f>IFERROR(XLOOKUP(XLOOKUP(D3651,tblReleaseChanges[Change_ID],tblReleaseChanges[Oracle_Severity],""),tblSeverityMap[Severity_Text],tblSeverityMap[Score],0),0)</f>
        <v/>
      </c>
      <c r="T3651">
        <f>ROUND((M3651*0.25)+(N3651*0.20)+(O3651*0.15)+(P3651*0.15)+(Q3651*0.10)+(R3651*0.10)+(S3651*0.05),2)</f>
        <v/>
      </c>
      <c r="U3651">
        <f>IF(T3651&gt;=4.25,"Critical",IF(T3651&gt;=3.5,"High",IF(T3651&gt;=2,"Medium","Low")))</f>
        <v/>
      </c>
    </row>
    <row r="3652">
      <c r="R3652">
        <f>IFERROR(XLOOKUP(XLOOKUP(D3652,tblReleaseChanges[Change_ID],tblReleaseChanges[Oracle_Severity],""),tblSeverityMap[Severity_Text],tblSeverityMap[Score],0),0)</f>
        <v/>
      </c>
      <c r="T3652">
        <f>ROUND((M3652*0.25)+(N3652*0.20)+(O3652*0.15)+(P3652*0.15)+(Q3652*0.10)+(R3652*0.10)+(S3652*0.05),2)</f>
        <v/>
      </c>
      <c r="U3652">
        <f>IF(T3652&gt;=4.25,"Critical",IF(T3652&gt;=3.5,"High",IF(T3652&gt;=2,"Medium","Low")))</f>
        <v/>
      </c>
    </row>
    <row r="3653">
      <c r="R3653">
        <f>IFERROR(XLOOKUP(XLOOKUP(D3653,tblReleaseChanges[Change_ID],tblReleaseChanges[Oracle_Severity],""),tblSeverityMap[Severity_Text],tblSeverityMap[Score],0),0)</f>
        <v/>
      </c>
      <c r="T3653">
        <f>ROUND((M3653*0.25)+(N3653*0.20)+(O3653*0.15)+(P3653*0.15)+(Q3653*0.10)+(R3653*0.10)+(S3653*0.05),2)</f>
        <v/>
      </c>
      <c r="U3653">
        <f>IF(T3653&gt;=4.25,"Critical",IF(T3653&gt;=3.5,"High",IF(T3653&gt;=2,"Medium","Low")))</f>
        <v/>
      </c>
    </row>
    <row r="3654">
      <c r="R3654">
        <f>IFERROR(XLOOKUP(XLOOKUP(D3654,tblReleaseChanges[Change_ID],tblReleaseChanges[Oracle_Severity],""),tblSeverityMap[Severity_Text],tblSeverityMap[Score],0),0)</f>
        <v/>
      </c>
      <c r="T3654">
        <f>ROUND((M3654*0.25)+(N3654*0.20)+(O3654*0.15)+(P3654*0.15)+(Q3654*0.10)+(R3654*0.10)+(S3654*0.05),2)</f>
        <v/>
      </c>
      <c r="U3654">
        <f>IF(T3654&gt;=4.25,"Critical",IF(T3654&gt;=3.5,"High",IF(T3654&gt;=2,"Medium","Low")))</f>
        <v/>
      </c>
    </row>
    <row r="3655">
      <c r="R3655">
        <f>IFERROR(XLOOKUP(XLOOKUP(D3655,tblReleaseChanges[Change_ID],tblReleaseChanges[Oracle_Severity],""),tblSeverityMap[Severity_Text],tblSeverityMap[Score],0),0)</f>
        <v/>
      </c>
      <c r="T3655">
        <f>ROUND((M3655*0.25)+(N3655*0.20)+(O3655*0.15)+(P3655*0.15)+(Q3655*0.10)+(R3655*0.10)+(S3655*0.05),2)</f>
        <v/>
      </c>
      <c r="U3655">
        <f>IF(T3655&gt;=4.25,"Critical",IF(T3655&gt;=3.5,"High",IF(T3655&gt;=2,"Medium","Low")))</f>
        <v/>
      </c>
    </row>
    <row r="3656">
      <c r="R3656">
        <f>IFERROR(XLOOKUP(XLOOKUP(D3656,tblReleaseChanges[Change_ID],tblReleaseChanges[Oracle_Severity],""),tblSeverityMap[Severity_Text],tblSeverityMap[Score],0),0)</f>
        <v/>
      </c>
      <c r="T3656">
        <f>ROUND((M3656*0.25)+(N3656*0.20)+(O3656*0.15)+(P3656*0.15)+(Q3656*0.10)+(R3656*0.10)+(S3656*0.05),2)</f>
        <v/>
      </c>
      <c r="U3656">
        <f>IF(T3656&gt;=4.25,"Critical",IF(T3656&gt;=3.5,"High",IF(T3656&gt;=2,"Medium","Low")))</f>
        <v/>
      </c>
    </row>
    <row r="3657">
      <c r="R3657">
        <f>IFERROR(XLOOKUP(XLOOKUP(D3657,tblReleaseChanges[Change_ID],tblReleaseChanges[Oracle_Severity],""),tblSeverityMap[Severity_Text],tblSeverityMap[Score],0),0)</f>
        <v/>
      </c>
      <c r="T3657">
        <f>ROUND((M3657*0.25)+(N3657*0.20)+(O3657*0.15)+(P3657*0.15)+(Q3657*0.10)+(R3657*0.10)+(S3657*0.05),2)</f>
        <v/>
      </c>
      <c r="U3657">
        <f>IF(T3657&gt;=4.25,"Critical",IF(T3657&gt;=3.5,"High",IF(T3657&gt;=2,"Medium","Low")))</f>
        <v/>
      </c>
    </row>
    <row r="3658">
      <c r="R3658">
        <f>IFERROR(XLOOKUP(XLOOKUP(D3658,tblReleaseChanges[Change_ID],tblReleaseChanges[Oracle_Severity],""),tblSeverityMap[Severity_Text],tblSeverityMap[Score],0),0)</f>
        <v/>
      </c>
      <c r="T3658">
        <f>ROUND((M3658*0.25)+(N3658*0.20)+(O3658*0.15)+(P3658*0.15)+(Q3658*0.10)+(R3658*0.10)+(S3658*0.05),2)</f>
        <v/>
      </c>
      <c r="U3658">
        <f>IF(T3658&gt;=4.25,"Critical",IF(T3658&gt;=3.5,"High",IF(T3658&gt;=2,"Medium","Low")))</f>
        <v/>
      </c>
    </row>
    <row r="3659">
      <c r="R3659">
        <f>IFERROR(XLOOKUP(XLOOKUP(D3659,tblReleaseChanges[Change_ID],tblReleaseChanges[Oracle_Severity],""),tblSeverityMap[Severity_Text],tblSeverityMap[Score],0),0)</f>
        <v/>
      </c>
      <c r="T3659">
        <f>ROUND((M3659*0.25)+(N3659*0.20)+(O3659*0.15)+(P3659*0.15)+(Q3659*0.10)+(R3659*0.10)+(S3659*0.05),2)</f>
        <v/>
      </c>
      <c r="U3659">
        <f>IF(T3659&gt;=4.25,"Critical",IF(T3659&gt;=3.5,"High",IF(T3659&gt;=2,"Medium","Low")))</f>
        <v/>
      </c>
    </row>
    <row r="3660">
      <c r="R3660">
        <f>IFERROR(XLOOKUP(XLOOKUP(D3660,tblReleaseChanges[Change_ID],tblReleaseChanges[Oracle_Severity],""),tblSeverityMap[Severity_Text],tblSeverityMap[Score],0),0)</f>
        <v/>
      </c>
      <c r="T3660">
        <f>ROUND((M3660*0.25)+(N3660*0.20)+(O3660*0.15)+(P3660*0.15)+(Q3660*0.10)+(R3660*0.10)+(S3660*0.05),2)</f>
        <v/>
      </c>
      <c r="U3660">
        <f>IF(T3660&gt;=4.25,"Critical",IF(T3660&gt;=3.5,"High",IF(T3660&gt;=2,"Medium","Low")))</f>
        <v/>
      </c>
    </row>
    <row r="3661">
      <c r="R3661">
        <f>IFERROR(XLOOKUP(XLOOKUP(D3661,tblReleaseChanges[Change_ID],tblReleaseChanges[Oracle_Severity],""),tblSeverityMap[Severity_Text],tblSeverityMap[Score],0),0)</f>
        <v/>
      </c>
      <c r="T3661">
        <f>ROUND((M3661*0.25)+(N3661*0.20)+(O3661*0.15)+(P3661*0.15)+(Q3661*0.10)+(R3661*0.10)+(S3661*0.05),2)</f>
        <v/>
      </c>
      <c r="U3661">
        <f>IF(T3661&gt;=4.25,"Critical",IF(T3661&gt;=3.5,"High",IF(T3661&gt;=2,"Medium","Low")))</f>
        <v/>
      </c>
    </row>
    <row r="3662">
      <c r="R3662">
        <f>IFERROR(XLOOKUP(XLOOKUP(D3662,tblReleaseChanges[Change_ID],tblReleaseChanges[Oracle_Severity],""),tblSeverityMap[Severity_Text],tblSeverityMap[Score],0),0)</f>
        <v/>
      </c>
      <c r="T3662">
        <f>ROUND((M3662*0.25)+(N3662*0.20)+(O3662*0.15)+(P3662*0.15)+(Q3662*0.10)+(R3662*0.10)+(S3662*0.05),2)</f>
        <v/>
      </c>
      <c r="U3662">
        <f>IF(T3662&gt;=4.25,"Critical",IF(T3662&gt;=3.5,"High",IF(T3662&gt;=2,"Medium","Low")))</f>
        <v/>
      </c>
    </row>
    <row r="3663">
      <c r="R3663">
        <f>IFERROR(XLOOKUP(XLOOKUP(D3663,tblReleaseChanges[Change_ID],tblReleaseChanges[Oracle_Severity],""),tblSeverityMap[Severity_Text],tblSeverityMap[Score],0),0)</f>
        <v/>
      </c>
      <c r="T3663">
        <f>ROUND((M3663*0.25)+(N3663*0.20)+(O3663*0.15)+(P3663*0.15)+(Q3663*0.10)+(R3663*0.10)+(S3663*0.05),2)</f>
        <v/>
      </c>
      <c r="U3663">
        <f>IF(T3663&gt;=4.25,"Critical",IF(T3663&gt;=3.5,"High",IF(T3663&gt;=2,"Medium","Low")))</f>
        <v/>
      </c>
    </row>
    <row r="3664">
      <c r="R3664">
        <f>IFERROR(XLOOKUP(XLOOKUP(D3664,tblReleaseChanges[Change_ID],tblReleaseChanges[Oracle_Severity],""),tblSeverityMap[Severity_Text],tblSeverityMap[Score],0),0)</f>
        <v/>
      </c>
      <c r="T3664">
        <f>ROUND((M3664*0.25)+(N3664*0.20)+(O3664*0.15)+(P3664*0.15)+(Q3664*0.10)+(R3664*0.10)+(S3664*0.05),2)</f>
        <v/>
      </c>
      <c r="U3664">
        <f>IF(T3664&gt;=4.25,"Critical",IF(T3664&gt;=3.5,"High",IF(T3664&gt;=2,"Medium","Low")))</f>
        <v/>
      </c>
    </row>
    <row r="3665">
      <c r="R3665">
        <f>IFERROR(XLOOKUP(XLOOKUP(D3665,tblReleaseChanges[Change_ID],tblReleaseChanges[Oracle_Severity],""),tblSeverityMap[Severity_Text],tblSeverityMap[Score],0),0)</f>
        <v/>
      </c>
      <c r="T3665">
        <f>ROUND((M3665*0.25)+(N3665*0.20)+(O3665*0.15)+(P3665*0.15)+(Q3665*0.10)+(R3665*0.10)+(S3665*0.05),2)</f>
        <v/>
      </c>
      <c r="U3665">
        <f>IF(T3665&gt;=4.25,"Critical",IF(T3665&gt;=3.5,"High",IF(T3665&gt;=2,"Medium","Low")))</f>
        <v/>
      </c>
    </row>
    <row r="3666">
      <c r="R3666">
        <f>IFERROR(XLOOKUP(XLOOKUP(D3666,tblReleaseChanges[Change_ID],tblReleaseChanges[Oracle_Severity],""),tblSeverityMap[Severity_Text],tblSeverityMap[Score],0),0)</f>
        <v/>
      </c>
      <c r="T3666">
        <f>ROUND((M3666*0.25)+(N3666*0.20)+(O3666*0.15)+(P3666*0.15)+(Q3666*0.10)+(R3666*0.10)+(S3666*0.05),2)</f>
        <v/>
      </c>
      <c r="U3666">
        <f>IF(T3666&gt;=4.25,"Critical",IF(T3666&gt;=3.5,"High",IF(T3666&gt;=2,"Medium","Low")))</f>
        <v/>
      </c>
    </row>
    <row r="3667">
      <c r="R3667">
        <f>IFERROR(XLOOKUP(XLOOKUP(D3667,tblReleaseChanges[Change_ID],tblReleaseChanges[Oracle_Severity],""),tblSeverityMap[Severity_Text],tblSeverityMap[Score],0),0)</f>
        <v/>
      </c>
      <c r="T3667">
        <f>ROUND((M3667*0.25)+(N3667*0.20)+(O3667*0.15)+(P3667*0.15)+(Q3667*0.10)+(R3667*0.10)+(S3667*0.05),2)</f>
        <v/>
      </c>
      <c r="U3667">
        <f>IF(T3667&gt;=4.25,"Critical",IF(T3667&gt;=3.5,"High",IF(T3667&gt;=2,"Medium","Low")))</f>
        <v/>
      </c>
    </row>
    <row r="3668">
      <c r="R3668">
        <f>IFERROR(XLOOKUP(XLOOKUP(D3668,tblReleaseChanges[Change_ID],tblReleaseChanges[Oracle_Severity],""),tblSeverityMap[Severity_Text],tblSeverityMap[Score],0),0)</f>
        <v/>
      </c>
      <c r="T3668">
        <f>ROUND((M3668*0.25)+(N3668*0.20)+(O3668*0.15)+(P3668*0.15)+(Q3668*0.10)+(R3668*0.10)+(S3668*0.05),2)</f>
        <v/>
      </c>
      <c r="U3668">
        <f>IF(T3668&gt;=4.25,"Critical",IF(T3668&gt;=3.5,"High",IF(T3668&gt;=2,"Medium","Low")))</f>
        <v/>
      </c>
    </row>
    <row r="3669">
      <c r="R3669">
        <f>IFERROR(XLOOKUP(XLOOKUP(D3669,tblReleaseChanges[Change_ID],tblReleaseChanges[Oracle_Severity],""),tblSeverityMap[Severity_Text],tblSeverityMap[Score],0),0)</f>
        <v/>
      </c>
      <c r="T3669">
        <f>ROUND((M3669*0.25)+(N3669*0.20)+(O3669*0.15)+(P3669*0.15)+(Q3669*0.10)+(R3669*0.10)+(S3669*0.05),2)</f>
        <v/>
      </c>
      <c r="U3669">
        <f>IF(T3669&gt;=4.25,"Critical",IF(T3669&gt;=3.5,"High",IF(T3669&gt;=2,"Medium","Low")))</f>
        <v/>
      </c>
    </row>
    <row r="3670">
      <c r="R3670">
        <f>IFERROR(XLOOKUP(XLOOKUP(D3670,tblReleaseChanges[Change_ID],tblReleaseChanges[Oracle_Severity],""),tblSeverityMap[Severity_Text],tblSeverityMap[Score],0),0)</f>
        <v/>
      </c>
      <c r="T3670">
        <f>ROUND((M3670*0.25)+(N3670*0.20)+(O3670*0.15)+(P3670*0.15)+(Q3670*0.10)+(R3670*0.10)+(S3670*0.05),2)</f>
        <v/>
      </c>
      <c r="U3670">
        <f>IF(T3670&gt;=4.25,"Critical",IF(T3670&gt;=3.5,"High",IF(T3670&gt;=2,"Medium","Low")))</f>
        <v/>
      </c>
    </row>
    <row r="3671">
      <c r="R3671">
        <f>IFERROR(XLOOKUP(XLOOKUP(D3671,tblReleaseChanges[Change_ID],tblReleaseChanges[Oracle_Severity],""),tblSeverityMap[Severity_Text],tblSeverityMap[Score],0),0)</f>
        <v/>
      </c>
      <c r="T3671">
        <f>ROUND((M3671*0.25)+(N3671*0.20)+(O3671*0.15)+(P3671*0.15)+(Q3671*0.10)+(R3671*0.10)+(S3671*0.05),2)</f>
        <v/>
      </c>
      <c r="U3671">
        <f>IF(T3671&gt;=4.25,"Critical",IF(T3671&gt;=3.5,"High",IF(T3671&gt;=2,"Medium","Low")))</f>
        <v/>
      </c>
    </row>
    <row r="3672">
      <c r="R3672">
        <f>IFERROR(XLOOKUP(XLOOKUP(D3672,tblReleaseChanges[Change_ID],tblReleaseChanges[Oracle_Severity],""),tblSeverityMap[Severity_Text],tblSeverityMap[Score],0),0)</f>
        <v/>
      </c>
      <c r="T3672">
        <f>ROUND((M3672*0.25)+(N3672*0.20)+(O3672*0.15)+(P3672*0.15)+(Q3672*0.10)+(R3672*0.10)+(S3672*0.05),2)</f>
        <v/>
      </c>
      <c r="U3672">
        <f>IF(T3672&gt;=4.25,"Critical",IF(T3672&gt;=3.5,"High",IF(T3672&gt;=2,"Medium","Low")))</f>
        <v/>
      </c>
    </row>
    <row r="3673">
      <c r="R3673">
        <f>IFERROR(XLOOKUP(XLOOKUP(D3673,tblReleaseChanges[Change_ID],tblReleaseChanges[Oracle_Severity],""),tblSeverityMap[Severity_Text],tblSeverityMap[Score],0),0)</f>
        <v/>
      </c>
      <c r="T3673">
        <f>ROUND((M3673*0.25)+(N3673*0.20)+(O3673*0.15)+(P3673*0.15)+(Q3673*0.10)+(R3673*0.10)+(S3673*0.05),2)</f>
        <v/>
      </c>
      <c r="U3673">
        <f>IF(T3673&gt;=4.25,"Critical",IF(T3673&gt;=3.5,"High",IF(T3673&gt;=2,"Medium","Low")))</f>
        <v/>
      </c>
    </row>
    <row r="3674">
      <c r="R3674">
        <f>IFERROR(XLOOKUP(XLOOKUP(D3674,tblReleaseChanges[Change_ID],tblReleaseChanges[Oracle_Severity],""),tblSeverityMap[Severity_Text],tblSeverityMap[Score],0),0)</f>
        <v/>
      </c>
      <c r="T3674">
        <f>ROUND((M3674*0.25)+(N3674*0.20)+(O3674*0.15)+(P3674*0.15)+(Q3674*0.10)+(R3674*0.10)+(S3674*0.05),2)</f>
        <v/>
      </c>
      <c r="U3674">
        <f>IF(T3674&gt;=4.25,"Critical",IF(T3674&gt;=3.5,"High",IF(T3674&gt;=2,"Medium","Low")))</f>
        <v/>
      </c>
    </row>
    <row r="3675">
      <c r="R3675">
        <f>IFERROR(XLOOKUP(XLOOKUP(D3675,tblReleaseChanges[Change_ID],tblReleaseChanges[Oracle_Severity],""),tblSeverityMap[Severity_Text],tblSeverityMap[Score],0),0)</f>
        <v/>
      </c>
      <c r="T3675">
        <f>ROUND((M3675*0.25)+(N3675*0.20)+(O3675*0.15)+(P3675*0.15)+(Q3675*0.10)+(R3675*0.10)+(S3675*0.05),2)</f>
        <v/>
      </c>
      <c r="U3675">
        <f>IF(T3675&gt;=4.25,"Critical",IF(T3675&gt;=3.5,"High",IF(T3675&gt;=2,"Medium","Low")))</f>
        <v/>
      </c>
    </row>
    <row r="3676">
      <c r="R3676">
        <f>IFERROR(XLOOKUP(XLOOKUP(D3676,tblReleaseChanges[Change_ID],tblReleaseChanges[Oracle_Severity],""),tblSeverityMap[Severity_Text],tblSeverityMap[Score],0),0)</f>
        <v/>
      </c>
      <c r="T3676">
        <f>ROUND((M3676*0.25)+(N3676*0.20)+(O3676*0.15)+(P3676*0.15)+(Q3676*0.10)+(R3676*0.10)+(S3676*0.05),2)</f>
        <v/>
      </c>
      <c r="U3676">
        <f>IF(T3676&gt;=4.25,"Critical",IF(T3676&gt;=3.5,"High",IF(T3676&gt;=2,"Medium","Low")))</f>
        <v/>
      </c>
    </row>
    <row r="3677">
      <c r="R3677">
        <f>IFERROR(XLOOKUP(XLOOKUP(D3677,tblReleaseChanges[Change_ID],tblReleaseChanges[Oracle_Severity],""),tblSeverityMap[Severity_Text],tblSeverityMap[Score],0),0)</f>
        <v/>
      </c>
      <c r="T3677">
        <f>ROUND((M3677*0.25)+(N3677*0.20)+(O3677*0.15)+(P3677*0.15)+(Q3677*0.10)+(R3677*0.10)+(S3677*0.05),2)</f>
        <v/>
      </c>
      <c r="U3677">
        <f>IF(T3677&gt;=4.25,"Critical",IF(T3677&gt;=3.5,"High",IF(T3677&gt;=2,"Medium","Low")))</f>
        <v/>
      </c>
    </row>
    <row r="3678">
      <c r="R3678">
        <f>IFERROR(XLOOKUP(XLOOKUP(D3678,tblReleaseChanges[Change_ID],tblReleaseChanges[Oracle_Severity],""),tblSeverityMap[Severity_Text],tblSeverityMap[Score],0),0)</f>
        <v/>
      </c>
      <c r="T3678">
        <f>ROUND((M3678*0.25)+(N3678*0.20)+(O3678*0.15)+(P3678*0.15)+(Q3678*0.10)+(R3678*0.10)+(S3678*0.05),2)</f>
        <v/>
      </c>
      <c r="U3678">
        <f>IF(T3678&gt;=4.25,"Critical",IF(T3678&gt;=3.5,"High",IF(T3678&gt;=2,"Medium","Low")))</f>
        <v/>
      </c>
    </row>
    <row r="3679">
      <c r="R3679">
        <f>IFERROR(XLOOKUP(XLOOKUP(D3679,tblReleaseChanges[Change_ID],tblReleaseChanges[Oracle_Severity],""),tblSeverityMap[Severity_Text],tblSeverityMap[Score],0),0)</f>
        <v/>
      </c>
      <c r="T3679">
        <f>ROUND((M3679*0.25)+(N3679*0.20)+(O3679*0.15)+(P3679*0.15)+(Q3679*0.10)+(R3679*0.10)+(S3679*0.05),2)</f>
        <v/>
      </c>
      <c r="U3679">
        <f>IF(T3679&gt;=4.25,"Critical",IF(T3679&gt;=3.5,"High",IF(T3679&gt;=2,"Medium","Low")))</f>
        <v/>
      </c>
    </row>
    <row r="3680">
      <c r="R3680">
        <f>IFERROR(XLOOKUP(XLOOKUP(D3680,tblReleaseChanges[Change_ID],tblReleaseChanges[Oracle_Severity],""),tblSeverityMap[Severity_Text],tblSeverityMap[Score],0),0)</f>
        <v/>
      </c>
      <c r="T3680">
        <f>ROUND((M3680*0.25)+(N3680*0.20)+(O3680*0.15)+(P3680*0.15)+(Q3680*0.10)+(R3680*0.10)+(S3680*0.05),2)</f>
        <v/>
      </c>
      <c r="U3680">
        <f>IF(T3680&gt;=4.25,"Critical",IF(T3680&gt;=3.5,"High",IF(T3680&gt;=2,"Medium","Low")))</f>
        <v/>
      </c>
    </row>
    <row r="3681">
      <c r="R3681">
        <f>IFERROR(XLOOKUP(XLOOKUP(D3681,tblReleaseChanges[Change_ID],tblReleaseChanges[Oracle_Severity],""),tblSeverityMap[Severity_Text],tblSeverityMap[Score],0),0)</f>
        <v/>
      </c>
      <c r="T3681">
        <f>ROUND((M3681*0.25)+(N3681*0.20)+(O3681*0.15)+(P3681*0.15)+(Q3681*0.10)+(R3681*0.10)+(S3681*0.05),2)</f>
        <v/>
      </c>
      <c r="U3681">
        <f>IF(T3681&gt;=4.25,"Critical",IF(T3681&gt;=3.5,"High",IF(T3681&gt;=2,"Medium","Low")))</f>
        <v/>
      </c>
    </row>
    <row r="3682">
      <c r="R3682">
        <f>IFERROR(XLOOKUP(XLOOKUP(D3682,tblReleaseChanges[Change_ID],tblReleaseChanges[Oracle_Severity],""),tblSeverityMap[Severity_Text],tblSeverityMap[Score],0),0)</f>
        <v/>
      </c>
      <c r="T3682">
        <f>ROUND((M3682*0.25)+(N3682*0.20)+(O3682*0.15)+(P3682*0.15)+(Q3682*0.10)+(R3682*0.10)+(S3682*0.05),2)</f>
        <v/>
      </c>
      <c r="U3682">
        <f>IF(T3682&gt;=4.25,"Critical",IF(T3682&gt;=3.5,"High",IF(T3682&gt;=2,"Medium","Low")))</f>
        <v/>
      </c>
    </row>
    <row r="3683">
      <c r="R3683">
        <f>IFERROR(XLOOKUP(XLOOKUP(D3683,tblReleaseChanges[Change_ID],tblReleaseChanges[Oracle_Severity],""),tblSeverityMap[Severity_Text],tblSeverityMap[Score],0),0)</f>
        <v/>
      </c>
      <c r="T3683">
        <f>ROUND((M3683*0.25)+(N3683*0.20)+(O3683*0.15)+(P3683*0.15)+(Q3683*0.10)+(R3683*0.10)+(S3683*0.05),2)</f>
        <v/>
      </c>
      <c r="U3683">
        <f>IF(T3683&gt;=4.25,"Critical",IF(T3683&gt;=3.5,"High",IF(T3683&gt;=2,"Medium","Low")))</f>
        <v/>
      </c>
    </row>
    <row r="3684">
      <c r="R3684">
        <f>IFERROR(XLOOKUP(XLOOKUP(D3684,tblReleaseChanges[Change_ID],tblReleaseChanges[Oracle_Severity],""),tblSeverityMap[Severity_Text],tblSeverityMap[Score],0),0)</f>
        <v/>
      </c>
      <c r="T3684">
        <f>ROUND((M3684*0.25)+(N3684*0.20)+(O3684*0.15)+(P3684*0.15)+(Q3684*0.10)+(R3684*0.10)+(S3684*0.05),2)</f>
        <v/>
      </c>
      <c r="U3684">
        <f>IF(T3684&gt;=4.25,"Critical",IF(T3684&gt;=3.5,"High",IF(T3684&gt;=2,"Medium","Low")))</f>
        <v/>
      </c>
    </row>
    <row r="3685">
      <c r="R3685">
        <f>IFERROR(XLOOKUP(XLOOKUP(D3685,tblReleaseChanges[Change_ID],tblReleaseChanges[Oracle_Severity],""),tblSeverityMap[Severity_Text],tblSeverityMap[Score],0),0)</f>
        <v/>
      </c>
      <c r="T3685">
        <f>ROUND((M3685*0.25)+(N3685*0.20)+(O3685*0.15)+(P3685*0.15)+(Q3685*0.10)+(R3685*0.10)+(S3685*0.05),2)</f>
        <v/>
      </c>
      <c r="U3685">
        <f>IF(T3685&gt;=4.25,"Critical",IF(T3685&gt;=3.5,"High",IF(T3685&gt;=2,"Medium","Low")))</f>
        <v/>
      </c>
    </row>
    <row r="3686">
      <c r="R3686">
        <f>IFERROR(XLOOKUP(XLOOKUP(D3686,tblReleaseChanges[Change_ID],tblReleaseChanges[Oracle_Severity],""),tblSeverityMap[Severity_Text],tblSeverityMap[Score],0),0)</f>
        <v/>
      </c>
      <c r="T3686">
        <f>ROUND((M3686*0.25)+(N3686*0.20)+(O3686*0.15)+(P3686*0.15)+(Q3686*0.10)+(R3686*0.10)+(S3686*0.05),2)</f>
        <v/>
      </c>
      <c r="U3686">
        <f>IF(T3686&gt;=4.25,"Critical",IF(T3686&gt;=3.5,"High",IF(T3686&gt;=2,"Medium","Low")))</f>
        <v/>
      </c>
    </row>
    <row r="3687">
      <c r="R3687">
        <f>IFERROR(XLOOKUP(XLOOKUP(D3687,tblReleaseChanges[Change_ID],tblReleaseChanges[Oracle_Severity],""),tblSeverityMap[Severity_Text],tblSeverityMap[Score],0),0)</f>
        <v/>
      </c>
      <c r="T3687">
        <f>ROUND((M3687*0.25)+(N3687*0.20)+(O3687*0.15)+(P3687*0.15)+(Q3687*0.10)+(R3687*0.10)+(S3687*0.05),2)</f>
        <v/>
      </c>
      <c r="U3687">
        <f>IF(T3687&gt;=4.25,"Critical",IF(T3687&gt;=3.5,"High",IF(T3687&gt;=2,"Medium","Low")))</f>
        <v/>
      </c>
    </row>
    <row r="3688">
      <c r="R3688">
        <f>IFERROR(XLOOKUP(XLOOKUP(D3688,tblReleaseChanges[Change_ID],tblReleaseChanges[Oracle_Severity],""),tblSeverityMap[Severity_Text],tblSeverityMap[Score],0),0)</f>
        <v/>
      </c>
      <c r="T3688">
        <f>ROUND((M3688*0.25)+(N3688*0.20)+(O3688*0.15)+(P3688*0.15)+(Q3688*0.10)+(R3688*0.10)+(S3688*0.05),2)</f>
        <v/>
      </c>
      <c r="U3688">
        <f>IF(T3688&gt;=4.25,"Critical",IF(T3688&gt;=3.5,"High",IF(T3688&gt;=2,"Medium","Low")))</f>
        <v/>
      </c>
    </row>
    <row r="3689">
      <c r="R3689">
        <f>IFERROR(XLOOKUP(XLOOKUP(D3689,tblReleaseChanges[Change_ID],tblReleaseChanges[Oracle_Severity],""),tblSeverityMap[Severity_Text],tblSeverityMap[Score],0),0)</f>
        <v/>
      </c>
      <c r="T3689">
        <f>ROUND((M3689*0.25)+(N3689*0.20)+(O3689*0.15)+(P3689*0.15)+(Q3689*0.10)+(R3689*0.10)+(S3689*0.05),2)</f>
        <v/>
      </c>
      <c r="U3689">
        <f>IF(T3689&gt;=4.25,"Critical",IF(T3689&gt;=3.5,"High",IF(T3689&gt;=2,"Medium","Low")))</f>
        <v/>
      </c>
    </row>
    <row r="3690">
      <c r="R3690">
        <f>IFERROR(XLOOKUP(XLOOKUP(D3690,tblReleaseChanges[Change_ID],tblReleaseChanges[Oracle_Severity],""),tblSeverityMap[Severity_Text],tblSeverityMap[Score],0),0)</f>
        <v/>
      </c>
      <c r="T3690">
        <f>ROUND((M3690*0.25)+(N3690*0.20)+(O3690*0.15)+(P3690*0.15)+(Q3690*0.10)+(R3690*0.10)+(S3690*0.05),2)</f>
        <v/>
      </c>
      <c r="U3690">
        <f>IF(T3690&gt;=4.25,"Critical",IF(T3690&gt;=3.5,"High",IF(T3690&gt;=2,"Medium","Low")))</f>
        <v/>
      </c>
    </row>
    <row r="3691">
      <c r="R3691">
        <f>IFERROR(XLOOKUP(XLOOKUP(D3691,tblReleaseChanges[Change_ID],tblReleaseChanges[Oracle_Severity],""),tblSeverityMap[Severity_Text],tblSeverityMap[Score],0),0)</f>
        <v/>
      </c>
      <c r="T3691">
        <f>ROUND((M3691*0.25)+(N3691*0.20)+(O3691*0.15)+(P3691*0.15)+(Q3691*0.10)+(R3691*0.10)+(S3691*0.05),2)</f>
        <v/>
      </c>
      <c r="U3691">
        <f>IF(T3691&gt;=4.25,"Critical",IF(T3691&gt;=3.5,"High",IF(T3691&gt;=2,"Medium","Low")))</f>
        <v/>
      </c>
    </row>
    <row r="3692">
      <c r="R3692">
        <f>IFERROR(XLOOKUP(XLOOKUP(D3692,tblReleaseChanges[Change_ID],tblReleaseChanges[Oracle_Severity],""),tblSeverityMap[Severity_Text],tblSeverityMap[Score],0),0)</f>
        <v/>
      </c>
      <c r="T3692">
        <f>ROUND((M3692*0.25)+(N3692*0.20)+(O3692*0.15)+(P3692*0.15)+(Q3692*0.10)+(R3692*0.10)+(S3692*0.05),2)</f>
        <v/>
      </c>
      <c r="U3692">
        <f>IF(T3692&gt;=4.25,"Critical",IF(T3692&gt;=3.5,"High",IF(T3692&gt;=2,"Medium","Low")))</f>
        <v/>
      </c>
    </row>
    <row r="3693">
      <c r="R3693">
        <f>IFERROR(XLOOKUP(XLOOKUP(D3693,tblReleaseChanges[Change_ID],tblReleaseChanges[Oracle_Severity],""),tblSeverityMap[Severity_Text],tblSeverityMap[Score],0),0)</f>
        <v/>
      </c>
      <c r="T3693">
        <f>ROUND((M3693*0.25)+(N3693*0.20)+(O3693*0.15)+(P3693*0.15)+(Q3693*0.10)+(R3693*0.10)+(S3693*0.05),2)</f>
        <v/>
      </c>
      <c r="U3693">
        <f>IF(T3693&gt;=4.25,"Critical",IF(T3693&gt;=3.5,"High",IF(T3693&gt;=2,"Medium","Low")))</f>
        <v/>
      </c>
    </row>
    <row r="3694">
      <c r="R3694">
        <f>IFERROR(XLOOKUP(XLOOKUP(D3694,tblReleaseChanges[Change_ID],tblReleaseChanges[Oracle_Severity],""),tblSeverityMap[Severity_Text],tblSeverityMap[Score],0),0)</f>
        <v/>
      </c>
      <c r="T3694">
        <f>ROUND((M3694*0.25)+(N3694*0.20)+(O3694*0.15)+(P3694*0.15)+(Q3694*0.10)+(R3694*0.10)+(S3694*0.05),2)</f>
        <v/>
      </c>
      <c r="U3694">
        <f>IF(T3694&gt;=4.25,"Critical",IF(T3694&gt;=3.5,"High",IF(T3694&gt;=2,"Medium","Low")))</f>
        <v/>
      </c>
    </row>
    <row r="3695">
      <c r="R3695">
        <f>IFERROR(XLOOKUP(XLOOKUP(D3695,tblReleaseChanges[Change_ID],tblReleaseChanges[Oracle_Severity],""),tblSeverityMap[Severity_Text],tblSeverityMap[Score],0),0)</f>
        <v/>
      </c>
      <c r="T3695">
        <f>ROUND((M3695*0.25)+(N3695*0.20)+(O3695*0.15)+(P3695*0.15)+(Q3695*0.10)+(R3695*0.10)+(S3695*0.05),2)</f>
        <v/>
      </c>
      <c r="U3695">
        <f>IF(T3695&gt;=4.25,"Critical",IF(T3695&gt;=3.5,"High",IF(T3695&gt;=2,"Medium","Low")))</f>
        <v/>
      </c>
    </row>
    <row r="3696">
      <c r="R3696">
        <f>IFERROR(XLOOKUP(XLOOKUP(D3696,tblReleaseChanges[Change_ID],tblReleaseChanges[Oracle_Severity],""),tblSeverityMap[Severity_Text],tblSeverityMap[Score],0),0)</f>
        <v/>
      </c>
      <c r="T3696">
        <f>ROUND((M3696*0.25)+(N3696*0.20)+(O3696*0.15)+(P3696*0.15)+(Q3696*0.10)+(R3696*0.10)+(S3696*0.05),2)</f>
        <v/>
      </c>
      <c r="U3696">
        <f>IF(T3696&gt;=4.25,"Critical",IF(T3696&gt;=3.5,"High",IF(T3696&gt;=2,"Medium","Low")))</f>
        <v/>
      </c>
    </row>
    <row r="3697">
      <c r="R3697">
        <f>IFERROR(XLOOKUP(XLOOKUP(D3697,tblReleaseChanges[Change_ID],tblReleaseChanges[Oracle_Severity],""),tblSeverityMap[Severity_Text],tblSeverityMap[Score],0),0)</f>
        <v/>
      </c>
      <c r="T3697">
        <f>ROUND((M3697*0.25)+(N3697*0.20)+(O3697*0.15)+(P3697*0.15)+(Q3697*0.10)+(R3697*0.10)+(S3697*0.05),2)</f>
        <v/>
      </c>
      <c r="U3697">
        <f>IF(T3697&gt;=4.25,"Critical",IF(T3697&gt;=3.5,"High",IF(T3697&gt;=2,"Medium","Low")))</f>
        <v/>
      </c>
    </row>
    <row r="3698">
      <c r="R3698">
        <f>IFERROR(XLOOKUP(XLOOKUP(D3698,tblReleaseChanges[Change_ID],tblReleaseChanges[Oracle_Severity],""),tblSeverityMap[Severity_Text],tblSeverityMap[Score],0),0)</f>
        <v/>
      </c>
      <c r="T3698">
        <f>ROUND((M3698*0.25)+(N3698*0.20)+(O3698*0.15)+(P3698*0.15)+(Q3698*0.10)+(R3698*0.10)+(S3698*0.05),2)</f>
        <v/>
      </c>
      <c r="U3698">
        <f>IF(T3698&gt;=4.25,"Critical",IF(T3698&gt;=3.5,"High",IF(T3698&gt;=2,"Medium","Low")))</f>
        <v/>
      </c>
    </row>
    <row r="3699">
      <c r="R3699">
        <f>IFERROR(XLOOKUP(XLOOKUP(D3699,tblReleaseChanges[Change_ID],tblReleaseChanges[Oracle_Severity],""),tblSeverityMap[Severity_Text],tblSeverityMap[Score],0),0)</f>
        <v/>
      </c>
      <c r="T3699">
        <f>ROUND((M3699*0.25)+(N3699*0.20)+(O3699*0.15)+(P3699*0.15)+(Q3699*0.10)+(R3699*0.10)+(S3699*0.05),2)</f>
        <v/>
      </c>
      <c r="U3699">
        <f>IF(T3699&gt;=4.25,"Critical",IF(T3699&gt;=3.5,"High",IF(T3699&gt;=2,"Medium","Low")))</f>
        <v/>
      </c>
    </row>
    <row r="3700">
      <c r="R3700">
        <f>IFERROR(XLOOKUP(XLOOKUP(D3700,tblReleaseChanges[Change_ID],tblReleaseChanges[Oracle_Severity],""),tblSeverityMap[Severity_Text],tblSeverityMap[Score],0),0)</f>
        <v/>
      </c>
      <c r="T3700">
        <f>ROUND((M3700*0.25)+(N3700*0.20)+(O3700*0.15)+(P3700*0.15)+(Q3700*0.10)+(R3700*0.10)+(S3700*0.05),2)</f>
        <v/>
      </c>
      <c r="U3700">
        <f>IF(T3700&gt;=4.25,"Critical",IF(T3700&gt;=3.5,"High",IF(T3700&gt;=2,"Medium","Low")))</f>
        <v/>
      </c>
    </row>
    <row r="3701">
      <c r="R3701">
        <f>IFERROR(XLOOKUP(XLOOKUP(D3701,tblReleaseChanges[Change_ID],tblReleaseChanges[Oracle_Severity],""),tblSeverityMap[Severity_Text],tblSeverityMap[Score],0),0)</f>
        <v/>
      </c>
      <c r="T3701">
        <f>ROUND((M3701*0.25)+(N3701*0.20)+(O3701*0.15)+(P3701*0.15)+(Q3701*0.10)+(R3701*0.10)+(S3701*0.05),2)</f>
        <v/>
      </c>
      <c r="U3701">
        <f>IF(T3701&gt;=4.25,"Critical",IF(T3701&gt;=3.5,"High",IF(T3701&gt;=2,"Medium","Low")))</f>
        <v/>
      </c>
    </row>
    <row r="3702">
      <c r="R3702">
        <f>IFERROR(XLOOKUP(XLOOKUP(D3702,tblReleaseChanges[Change_ID],tblReleaseChanges[Oracle_Severity],""),tblSeverityMap[Severity_Text],tblSeverityMap[Score],0),0)</f>
        <v/>
      </c>
      <c r="T3702">
        <f>ROUND((M3702*0.25)+(N3702*0.20)+(O3702*0.15)+(P3702*0.15)+(Q3702*0.10)+(R3702*0.10)+(S3702*0.05),2)</f>
        <v/>
      </c>
      <c r="U3702">
        <f>IF(T3702&gt;=4.25,"Critical",IF(T3702&gt;=3.5,"High",IF(T3702&gt;=2,"Medium","Low")))</f>
        <v/>
      </c>
    </row>
    <row r="3703">
      <c r="R3703">
        <f>IFERROR(XLOOKUP(XLOOKUP(D3703,tblReleaseChanges[Change_ID],tblReleaseChanges[Oracle_Severity],""),tblSeverityMap[Severity_Text],tblSeverityMap[Score],0),0)</f>
        <v/>
      </c>
      <c r="T3703">
        <f>ROUND((M3703*0.25)+(N3703*0.20)+(O3703*0.15)+(P3703*0.15)+(Q3703*0.10)+(R3703*0.10)+(S3703*0.05),2)</f>
        <v/>
      </c>
      <c r="U3703">
        <f>IF(T3703&gt;=4.25,"Critical",IF(T3703&gt;=3.5,"High",IF(T3703&gt;=2,"Medium","Low")))</f>
        <v/>
      </c>
    </row>
    <row r="3704">
      <c r="R3704">
        <f>IFERROR(XLOOKUP(XLOOKUP(D3704,tblReleaseChanges[Change_ID],tblReleaseChanges[Oracle_Severity],""),tblSeverityMap[Severity_Text],tblSeverityMap[Score],0),0)</f>
        <v/>
      </c>
      <c r="T3704">
        <f>ROUND((M3704*0.25)+(N3704*0.20)+(O3704*0.15)+(P3704*0.15)+(Q3704*0.10)+(R3704*0.10)+(S3704*0.05),2)</f>
        <v/>
      </c>
      <c r="U3704">
        <f>IF(T3704&gt;=4.25,"Critical",IF(T3704&gt;=3.5,"High",IF(T3704&gt;=2,"Medium","Low")))</f>
        <v/>
      </c>
    </row>
    <row r="3705">
      <c r="R3705">
        <f>IFERROR(XLOOKUP(XLOOKUP(D3705,tblReleaseChanges[Change_ID],tblReleaseChanges[Oracle_Severity],""),tblSeverityMap[Severity_Text],tblSeverityMap[Score],0),0)</f>
        <v/>
      </c>
      <c r="T3705">
        <f>ROUND((M3705*0.25)+(N3705*0.20)+(O3705*0.15)+(P3705*0.15)+(Q3705*0.10)+(R3705*0.10)+(S3705*0.05),2)</f>
        <v/>
      </c>
      <c r="U3705">
        <f>IF(T3705&gt;=4.25,"Critical",IF(T3705&gt;=3.5,"High",IF(T3705&gt;=2,"Medium","Low")))</f>
        <v/>
      </c>
    </row>
    <row r="3706">
      <c r="R3706">
        <f>IFERROR(XLOOKUP(XLOOKUP(D3706,tblReleaseChanges[Change_ID],tblReleaseChanges[Oracle_Severity],""),tblSeverityMap[Severity_Text],tblSeverityMap[Score],0),0)</f>
        <v/>
      </c>
      <c r="T3706">
        <f>ROUND((M3706*0.25)+(N3706*0.20)+(O3706*0.15)+(P3706*0.15)+(Q3706*0.10)+(R3706*0.10)+(S3706*0.05),2)</f>
        <v/>
      </c>
      <c r="U3706">
        <f>IF(T3706&gt;=4.25,"Critical",IF(T3706&gt;=3.5,"High",IF(T3706&gt;=2,"Medium","Low")))</f>
        <v/>
      </c>
    </row>
    <row r="3707">
      <c r="R3707">
        <f>IFERROR(XLOOKUP(XLOOKUP(D3707,tblReleaseChanges[Change_ID],tblReleaseChanges[Oracle_Severity],""),tblSeverityMap[Severity_Text],tblSeverityMap[Score],0),0)</f>
        <v/>
      </c>
      <c r="T3707">
        <f>ROUND((M3707*0.25)+(N3707*0.20)+(O3707*0.15)+(P3707*0.15)+(Q3707*0.10)+(R3707*0.10)+(S3707*0.05),2)</f>
        <v/>
      </c>
      <c r="U3707">
        <f>IF(T3707&gt;=4.25,"Critical",IF(T3707&gt;=3.5,"High",IF(T3707&gt;=2,"Medium","Low")))</f>
        <v/>
      </c>
    </row>
    <row r="3708">
      <c r="R3708">
        <f>IFERROR(XLOOKUP(XLOOKUP(D3708,tblReleaseChanges[Change_ID],tblReleaseChanges[Oracle_Severity],""),tblSeverityMap[Severity_Text],tblSeverityMap[Score],0),0)</f>
        <v/>
      </c>
      <c r="T3708">
        <f>ROUND((M3708*0.25)+(N3708*0.20)+(O3708*0.15)+(P3708*0.15)+(Q3708*0.10)+(R3708*0.10)+(S3708*0.05),2)</f>
        <v/>
      </c>
      <c r="U3708">
        <f>IF(T3708&gt;=4.25,"Critical",IF(T3708&gt;=3.5,"High",IF(T3708&gt;=2,"Medium","Low")))</f>
        <v/>
      </c>
    </row>
    <row r="3709">
      <c r="R3709">
        <f>IFERROR(XLOOKUP(XLOOKUP(D3709,tblReleaseChanges[Change_ID],tblReleaseChanges[Oracle_Severity],""),tblSeverityMap[Severity_Text],tblSeverityMap[Score],0),0)</f>
        <v/>
      </c>
      <c r="T3709">
        <f>ROUND((M3709*0.25)+(N3709*0.20)+(O3709*0.15)+(P3709*0.15)+(Q3709*0.10)+(R3709*0.10)+(S3709*0.05),2)</f>
        <v/>
      </c>
      <c r="U3709">
        <f>IF(T3709&gt;=4.25,"Critical",IF(T3709&gt;=3.5,"High",IF(T3709&gt;=2,"Medium","Low")))</f>
        <v/>
      </c>
    </row>
    <row r="3710">
      <c r="R3710">
        <f>IFERROR(XLOOKUP(XLOOKUP(D3710,tblReleaseChanges[Change_ID],tblReleaseChanges[Oracle_Severity],""),tblSeverityMap[Severity_Text],tblSeverityMap[Score],0),0)</f>
        <v/>
      </c>
      <c r="T3710">
        <f>ROUND((M3710*0.25)+(N3710*0.20)+(O3710*0.15)+(P3710*0.15)+(Q3710*0.10)+(R3710*0.10)+(S3710*0.05),2)</f>
        <v/>
      </c>
      <c r="U3710">
        <f>IF(T3710&gt;=4.25,"Critical",IF(T3710&gt;=3.5,"High",IF(T3710&gt;=2,"Medium","Low")))</f>
        <v/>
      </c>
    </row>
    <row r="3711">
      <c r="R3711">
        <f>IFERROR(XLOOKUP(XLOOKUP(D3711,tblReleaseChanges[Change_ID],tblReleaseChanges[Oracle_Severity],""),tblSeverityMap[Severity_Text],tblSeverityMap[Score],0),0)</f>
        <v/>
      </c>
      <c r="T3711">
        <f>ROUND((M3711*0.25)+(N3711*0.20)+(O3711*0.15)+(P3711*0.15)+(Q3711*0.10)+(R3711*0.10)+(S3711*0.05),2)</f>
        <v/>
      </c>
      <c r="U3711">
        <f>IF(T3711&gt;=4.25,"Critical",IF(T3711&gt;=3.5,"High",IF(T3711&gt;=2,"Medium","Low")))</f>
        <v/>
      </c>
    </row>
    <row r="3712">
      <c r="R3712">
        <f>IFERROR(XLOOKUP(XLOOKUP(D3712,tblReleaseChanges[Change_ID],tblReleaseChanges[Oracle_Severity],""),tblSeverityMap[Severity_Text],tblSeverityMap[Score],0),0)</f>
        <v/>
      </c>
      <c r="T3712">
        <f>ROUND((M3712*0.25)+(N3712*0.20)+(O3712*0.15)+(P3712*0.15)+(Q3712*0.10)+(R3712*0.10)+(S3712*0.05),2)</f>
        <v/>
      </c>
      <c r="U3712">
        <f>IF(T3712&gt;=4.25,"Critical",IF(T3712&gt;=3.5,"High",IF(T3712&gt;=2,"Medium","Low")))</f>
        <v/>
      </c>
    </row>
    <row r="3713">
      <c r="R3713">
        <f>IFERROR(XLOOKUP(XLOOKUP(D3713,tblReleaseChanges[Change_ID],tblReleaseChanges[Oracle_Severity],""),tblSeverityMap[Severity_Text],tblSeverityMap[Score],0),0)</f>
        <v/>
      </c>
      <c r="T3713">
        <f>ROUND((M3713*0.25)+(N3713*0.20)+(O3713*0.15)+(P3713*0.15)+(Q3713*0.10)+(R3713*0.10)+(S3713*0.05),2)</f>
        <v/>
      </c>
      <c r="U3713">
        <f>IF(T3713&gt;=4.25,"Critical",IF(T3713&gt;=3.5,"High",IF(T3713&gt;=2,"Medium","Low")))</f>
        <v/>
      </c>
    </row>
    <row r="3714">
      <c r="R3714">
        <f>IFERROR(XLOOKUP(XLOOKUP(D3714,tblReleaseChanges[Change_ID],tblReleaseChanges[Oracle_Severity],""),tblSeverityMap[Severity_Text],tblSeverityMap[Score],0),0)</f>
        <v/>
      </c>
      <c r="T3714">
        <f>ROUND((M3714*0.25)+(N3714*0.20)+(O3714*0.15)+(P3714*0.15)+(Q3714*0.10)+(R3714*0.10)+(S3714*0.05),2)</f>
        <v/>
      </c>
      <c r="U3714">
        <f>IF(T3714&gt;=4.25,"Critical",IF(T3714&gt;=3.5,"High",IF(T3714&gt;=2,"Medium","Low")))</f>
        <v/>
      </c>
    </row>
    <row r="3715">
      <c r="R3715">
        <f>IFERROR(XLOOKUP(XLOOKUP(D3715,tblReleaseChanges[Change_ID],tblReleaseChanges[Oracle_Severity],""),tblSeverityMap[Severity_Text],tblSeverityMap[Score],0),0)</f>
        <v/>
      </c>
      <c r="T3715">
        <f>ROUND((M3715*0.25)+(N3715*0.20)+(O3715*0.15)+(P3715*0.15)+(Q3715*0.10)+(R3715*0.10)+(S3715*0.05),2)</f>
        <v/>
      </c>
      <c r="U3715">
        <f>IF(T3715&gt;=4.25,"Critical",IF(T3715&gt;=3.5,"High",IF(T3715&gt;=2,"Medium","Low")))</f>
        <v/>
      </c>
    </row>
    <row r="3716">
      <c r="R3716">
        <f>IFERROR(XLOOKUP(XLOOKUP(D3716,tblReleaseChanges[Change_ID],tblReleaseChanges[Oracle_Severity],""),tblSeverityMap[Severity_Text],tblSeverityMap[Score],0),0)</f>
        <v/>
      </c>
      <c r="T3716">
        <f>ROUND((M3716*0.25)+(N3716*0.20)+(O3716*0.15)+(P3716*0.15)+(Q3716*0.10)+(R3716*0.10)+(S3716*0.05),2)</f>
        <v/>
      </c>
      <c r="U3716">
        <f>IF(T3716&gt;=4.25,"Critical",IF(T3716&gt;=3.5,"High",IF(T3716&gt;=2,"Medium","Low")))</f>
        <v/>
      </c>
    </row>
    <row r="3717">
      <c r="R3717">
        <f>IFERROR(XLOOKUP(XLOOKUP(D3717,tblReleaseChanges[Change_ID],tblReleaseChanges[Oracle_Severity],""),tblSeverityMap[Severity_Text],tblSeverityMap[Score],0),0)</f>
        <v/>
      </c>
      <c r="T3717">
        <f>ROUND((M3717*0.25)+(N3717*0.20)+(O3717*0.15)+(P3717*0.15)+(Q3717*0.10)+(R3717*0.10)+(S3717*0.05),2)</f>
        <v/>
      </c>
      <c r="U3717">
        <f>IF(T3717&gt;=4.25,"Critical",IF(T3717&gt;=3.5,"High",IF(T3717&gt;=2,"Medium","Low")))</f>
        <v/>
      </c>
    </row>
    <row r="3718">
      <c r="R3718">
        <f>IFERROR(XLOOKUP(XLOOKUP(D3718,tblReleaseChanges[Change_ID],tblReleaseChanges[Oracle_Severity],""),tblSeverityMap[Severity_Text],tblSeverityMap[Score],0),0)</f>
        <v/>
      </c>
      <c r="T3718">
        <f>ROUND((M3718*0.25)+(N3718*0.20)+(O3718*0.15)+(P3718*0.15)+(Q3718*0.10)+(R3718*0.10)+(S3718*0.05),2)</f>
        <v/>
      </c>
      <c r="U3718">
        <f>IF(T3718&gt;=4.25,"Critical",IF(T3718&gt;=3.5,"High",IF(T3718&gt;=2,"Medium","Low")))</f>
        <v/>
      </c>
    </row>
    <row r="3719">
      <c r="R3719">
        <f>IFERROR(XLOOKUP(XLOOKUP(D3719,tblReleaseChanges[Change_ID],tblReleaseChanges[Oracle_Severity],""),tblSeverityMap[Severity_Text],tblSeverityMap[Score],0),0)</f>
        <v/>
      </c>
      <c r="T3719">
        <f>ROUND((M3719*0.25)+(N3719*0.20)+(O3719*0.15)+(P3719*0.15)+(Q3719*0.10)+(R3719*0.10)+(S3719*0.05),2)</f>
        <v/>
      </c>
      <c r="U3719">
        <f>IF(T3719&gt;=4.25,"Critical",IF(T3719&gt;=3.5,"High",IF(T3719&gt;=2,"Medium","Low")))</f>
        <v/>
      </c>
    </row>
    <row r="3720">
      <c r="R3720">
        <f>IFERROR(XLOOKUP(XLOOKUP(D3720,tblReleaseChanges[Change_ID],tblReleaseChanges[Oracle_Severity],""),tblSeverityMap[Severity_Text],tblSeverityMap[Score],0),0)</f>
        <v/>
      </c>
      <c r="T3720">
        <f>ROUND((M3720*0.25)+(N3720*0.20)+(O3720*0.15)+(P3720*0.15)+(Q3720*0.10)+(R3720*0.10)+(S3720*0.05),2)</f>
        <v/>
      </c>
      <c r="U3720">
        <f>IF(T3720&gt;=4.25,"Critical",IF(T3720&gt;=3.5,"High",IF(T3720&gt;=2,"Medium","Low")))</f>
        <v/>
      </c>
    </row>
    <row r="3721">
      <c r="R3721">
        <f>IFERROR(XLOOKUP(XLOOKUP(D3721,tblReleaseChanges[Change_ID],tblReleaseChanges[Oracle_Severity],""),tblSeverityMap[Severity_Text],tblSeverityMap[Score],0),0)</f>
        <v/>
      </c>
      <c r="T3721">
        <f>ROUND((M3721*0.25)+(N3721*0.20)+(O3721*0.15)+(P3721*0.15)+(Q3721*0.10)+(R3721*0.10)+(S3721*0.05),2)</f>
        <v/>
      </c>
      <c r="U3721">
        <f>IF(T3721&gt;=4.25,"Critical",IF(T3721&gt;=3.5,"High",IF(T3721&gt;=2,"Medium","Low")))</f>
        <v/>
      </c>
    </row>
    <row r="3722">
      <c r="R3722">
        <f>IFERROR(XLOOKUP(XLOOKUP(D3722,tblReleaseChanges[Change_ID],tblReleaseChanges[Oracle_Severity],""),tblSeverityMap[Severity_Text],tblSeverityMap[Score],0),0)</f>
        <v/>
      </c>
      <c r="T3722">
        <f>ROUND((M3722*0.25)+(N3722*0.20)+(O3722*0.15)+(P3722*0.15)+(Q3722*0.10)+(R3722*0.10)+(S3722*0.05),2)</f>
        <v/>
      </c>
      <c r="U3722">
        <f>IF(T3722&gt;=4.25,"Critical",IF(T3722&gt;=3.5,"High",IF(T3722&gt;=2,"Medium","Low")))</f>
        <v/>
      </c>
    </row>
    <row r="3723">
      <c r="R3723">
        <f>IFERROR(XLOOKUP(XLOOKUP(D3723,tblReleaseChanges[Change_ID],tblReleaseChanges[Oracle_Severity],""),tblSeverityMap[Severity_Text],tblSeverityMap[Score],0),0)</f>
        <v/>
      </c>
      <c r="T3723">
        <f>ROUND((M3723*0.25)+(N3723*0.20)+(O3723*0.15)+(P3723*0.15)+(Q3723*0.10)+(R3723*0.10)+(S3723*0.05),2)</f>
        <v/>
      </c>
      <c r="U3723">
        <f>IF(T3723&gt;=4.25,"Critical",IF(T3723&gt;=3.5,"High",IF(T3723&gt;=2,"Medium","Low")))</f>
        <v/>
      </c>
    </row>
    <row r="3724">
      <c r="R3724">
        <f>IFERROR(XLOOKUP(XLOOKUP(D3724,tblReleaseChanges[Change_ID],tblReleaseChanges[Oracle_Severity],""),tblSeverityMap[Severity_Text],tblSeverityMap[Score],0),0)</f>
        <v/>
      </c>
      <c r="T3724">
        <f>ROUND((M3724*0.25)+(N3724*0.20)+(O3724*0.15)+(P3724*0.15)+(Q3724*0.10)+(R3724*0.10)+(S3724*0.05),2)</f>
        <v/>
      </c>
      <c r="U3724">
        <f>IF(T3724&gt;=4.25,"Critical",IF(T3724&gt;=3.5,"High",IF(T3724&gt;=2,"Medium","Low")))</f>
        <v/>
      </c>
    </row>
    <row r="3725">
      <c r="R3725">
        <f>IFERROR(XLOOKUP(XLOOKUP(D3725,tblReleaseChanges[Change_ID],tblReleaseChanges[Oracle_Severity],""),tblSeverityMap[Severity_Text],tblSeverityMap[Score],0),0)</f>
        <v/>
      </c>
      <c r="T3725">
        <f>ROUND((M3725*0.25)+(N3725*0.20)+(O3725*0.15)+(P3725*0.15)+(Q3725*0.10)+(R3725*0.10)+(S3725*0.05),2)</f>
        <v/>
      </c>
      <c r="U3725">
        <f>IF(T3725&gt;=4.25,"Critical",IF(T3725&gt;=3.5,"High",IF(T3725&gt;=2,"Medium","Low")))</f>
        <v/>
      </c>
    </row>
    <row r="3726">
      <c r="R3726">
        <f>IFERROR(XLOOKUP(XLOOKUP(D3726,tblReleaseChanges[Change_ID],tblReleaseChanges[Oracle_Severity],""),tblSeverityMap[Severity_Text],tblSeverityMap[Score],0),0)</f>
        <v/>
      </c>
      <c r="T3726">
        <f>ROUND((M3726*0.25)+(N3726*0.20)+(O3726*0.15)+(P3726*0.15)+(Q3726*0.10)+(R3726*0.10)+(S3726*0.05),2)</f>
        <v/>
      </c>
      <c r="U3726">
        <f>IF(T3726&gt;=4.25,"Critical",IF(T3726&gt;=3.5,"High",IF(T3726&gt;=2,"Medium","Low")))</f>
        <v/>
      </c>
    </row>
    <row r="3727">
      <c r="R3727">
        <f>IFERROR(XLOOKUP(XLOOKUP(D3727,tblReleaseChanges[Change_ID],tblReleaseChanges[Oracle_Severity],""),tblSeverityMap[Severity_Text],tblSeverityMap[Score],0),0)</f>
        <v/>
      </c>
      <c r="T3727">
        <f>ROUND((M3727*0.25)+(N3727*0.20)+(O3727*0.15)+(P3727*0.15)+(Q3727*0.10)+(R3727*0.10)+(S3727*0.05),2)</f>
        <v/>
      </c>
      <c r="U3727">
        <f>IF(T3727&gt;=4.25,"Critical",IF(T3727&gt;=3.5,"High",IF(T3727&gt;=2,"Medium","Low")))</f>
        <v/>
      </c>
    </row>
    <row r="3728">
      <c r="R3728">
        <f>IFERROR(XLOOKUP(XLOOKUP(D3728,tblReleaseChanges[Change_ID],tblReleaseChanges[Oracle_Severity],""),tblSeverityMap[Severity_Text],tblSeverityMap[Score],0),0)</f>
        <v/>
      </c>
      <c r="T3728">
        <f>ROUND((M3728*0.25)+(N3728*0.20)+(O3728*0.15)+(P3728*0.15)+(Q3728*0.10)+(R3728*0.10)+(S3728*0.05),2)</f>
        <v/>
      </c>
      <c r="U3728">
        <f>IF(T3728&gt;=4.25,"Critical",IF(T3728&gt;=3.5,"High",IF(T3728&gt;=2,"Medium","Low")))</f>
        <v/>
      </c>
    </row>
    <row r="3729">
      <c r="R3729">
        <f>IFERROR(XLOOKUP(XLOOKUP(D3729,tblReleaseChanges[Change_ID],tblReleaseChanges[Oracle_Severity],""),tblSeverityMap[Severity_Text],tblSeverityMap[Score],0),0)</f>
        <v/>
      </c>
      <c r="T3729">
        <f>ROUND((M3729*0.25)+(N3729*0.20)+(O3729*0.15)+(P3729*0.15)+(Q3729*0.10)+(R3729*0.10)+(S3729*0.05),2)</f>
        <v/>
      </c>
      <c r="U3729">
        <f>IF(T3729&gt;=4.25,"Critical",IF(T3729&gt;=3.5,"High",IF(T3729&gt;=2,"Medium","Low")))</f>
        <v/>
      </c>
    </row>
    <row r="3730">
      <c r="R3730">
        <f>IFERROR(XLOOKUP(XLOOKUP(D3730,tblReleaseChanges[Change_ID],tblReleaseChanges[Oracle_Severity],""),tblSeverityMap[Severity_Text],tblSeverityMap[Score],0),0)</f>
        <v/>
      </c>
      <c r="T3730">
        <f>ROUND((M3730*0.25)+(N3730*0.20)+(O3730*0.15)+(P3730*0.15)+(Q3730*0.10)+(R3730*0.10)+(S3730*0.05),2)</f>
        <v/>
      </c>
      <c r="U3730">
        <f>IF(T3730&gt;=4.25,"Critical",IF(T3730&gt;=3.5,"High",IF(T3730&gt;=2,"Medium","Low")))</f>
        <v/>
      </c>
    </row>
    <row r="3731">
      <c r="R3731">
        <f>IFERROR(XLOOKUP(XLOOKUP(D3731,tblReleaseChanges[Change_ID],tblReleaseChanges[Oracle_Severity],""),tblSeverityMap[Severity_Text],tblSeverityMap[Score],0),0)</f>
        <v/>
      </c>
      <c r="T3731">
        <f>ROUND((M3731*0.25)+(N3731*0.20)+(O3731*0.15)+(P3731*0.15)+(Q3731*0.10)+(R3731*0.10)+(S3731*0.05),2)</f>
        <v/>
      </c>
      <c r="U3731">
        <f>IF(T3731&gt;=4.25,"Critical",IF(T3731&gt;=3.5,"High",IF(T3731&gt;=2,"Medium","Low")))</f>
        <v/>
      </c>
    </row>
    <row r="3732">
      <c r="R3732">
        <f>IFERROR(XLOOKUP(XLOOKUP(D3732,tblReleaseChanges[Change_ID],tblReleaseChanges[Oracle_Severity],""),tblSeverityMap[Severity_Text],tblSeverityMap[Score],0),0)</f>
        <v/>
      </c>
      <c r="T3732">
        <f>ROUND((M3732*0.25)+(N3732*0.20)+(O3732*0.15)+(P3732*0.15)+(Q3732*0.10)+(R3732*0.10)+(S3732*0.05),2)</f>
        <v/>
      </c>
      <c r="U3732">
        <f>IF(T3732&gt;=4.25,"Critical",IF(T3732&gt;=3.5,"High",IF(T3732&gt;=2,"Medium","Low")))</f>
        <v/>
      </c>
    </row>
    <row r="3733">
      <c r="R3733">
        <f>IFERROR(XLOOKUP(XLOOKUP(D3733,tblReleaseChanges[Change_ID],tblReleaseChanges[Oracle_Severity],""),tblSeverityMap[Severity_Text],tblSeverityMap[Score],0),0)</f>
        <v/>
      </c>
      <c r="T3733">
        <f>ROUND((M3733*0.25)+(N3733*0.20)+(O3733*0.15)+(P3733*0.15)+(Q3733*0.10)+(R3733*0.10)+(S3733*0.05),2)</f>
        <v/>
      </c>
      <c r="U3733">
        <f>IF(T3733&gt;=4.25,"Critical",IF(T3733&gt;=3.5,"High",IF(T3733&gt;=2,"Medium","Low")))</f>
        <v/>
      </c>
    </row>
    <row r="3734">
      <c r="R3734">
        <f>IFERROR(XLOOKUP(XLOOKUP(D3734,tblReleaseChanges[Change_ID],tblReleaseChanges[Oracle_Severity],""),tblSeverityMap[Severity_Text],tblSeverityMap[Score],0),0)</f>
        <v/>
      </c>
      <c r="T3734">
        <f>ROUND((M3734*0.25)+(N3734*0.20)+(O3734*0.15)+(P3734*0.15)+(Q3734*0.10)+(R3734*0.10)+(S3734*0.05),2)</f>
        <v/>
      </c>
      <c r="U3734">
        <f>IF(T3734&gt;=4.25,"Critical",IF(T3734&gt;=3.5,"High",IF(T3734&gt;=2,"Medium","Low")))</f>
        <v/>
      </c>
    </row>
    <row r="3735">
      <c r="R3735">
        <f>IFERROR(XLOOKUP(XLOOKUP(D3735,tblReleaseChanges[Change_ID],tblReleaseChanges[Oracle_Severity],""),tblSeverityMap[Severity_Text],tblSeverityMap[Score],0),0)</f>
        <v/>
      </c>
      <c r="T3735">
        <f>ROUND((M3735*0.25)+(N3735*0.20)+(O3735*0.15)+(P3735*0.15)+(Q3735*0.10)+(R3735*0.10)+(S3735*0.05),2)</f>
        <v/>
      </c>
      <c r="U3735">
        <f>IF(T3735&gt;=4.25,"Critical",IF(T3735&gt;=3.5,"High",IF(T3735&gt;=2,"Medium","Low")))</f>
        <v/>
      </c>
    </row>
    <row r="3736">
      <c r="R3736">
        <f>IFERROR(XLOOKUP(XLOOKUP(D3736,tblReleaseChanges[Change_ID],tblReleaseChanges[Oracle_Severity],""),tblSeverityMap[Severity_Text],tblSeverityMap[Score],0),0)</f>
        <v/>
      </c>
      <c r="T3736">
        <f>ROUND((M3736*0.25)+(N3736*0.20)+(O3736*0.15)+(P3736*0.15)+(Q3736*0.10)+(R3736*0.10)+(S3736*0.05),2)</f>
        <v/>
      </c>
      <c r="U3736">
        <f>IF(T3736&gt;=4.25,"Critical",IF(T3736&gt;=3.5,"High",IF(T3736&gt;=2,"Medium","Low")))</f>
        <v/>
      </c>
    </row>
    <row r="3737">
      <c r="R3737">
        <f>IFERROR(XLOOKUP(XLOOKUP(D3737,tblReleaseChanges[Change_ID],tblReleaseChanges[Oracle_Severity],""),tblSeverityMap[Severity_Text],tblSeverityMap[Score],0),0)</f>
        <v/>
      </c>
      <c r="T3737">
        <f>ROUND((M3737*0.25)+(N3737*0.20)+(O3737*0.15)+(P3737*0.15)+(Q3737*0.10)+(R3737*0.10)+(S3737*0.05),2)</f>
        <v/>
      </c>
      <c r="U3737">
        <f>IF(T3737&gt;=4.25,"Critical",IF(T3737&gt;=3.5,"High",IF(T3737&gt;=2,"Medium","Low")))</f>
        <v/>
      </c>
    </row>
    <row r="3738">
      <c r="R3738">
        <f>IFERROR(XLOOKUP(XLOOKUP(D3738,tblReleaseChanges[Change_ID],tblReleaseChanges[Oracle_Severity],""),tblSeverityMap[Severity_Text],tblSeverityMap[Score],0),0)</f>
        <v/>
      </c>
      <c r="T3738">
        <f>ROUND((M3738*0.25)+(N3738*0.20)+(O3738*0.15)+(P3738*0.15)+(Q3738*0.10)+(R3738*0.10)+(S3738*0.05),2)</f>
        <v/>
      </c>
      <c r="U3738">
        <f>IF(T3738&gt;=4.25,"Critical",IF(T3738&gt;=3.5,"High",IF(T3738&gt;=2,"Medium","Low")))</f>
        <v/>
      </c>
    </row>
    <row r="3739">
      <c r="R3739">
        <f>IFERROR(XLOOKUP(XLOOKUP(D3739,tblReleaseChanges[Change_ID],tblReleaseChanges[Oracle_Severity],""),tblSeverityMap[Severity_Text],tblSeverityMap[Score],0),0)</f>
        <v/>
      </c>
      <c r="T3739">
        <f>ROUND((M3739*0.25)+(N3739*0.20)+(O3739*0.15)+(P3739*0.15)+(Q3739*0.10)+(R3739*0.10)+(S3739*0.05),2)</f>
        <v/>
      </c>
      <c r="U3739">
        <f>IF(T3739&gt;=4.25,"Critical",IF(T3739&gt;=3.5,"High",IF(T3739&gt;=2,"Medium","Low")))</f>
        <v/>
      </c>
    </row>
    <row r="3740">
      <c r="R3740">
        <f>IFERROR(XLOOKUP(XLOOKUP(D3740,tblReleaseChanges[Change_ID],tblReleaseChanges[Oracle_Severity],""),tblSeverityMap[Severity_Text],tblSeverityMap[Score],0),0)</f>
        <v/>
      </c>
      <c r="T3740">
        <f>ROUND((M3740*0.25)+(N3740*0.20)+(O3740*0.15)+(P3740*0.15)+(Q3740*0.10)+(R3740*0.10)+(S3740*0.05),2)</f>
        <v/>
      </c>
      <c r="U3740">
        <f>IF(T3740&gt;=4.25,"Critical",IF(T3740&gt;=3.5,"High",IF(T3740&gt;=2,"Medium","Low")))</f>
        <v/>
      </c>
    </row>
    <row r="3741">
      <c r="R3741">
        <f>IFERROR(XLOOKUP(XLOOKUP(D3741,tblReleaseChanges[Change_ID],tblReleaseChanges[Oracle_Severity],""),tblSeverityMap[Severity_Text],tblSeverityMap[Score],0),0)</f>
        <v/>
      </c>
      <c r="T3741">
        <f>ROUND((M3741*0.25)+(N3741*0.20)+(O3741*0.15)+(P3741*0.15)+(Q3741*0.10)+(R3741*0.10)+(S3741*0.05),2)</f>
        <v/>
      </c>
      <c r="U3741">
        <f>IF(T3741&gt;=4.25,"Critical",IF(T3741&gt;=3.5,"High",IF(T3741&gt;=2,"Medium","Low")))</f>
        <v/>
      </c>
    </row>
    <row r="3742">
      <c r="R3742">
        <f>IFERROR(XLOOKUP(XLOOKUP(D3742,tblReleaseChanges[Change_ID],tblReleaseChanges[Oracle_Severity],""),tblSeverityMap[Severity_Text],tblSeverityMap[Score],0),0)</f>
        <v/>
      </c>
      <c r="T3742">
        <f>ROUND((M3742*0.25)+(N3742*0.20)+(O3742*0.15)+(P3742*0.15)+(Q3742*0.10)+(R3742*0.10)+(S3742*0.05),2)</f>
        <v/>
      </c>
      <c r="U3742">
        <f>IF(T3742&gt;=4.25,"Critical",IF(T3742&gt;=3.5,"High",IF(T3742&gt;=2,"Medium","Low")))</f>
        <v/>
      </c>
    </row>
    <row r="3743">
      <c r="R3743">
        <f>IFERROR(XLOOKUP(XLOOKUP(D3743,tblReleaseChanges[Change_ID],tblReleaseChanges[Oracle_Severity],""),tblSeverityMap[Severity_Text],tblSeverityMap[Score],0),0)</f>
        <v/>
      </c>
      <c r="T3743">
        <f>ROUND((M3743*0.25)+(N3743*0.20)+(O3743*0.15)+(P3743*0.15)+(Q3743*0.10)+(R3743*0.10)+(S3743*0.05),2)</f>
        <v/>
      </c>
      <c r="U3743">
        <f>IF(T3743&gt;=4.25,"Critical",IF(T3743&gt;=3.5,"High",IF(T3743&gt;=2,"Medium","Low")))</f>
        <v/>
      </c>
    </row>
    <row r="3744">
      <c r="R3744">
        <f>IFERROR(XLOOKUP(XLOOKUP(D3744,tblReleaseChanges[Change_ID],tblReleaseChanges[Oracle_Severity],""),tblSeverityMap[Severity_Text],tblSeverityMap[Score],0),0)</f>
        <v/>
      </c>
      <c r="T3744">
        <f>ROUND((M3744*0.25)+(N3744*0.20)+(O3744*0.15)+(P3744*0.15)+(Q3744*0.10)+(R3744*0.10)+(S3744*0.05),2)</f>
        <v/>
      </c>
      <c r="U3744">
        <f>IF(T3744&gt;=4.25,"Critical",IF(T3744&gt;=3.5,"High",IF(T3744&gt;=2,"Medium","Low")))</f>
        <v/>
      </c>
    </row>
    <row r="3745">
      <c r="R3745">
        <f>IFERROR(XLOOKUP(XLOOKUP(D3745,tblReleaseChanges[Change_ID],tblReleaseChanges[Oracle_Severity],""),tblSeverityMap[Severity_Text],tblSeverityMap[Score],0),0)</f>
        <v/>
      </c>
      <c r="T3745">
        <f>ROUND((M3745*0.25)+(N3745*0.20)+(O3745*0.15)+(P3745*0.15)+(Q3745*0.10)+(R3745*0.10)+(S3745*0.05),2)</f>
        <v/>
      </c>
      <c r="U3745">
        <f>IF(T3745&gt;=4.25,"Critical",IF(T3745&gt;=3.5,"High",IF(T3745&gt;=2,"Medium","Low")))</f>
        <v/>
      </c>
    </row>
    <row r="3746">
      <c r="R3746">
        <f>IFERROR(XLOOKUP(XLOOKUP(D3746,tblReleaseChanges[Change_ID],tblReleaseChanges[Oracle_Severity],""),tblSeverityMap[Severity_Text],tblSeverityMap[Score],0),0)</f>
        <v/>
      </c>
      <c r="T3746">
        <f>ROUND((M3746*0.25)+(N3746*0.20)+(O3746*0.15)+(P3746*0.15)+(Q3746*0.10)+(R3746*0.10)+(S3746*0.05),2)</f>
        <v/>
      </c>
      <c r="U3746">
        <f>IF(T3746&gt;=4.25,"Critical",IF(T3746&gt;=3.5,"High",IF(T3746&gt;=2,"Medium","Low")))</f>
        <v/>
      </c>
    </row>
    <row r="3747">
      <c r="R3747">
        <f>IFERROR(XLOOKUP(XLOOKUP(D3747,tblReleaseChanges[Change_ID],tblReleaseChanges[Oracle_Severity],""),tblSeverityMap[Severity_Text],tblSeverityMap[Score],0),0)</f>
        <v/>
      </c>
      <c r="T3747">
        <f>ROUND((M3747*0.25)+(N3747*0.20)+(O3747*0.15)+(P3747*0.15)+(Q3747*0.10)+(R3747*0.10)+(S3747*0.05),2)</f>
        <v/>
      </c>
      <c r="U3747">
        <f>IF(T3747&gt;=4.25,"Critical",IF(T3747&gt;=3.5,"High",IF(T3747&gt;=2,"Medium","Low")))</f>
        <v/>
      </c>
    </row>
    <row r="3748">
      <c r="R3748">
        <f>IFERROR(XLOOKUP(XLOOKUP(D3748,tblReleaseChanges[Change_ID],tblReleaseChanges[Oracle_Severity],""),tblSeverityMap[Severity_Text],tblSeverityMap[Score],0),0)</f>
        <v/>
      </c>
      <c r="T3748">
        <f>ROUND((M3748*0.25)+(N3748*0.20)+(O3748*0.15)+(P3748*0.15)+(Q3748*0.10)+(R3748*0.10)+(S3748*0.05),2)</f>
        <v/>
      </c>
      <c r="U3748">
        <f>IF(T3748&gt;=4.25,"Critical",IF(T3748&gt;=3.5,"High",IF(T3748&gt;=2,"Medium","Low")))</f>
        <v/>
      </c>
    </row>
    <row r="3749">
      <c r="R3749">
        <f>IFERROR(XLOOKUP(XLOOKUP(D3749,tblReleaseChanges[Change_ID],tblReleaseChanges[Oracle_Severity],""),tblSeverityMap[Severity_Text],tblSeverityMap[Score],0),0)</f>
        <v/>
      </c>
      <c r="T3749">
        <f>ROUND((M3749*0.25)+(N3749*0.20)+(O3749*0.15)+(P3749*0.15)+(Q3749*0.10)+(R3749*0.10)+(S3749*0.05),2)</f>
        <v/>
      </c>
      <c r="U3749">
        <f>IF(T3749&gt;=4.25,"Critical",IF(T3749&gt;=3.5,"High",IF(T3749&gt;=2,"Medium","Low")))</f>
        <v/>
      </c>
    </row>
    <row r="3750">
      <c r="R3750">
        <f>IFERROR(XLOOKUP(XLOOKUP(D3750,tblReleaseChanges[Change_ID],tblReleaseChanges[Oracle_Severity],""),tblSeverityMap[Severity_Text],tblSeverityMap[Score],0),0)</f>
        <v/>
      </c>
      <c r="T3750">
        <f>ROUND((M3750*0.25)+(N3750*0.20)+(O3750*0.15)+(P3750*0.15)+(Q3750*0.10)+(R3750*0.10)+(S3750*0.05),2)</f>
        <v/>
      </c>
      <c r="U3750">
        <f>IF(T3750&gt;=4.25,"Critical",IF(T3750&gt;=3.5,"High",IF(T3750&gt;=2,"Medium","Low")))</f>
        <v/>
      </c>
    </row>
    <row r="3751">
      <c r="R3751">
        <f>IFERROR(XLOOKUP(XLOOKUP(D3751,tblReleaseChanges[Change_ID],tblReleaseChanges[Oracle_Severity],""),tblSeverityMap[Severity_Text],tblSeverityMap[Score],0),0)</f>
        <v/>
      </c>
      <c r="T3751">
        <f>ROUND((M3751*0.25)+(N3751*0.20)+(O3751*0.15)+(P3751*0.15)+(Q3751*0.10)+(R3751*0.10)+(S3751*0.05),2)</f>
        <v/>
      </c>
      <c r="U3751">
        <f>IF(T3751&gt;=4.25,"Critical",IF(T3751&gt;=3.5,"High",IF(T3751&gt;=2,"Medium","Low")))</f>
        <v/>
      </c>
    </row>
    <row r="3752">
      <c r="R3752">
        <f>IFERROR(XLOOKUP(XLOOKUP(D3752,tblReleaseChanges[Change_ID],tblReleaseChanges[Oracle_Severity],""),tblSeverityMap[Severity_Text],tblSeverityMap[Score],0),0)</f>
        <v/>
      </c>
      <c r="T3752">
        <f>ROUND((M3752*0.25)+(N3752*0.20)+(O3752*0.15)+(P3752*0.15)+(Q3752*0.10)+(R3752*0.10)+(S3752*0.05),2)</f>
        <v/>
      </c>
      <c r="U3752">
        <f>IF(T3752&gt;=4.25,"Critical",IF(T3752&gt;=3.5,"High",IF(T3752&gt;=2,"Medium","Low")))</f>
        <v/>
      </c>
    </row>
    <row r="3753">
      <c r="R3753">
        <f>IFERROR(XLOOKUP(XLOOKUP(D3753,tblReleaseChanges[Change_ID],tblReleaseChanges[Oracle_Severity],""),tblSeverityMap[Severity_Text],tblSeverityMap[Score],0),0)</f>
        <v/>
      </c>
      <c r="T3753">
        <f>ROUND((M3753*0.25)+(N3753*0.20)+(O3753*0.15)+(P3753*0.15)+(Q3753*0.10)+(R3753*0.10)+(S3753*0.05),2)</f>
        <v/>
      </c>
      <c r="U3753">
        <f>IF(T3753&gt;=4.25,"Critical",IF(T3753&gt;=3.5,"High",IF(T3753&gt;=2,"Medium","Low")))</f>
        <v/>
      </c>
    </row>
    <row r="3754">
      <c r="R3754">
        <f>IFERROR(XLOOKUP(XLOOKUP(D3754,tblReleaseChanges[Change_ID],tblReleaseChanges[Oracle_Severity],""),tblSeverityMap[Severity_Text],tblSeverityMap[Score],0),0)</f>
        <v/>
      </c>
      <c r="T3754">
        <f>ROUND((M3754*0.25)+(N3754*0.20)+(O3754*0.15)+(P3754*0.15)+(Q3754*0.10)+(R3754*0.10)+(S3754*0.05),2)</f>
        <v/>
      </c>
      <c r="U3754">
        <f>IF(T3754&gt;=4.25,"Critical",IF(T3754&gt;=3.5,"High",IF(T3754&gt;=2,"Medium","Low")))</f>
        <v/>
      </c>
    </row>
    <row r="3755">
      <c r="R3755">
        <f>IFERROR(XLOOKUP(XLOOKUP(D3755,tblReleaseChanges[Change_ID],tblReleaseChanges[Oracle_Severity],""),tblSeverityMap[Severity_Text],tblSeverityMap[Score],0),0)</f>
        <v/>
      </c>
      <c r="T3755">
        <f>ROUND((M3755*0.25)+(N3755*0.20)+(O3755*0.15)+(P3755*0.15)+(Q3755*0.10)+(R3755*0.10)+(S3755*0.05),2)</f>
        <v/>
      </c>
      <c r="U3755">
        <f>IF(T3755&gt;=4.25,"Critical",IF(T3755&gt;=3.5,"High",IF(T3755&gt;=2,"Medium","Low")))</f>
        <v/>
      </c>
    </row>
    <row r="3756">
      <c r="R3756">
        <f>IFERROR(XLOOKUP(XLOOKUP(D3756,tblReleaseChanges[Change_ID],tblReleaseChanges[Oracle_Severity],""),tblSeverityMap[Severity_Text],tblSeverityMap[Score],0),0)</f>
        <v/>
      </c>
      <c r="T3756">
        <f>ROUND((M3756*0.25)+(N3756*0.20)+(O3756*0.15)+(P3756*0.15)+(Q3756*0.10)+(R3756*0.10)+(S3756*0.05),2)</f>
        <v/>
      </c>
      <c r="U3756">
        <f>IF(T3756&gt;=4.25,"Critical",IF(T3756&gt;=3.5,"High",IF(T3756&gt;=2,"Medium","Low")))</f>
        <v/>
      </c>
    </row>
    <row r="3757">
      <c r="R3757">
        <f>IFERROR(XLOOKUP(XLOOKUP(D3757,tblReleaseChanges[Change_ID],tblReleaseChanges[Oracle_Severity],""),tblSeverityMap[Severity_Text],tblSeverityMap[Score],0),0)</f>
        <v/>
      </c>
      <c r="T3757">
        <f>ROUND((M3757*0.25)+(N3757*0.20)+(O3757*0.15)+(P3757*0.15)+(Q3757*0.10)+(R3757*0.10)+(S3757*0.05),2)</f>
        <v/>
      </c>
      <c r="U3757">
        <f>IF(T3757&gt;=4.25,"Critical",IF(T3757&gt;=3.5,"High",IF(T3757&gt;=2,"Medium","Low")))</f>
        <v/>
      </c>
    </row>
    <row r="3758">
      <c r="R3758">
        <f>IFERROR(XLOOKUP(XLOOKUP(D3758,tblReleaseChanges[Change_ID],tblReleaseChanges[Oracle_Severity],""),tblSeverityMap[Severity_Text],tblSeverityMap[Score],0),0)</f>
        <v/>
      </c>
      <c r="T3758">
        <f>ROUND((M3758*0.25)+(N3758*0.20)+(O3758*0.15)+(P3758*0.15)+(Q3758*0.10)+(R3758*0.10)+(S3758*0.05),2)</f>
        <v/>
      </c>
      <c r="U3758">
        <f>IF(T3758&gt;=4.25,"Critical",IF(T3758&gt;=3.5,"High",IF(T3758&gt;=2,"Medium","Low")))</f>
        <v/>
      </c>
    </row>
    <row r="3759">
      <c r="R3759">
        <f>IFERROR(XLOOKUP(XLOOKUP(D3759,tblReleaseChanges[Change_ID],tblReleaseChanges[Oracle_Severity],""),tblSeverityMap[Severity_Text],tblSeverityMap[Score],0),0)</f>
        <v/>
      </c>
      <c r="T3759">
        <f>ROUND((M3759*0.25)+(N3759*0.20)+(O3759*0.15)+(P3759*0.15)+(Q3759*0.10)+(R3759*0.10)+(S3759*0.05),2)</f>
        <v/>
      </c>
      <c r="U3759">
        <f>IF(T3759&gt;=4.25,"Critical",IF(T3759&gt;=3.5,"High",IF(T3759&gt;=2,"Medium","Low")))</f>
        <v/>
      </c>
    </row>
    <row r="3760">
      <c r="R3760">
        <f>IFERROR(XLOOKUP(XLOOKUP(D3760,tblReleaseChanges[Change_ID],tblReleaseChanges[Oracle_Severity],""),tblSeverityMap[Severity_Text],tblSeverityMap[Score],0),0)</f>
        <v/>
      </c>
      <c r="T3760">
        <f>ROUND((M3760*0.25)+(N3760*0.20)+(O3760*0.15)+(P3760*0.15)+(Q3760*0.10)+(R3760*0.10)+(S3760*0.05),2)</f>
        <v/>
      </c>
      <c r="U3760">
        <f>IF(T3760&gt;=4.25,"Critical",IF(T3760&gt;=3.5,"High",IF(T3760&gt;=2,"Medium","Low")))</f>
        <v/>
      </c>
    </row>
    <row r="3761">
      <c r="R3761">
        <f>IFERROR(XLOOKUP(XLOOKUP(D3761,tblReleaseChanges[Change_ID],tblReleaseChanges[Oracle_Severity],""),tblSeverityMap[Severity_Text],tblSeverityMap[Score],0),0)</f>
        <v/>
      </c>
      <c r="T3761">
        <f>ROUND((M3761*0.25)+(N3761*0.20)+(O3761*0.15)+(P3761*0.15)+(Q3761*0.10)+(R3761*0.10)+(S3761*0.05),2)</f>
        <v/>
      </c>
      <c r="U3761">
        <f>IF(T3761&gt;=4.25,"Critical",IF(T3761&gt;=3.5,"High",IF(T3761&gt;=2,"Medium","Low")))</f>
        <v/>
      </c>
    </row>
    <row r="3762">
      <c r="R3762">
        <f>IFERROR(XLOOKUP(XLOOKUP(D3762,tblReleaseChanges[Change_ID],tblReleaseChanges[Oracle_Severity],""),tblSeverityMap[Severity_Text],tblSeverityMap[Score],0),0)</f>
        <v/>
      </c>
      <c r="T3762">
        <f>ROUND((M3762*0.25)+(N3762*0.20)+(O3762*0.15)+(P3762*0.15)+(Q3762*0.10)+(R3762*0.10)+(S3762*0.05),2)</f>
        <v/>
      </c>
      <c r="U3762">
        <f>IF(T3762&gt;=4.25,"Critical",IF(T3762&gt;=3.5,"High",IF(T3762&gt;=2,"Medium","Low")))</f>
        <v/>
      </c>
    </row>
    <row r="3763">
      <c r="R3763">
        <f>IFERROR(XLOOKUP(XLOOKUP(D3763,tblReleaseChanges[Change_ID],tblReleaseChanges[Oracle_Severity],""),tblSeverityMap[Severity_Text],tblSeverityMap[Score],0),0)</f>
        <v/>
      </c>
      <c r="T3763">
        <f>ROUND((M3763*0.25)+(N3763*0.20)+(O3763*0.15)+(P3763*0.15)+(Q3763*0.10)+(R3763*0.10)+(S3763*0.05),2)</f>
        <v/>
      </c>
      <c r="U3763">
        <f>IF(T3763&gt;=4.25,"Critical",IF(T3763&gt;=3.5,"High",IF(T3763&gt;=2,"Medium","Low")))</f>
        <v/>
      </c>
    </row>
    <row r="3764">
      <c r="R3764">
        <f>IFERROR(XLOOKUP(XLOOKUP(D3764,tblReleaseChanges[Change_ID],tblReleaseChanges[Oracle_Severity],""),tblSeverityMap[Severity_Text],tblSeverityMap[Score],0),0)</f>
        <v/>
      </c>
      <c r="T3764">
        <f>ROUND((M3764*0.25)+(N3764*0.20)+(O3764*0.15)+(P3764*0.15)+(Q3764*0.10)+(R3764*0.10)+(S3764*0.05),2)</f>
        <v/>
      </c>
      <c r="U3764">
        <f>IF(T3764&gt;=4.25,"Critical",IF(T3764&gt;=3.5,"High",IF(T3764&gt;=2,"Medium","Low")))</f>
        <v/>
      </c>
    </row>
    <row r="3765">
      <c r="R3765">
        <f>IFERROR(XLOOKUP(XLOOKUP(D3765,tblReleaseChanges[Change_ID],tblReleaseChanges[Oracle_Severity],""),tblSeverityMap[Severity_Text],tblSeverityMap[Score],0),0)</f>
        <v/>
      </c>
      <c r="T3765">
        <f>ROUND((M3765*0.25)+(N3765*0.20)+(O3765*0.15)+(P3765*0.15)+(Q3765*0.10)+(R3765*0.10)+(S3765*0.05),2)</f>
        <v/>
      </c>
      <c r="U3765">
        <f>IF(T3765&gt;=4.25,"Critical",IF(T3765&gt;=3.5,"High",IF(T3765&gt;=2,"Medium","Low")))</f>
        <v/>
      </c>
    </row>
    <row r="3766">
      <c r="R3766">
        <f>IFERROR(XLOOKUP(XLOOKUP(D3766,tblReleaseChanges[Change_ID],tblReleaseChanges[Oracle_Severity],""),tblSeverityMap[Severity_Text],tblSeverityMap[Score],0),0)</f>
        <v/>
      </c>
      <c r="T3766">
        <f>ROUND((M3766*0.25)+(N3766*0.20)+(O3766*0.15)+(P3766*0.15)+(Q3766*0.10)+(R3766*0.10)+(S3766*0.05),2)</f>
        <v/>
      </c>
      <c r="U3766">
        <f>IF(T3766&gt;=4.25,"Critical",IF(T3766&gt;=3.5,"High",IF(T3766&gt;=2,"Medium","Low")))</f>
        <v/>
      </c>
    </row>
    <row r="3767">
      <c r="R3767">
        <f>IFERROR(XLOOKUP(XLOOKUP(D3767,tblReleaseChanges[Change_ID],tblReleaseChanges[Oracle_Severity],""),tblSeverityMap[Severity_Text],tblSeverityMap[Score],0),0)</f>
        <v/>
      </c>
      <c r="T3767">
        <f>ROUND((M3767*0.25)+(N3767*0.20)+(O3767*0.15)+(P3767*0.15)+(Q3767*0.10)+(R3767*0.10)+(S3767*0.05),2)</f>
        <v/>
      </c>
      <c r="U3767">
        <f>IF(T3767&gt;=4.25,"Critical",IF(T3767&gt;=3.5,"High",IF(T3767&gt;=2,"Medium","Low")))</f>
        <v/>
      </c>
    </row>
    <row r="3768">
      <c r="R3768">
        <f>IFERROR(XLOOKUP(XLOOKUP(D3768,tblReleaseChanges[Change_ID],tblReleaseChanges[Oracle_Severity],""),tblSeverityMap[Severity_Text],tblSeverityMap[Score],0),0)</f>
        <v/>
      </c>
      <c r="T3768">
        <f>ROUND((M3768*0.25)+(N3768*0.20)+(O3768*0.15)+(P3768*0.15)+(Q3768*0.10)+(R3768*0.10)+(S3768*0.05),2)</f>
        <v/>
      </c>
      <c r="U3768">
        <f>IF(T3768&gt;=4.25,"Critical",IF(T3768&gt;=3.5,"High",IF(T3768&gt;=2,"Medium","Low")))</f>
        <v/>
      </c>
    </row>
    <row r="3769">
      <c r="R3769">
        <f>IFERROR(XLOOKUP(XLOOKUP(D3769,tblReleaseChanges[Change_ID],tblReleaseChanges[Oracle_Severity],""),tblSeverityMap[Severity_Text],tblSeverityMap[Score],0),0)</f>
        <v/>
      </c>
      <c r="T3769">
        <f>ROUND((M3769*0.25)+(N3769*0.20)+(O3769*0.15)+(P3769*0.15)+(Q3769*0.10)+(R3769*0.10)+(S3769*0.05),2)</f>
        <v/>
      </c>
      <c r="U3769">
        <f>IF(T3769&gt;=4.25,"Critical",IF(T3769&gt;=3.5,"High",IF(T3769&gt;=2,"Medium","Low")))</f>
        <v/>
      </c>
    </row>
    <row r="3770">
      <c r="R3770">
        <f>IFERROR(XLOOKUP(XLOOKUP(D3770,tblReleaseChanges[Change_ID],tblReleaseChanges[Oracle_Severity],""),tblSeverityMap[Severity_Text],tblSeverityMap[Score],0),0)</f>
        <v/>
      </c>
      <c r="T3770">
        <f>ROUND((M3770*0.25)+(N3770*0.20)+(O3770*0.15)+(P3770*0.15)+(Q3770*0.10)+(R3770*0.10)+(S3770*0.05),2)</f>
        <v/>
      </c>
      <c r="U3770">
        <f>IF(T3770&gt;=4.25,"Critical",IF(T3770&gt;=3.5,"High",IF(T3770&gt;=2,"Medium","Low")))</f>
        <v/>
      </c>
    </row>
    <row r="3771">
      <c r="R3771">
        <f>IFERROR(XLOOKUP(XLOOKUP(D3771,tblReleaseChanges[Change_ID],tblReleaseChanges[Oracle_Severity],""),tblSeverityMap[Severity_Text],tblSeverityMap[Score],0),0)</f>
        <v/>
      </c>
      <c r="T3771">
        <f>ROUND((M3771*0.25)+(N3771*0.20)+(O3771*0.15)+(P3771*0.15)+(Q3771*0.10)+(R3771*0.10)+(S3771*0.05),2)</f>
        <v/>
      </c>
      <c r="U3771">
        <f>IF(T3771&gt;=4.25,"Critical",IF(T3771&gt;=3.5,"High",IF(T3771&gt;=2,"Medium","Low")))</f>
        <v/>
      </c>
    </row>
    <row r="3772">
      <c r="R3772">
        <f>IFERROR(XLOOKUP(XLOOKUP(D3772,tblReleaseChanges[Change_ID],tblReleaseChanges[Oracle_Severity],""),tblSeverityMap[Severity_Text],tblSeverityMap[Score],0),0)</f>
        <v/>
      </c>
      <c r="T3772">
        <f>ROUND((M3772*0.25)+(N3772*0.20)+(O3772*0.15)+(P3772*0.15)+(Q3772*0.10)+(R3772*0.10)+(S3772*0.05),2)</f>
        <v/>
      </c>
      <c r="U3772">
        <f>IF(T3772&gt;=4.25,"Critical",IF(T3772&gt;=3.5,"High",IF(T3772&gt;=2,"Medium","Low")))</f>
        <v/>
      </c>
    </row>
    <row r="3773">
      <c r="R3773">
        <f>IFERROR(XLOOKUP(XLOOKUP(D3773,tblReleaseChanges[Change_ID],tblReleaseChanges[Oracle_Severity],""),tblSeverityMap[Severity_Text],tblSeverityMap[Score],0),0)</f>
        <v/>
      </c>
      <c r="T3773">
        <f>ROUND((M3773*0.25)+(N3773*0.20)+(O3773*0.15)+(P3773*0.15)+(Q3773*0.10)+(R3773*0.10)+(S3773*0.05),2)</f>
        <v/>
      </c>
      <c r="U3773">
        <f>IF(T3773&gt;=4.25,"Critical",IF(T3773&gt;=3.5,"High",IF(T3773&gt;=2,"Medium","Low")))</f>
        <v/>
      </c>
    </row>
    <row r="3774">
      <c r="R3774">
        <f>IFERROR(XLOOKUP(XLOOKUP(D3774,tblReleaseChanges[Change_ID],tblReleaseChanges[Oracle_Severity],""),tblSeverityMap[Severity_Text],tblSeverityMap[Score],0),0)</f>
        <v/>
      </c>
      <c r="T3774">
        <f>ROUND((M3774*0.25)+(N3774*0.20)+(O3774*0.15)+(P3774*0.15)+(Q3774*0.10)+(R3774*0.10)+(S3774*0.05),2)</f>
        <v/>
      </c>
      <c r="U3774">
        <f>IF(T3774&gt;=4.25,"Critical",IF(T3774&gt;=3.5,"High",IF(T3774&gt;=2,"Medium","Low")))</f>
        <v/>
      </c>
    </row>
    <row r="3775">
      <c r="R3775">
        <f>IFERROR(XLOOKUP(XLOOKUP(D3775,tblReleaseChanges[Change_ID],tblReleaseChanges[Oracle_Severity],""),tblSeverityMap[Severity_Text],tblSeverityMap[Score],0),0)</f>
        <v/>
      </c>
      <c r="T3775">
        <f>ROUND((M3775*0.25)+(N3775*0.20)+(O3775*0.15)+(P3775*0.15)+(Q3775*0.10)+(R3775*0.10)+(S3775*0.05),2)</f>
        <v/>
      </c>
      <c r="U3775">
        <f>IF(T3775&gt;=4.25,"Critical",IF(T3775&gt;=3.5,"High",IF(T3775&gt;=2,"Medium","Low")))</f>
        <v/>
      </c>
    </row>
    <row r="3776">
      <c r="R3776">
        <f>IFERROR(XLOOKUP(XLOOKUP(D3776,tblReleaseChanges[Change_ID],tblReleaseChanges[Oracle_Severity],""),tblSeverityMap[Severity_Text],tblSeverityMap[Score],0),0)</f>
        <v/>
      </c>
      <c r="T3776">
        <f>ROUND((M3776*0.25)+(N3776*0.20)+(O3776*0.15)+(P3776*0.15)+(Q3776*0.10)+(R3776*0.10)+(S3776*0.05),2)</f>
        <v/>
      </c>
      <c r="U3776">
        <f>IF(T3776&gt;=4.25,"Critical",IF(T3776&gt;=3.5,"High",IF(T3776&gt;=2,"Medium","Low")))</f>
        <v/>
      </c>
    </row>
    <row r="3777">
      <c r="R3777">
        <f>IFERROR(XLOOKUP(XLOOKUP(D3777,tblReleaseChanges[Change_ID],tblReleaseChanges[Oracle_Severity],""),tblSeverityMap[Severity_Text],tblSeverityMap[Score],0),0)</f>
        <v/>
      </c>
      <c r="T3777">
        <f>ROUND((M3777*0.25)+(N3777*0.20)+(O3777*0.15)+(P3777*0.15)+(Q3777*0.10)+(R3777*0.10)+(S3777*0.05),2)</f>
        <v/>
      </c>
      <c r="U3777">
        <f>IF(T3777&gt;=4.25,"Critical",IF(T3777&gt;=3.5,"High",IF(T3777&gt;=2,"Medium","Low")))</f>
        <v/>
      </c>
    </row>
    <row r="3778">
      <c r="R3778">
        <f>IFERROR(XLOOKUP(XLOOKUP(D3778,tblReleaseChanges[Change_ID],tblReleaseChanges[Oracle_Severity],""),tblSeverityMap[Severity_Text],tblSeverityMap[Score],0),0)</f>
        <v/>
      </c>
      <c r="T3778">
        <f>ROUND((M3778*0.25)+(N3778*0.20)+(O3778*0.15)+(P3778*0.15)+(Q3778*0.10)+(R3778*0.10)+(S3778*0.05),2)</f>
        <v/>
      </c>
      <c r="U3778">
        <f>IF(T3778&gt;=4.25,"Critical",IF(T3778&gt;=3.5,"High",IF(T3778&gt;=2,"Medium","Low")))</f>
        <v/>
      </c>
    </row>
    <row r="3779">
      <c r="R3779">
        <f>IFERROR(XLOOKUP(XLOOKUP(D3779,tblReleaseChanges[Change_ID],tblReleaseChanges[Oracle_Severity],""),tblSeverityMap[Severity_Text],tblSeverityMap[Score],0),0)</f>
        <v/>
      </c>
      <c r="T3779">
        <f>ROUND((M3779*0.25)+(N3779*0.20)+(O3779*0.15)+(P3779*0.15)+(Q3779*0.10)+(R3779*0.10)+(S3779*0.05),2)</f>
        <v/>
      </c>
      <c r="U3779">
        <f>IF(T3779&gt;=4.25,"Critical",IF(T3779&gt;=3.5,"High",IF(T3779&gt;=2,"Medium","Low")))</f>
        <v/>
      </c>
    </row>
    <row r="3780">
      <c r="R3780">
        <f>IFERROR(XLOOKUP(XLOOKUP(D3780,tblReleaseChanges[Change_ID],tblReleaseChanges[Oracle_Severity],""),tblSeverityMap[Severity_Text],tblSeverityMap[Score],0),0)</f>
        <v/>
      </c>
      <c r="T3780">
        <f>ROUND((M3780*0.25)+(N3780*0.20)+(O3780*0.15)+(P3780*0.15)+(Q3780*0.10)+(R3780*0.10)+(S3780*0.05),2)</f>
        <v/>
      </c>
      <c r="U3780">
        <f>IF(T3780&gt;=4.25,"Critical",IF(T3780&gt;=3.5,"High",IF(T3780&gt;=2,"Medium","Low")))</f>
        <v/>
      </c>
    </row>
    <row r="3781">
      <c r="R3781">
        <f>IFERROR(XLOOKUP(XLOOKUP(D3781,tblReleaseChanges[Change_ID],tblReleaseChanges[Oracle_Severity],""),tblSeverityMap[Severity_Text],tblSeverityMap[Score],0),0)</f>
        <v/>
      </c>
      <c r="T3781">
        <f>ROUND((M3781*0.25)+(N3781*0.20)+(O3781*0.15)+(P3781*0.15)+(Q3781*0.10)+(R3781*0.10)+(S3781*0.05),2)</f>
        <v/>
      </c>
      <c r="U3781">
        <f>IF(T3781&gt;=4.25,"Critical",IF(T3781&gt;=3.5,"High",IF(T3781&gt;=2,"Medium","Low")))</f>
        <v/>
      </c>
    </row>
    <row r="3782">
      <c r="R3782">
        <f>IFERROR(XLOOKUP(XLOOKUP(D3782,tblReleaseChanges[Change_ID],tblReleaseChanges[Oracle_Severity],""),tblSeverityMap[Severity_Text],tblSeverityMap[Score],0),0)</f>
        <v/>
      </c>
      <c r="T3782">
        <f>ROUND((M3782*0.25)+(N3782*0.20)+(O3782*0.15)+(P3782*0.15)+(Q3782*0.10)+(R3782*0.10)+(S3782*0.05),2)</f>
        <v/>
      </c>
      <c r="U3782">
        <f>IF(T3782&gt;=4.25,"Critical",IF(T3782&gt;=3.5,"High",IF(T3782&gt;=2,"Medium","Low")))</f>
        <v/>
      </c>
    </row>
    <row r="3783">
      <c r="R3783">
        <f>IFERROR(XLOOKUP(XLOOKUP(D3783,tblReleaseChanges[Change_ID],tblReleaseChanges[Oracle_Severity],""),tblSeverityMap[Severity_Text],tblSeverityMap[Score],0),0)</f>
        <v/>
      </c>
      <c r="T3783">
        <f>ROUND((M3783*0.25)+(N3783*0.20)+(O3783*0.15)+(P3783*0.15)+(Q3783*0.10)+(R3783*0.10)+(S3783*0.05),2)</f>
        <v/>
      </c>
      <c r="U3783">
        <f>IF(T3783&gt;=4.25,"Critical",IF(T3783&gt;=3.5,"High",IF(T3783&gt;=2,"Medium","Low")))</f>
        <v/>
      </c>
    </row>
    <row r="3784">
      <c r="R3784">
        <f>IFERROR(XLOOKUP(XLOOKUP(D3784,tblReleaseChanges[Change_ID],tblReleaseChanges[Oracle_Severity],""),tblSeverityMap[Severity_Text],tblSeverityMap[Score],0),0)</f>
        <v/>
      </c>
      <c r="T3784">
        <f>ROUND((M3784*0.25)+(N3784*0.20)+(O3784*0.15)+(P3784*0.15)+(Q3784*0.10)+(R3784*0.10)+(S3784*0.05),2)</f>
        <v/>
      </c>
      <c r="U3784">
        <f>IF(T3784&gt;=4.25,"Critical",IF(T3784&gt;=3.5,"High",IF(T3784&gt;=2,"Medium","Low")))</f>
        <v/>
      </c>
    </row>
    <row r="3785">
      <c r="R3785">
        <f>IFERROR(XLOOKUP(XLOOKUP(D3785,tblReleaseChanges[Change_ID],tblReleaseChanges[Oracle_Severity],""),tblSeverityMap[Severity_Text],tblSeverityMap[Score],0),0)</f>
        <v/>
      </c>
      <c r="T3785">
        <f>ROUND((M3785*0.25)+(N3785*0.20)+(O3785*0.15)+(P3785*0.15)+(Q3785*0.10)+(R3785*0.10)+(S3785*0.05),2)</f>
        <v/>
      </c>
      <c r="U3785">
        <f>IF(T3785&gt;=4.25,"Critical",IF(T3785&gt;=3.5,"High",IF(T3785&gt;=2,"Medium","Low")))</f>
        <v/>
      </c>
    </row>
    <row r="3786">
      <c r="R3786">
        <f>IFERROR(XLOOKUP(XLOOKUP(D3786,tblReleaseChanges[Change_ID],tblReleaseChanges[Oracle_Severity],""),tblSeverityMap[Severity_Text],tblSeverityMap[Score],0),0)</f>
        <v/>
      </c>
      <c r="T3786">
        <f>ROUND((M3786*0.25)+(N3786*0.20)+(O3786*0.15)+(P3786*0.15)+(Q3786*0.10)+(R3786*0.10)+(S3786*0.05),2)</f>
        <v/>
      </c>
      <c r="U3786">
        <f>IF(T3786&gt;=4.25,"Critical",IF(T3786&gt;=3.5,"High",IF(T3786&gt;=2,"Medium","Low")))</f>
        <v/>
      </c>
    </row>
    <row r="3787">
      <c r="R3787">
        <f>IFERROR(XLOOKUP(XLOOKUP(D3787,tblReleaseChanges[Change_ID],tblReleaseChanges[Oracle_Severity],""),tblSeverityMap[Severity_Text],tblSeverityMap[Score],0),0)</f>
        <v/>
      </c>
      <c r="T3787">
        <f>ROUND((M3787*0.25)+(N3787*0.20)+(O3787*0.15)+(P3787*0.15)+(Q3787*0.10)+(R3787*0.10)+(S3787*0.05),2)</f>
        <v/>
      </c>
      <c r="U3787">
        <f>IF(T3787&gt;=4.25,"Critical",IF(T3787&gt;=3.5,"High",IF(T3787&gt;=2,"Medium","Low")))</f>
        <v/>
      </c>
    </row>
    <row r="3788">
      <c r="R3788">
        <f>IFERROR(XLOOKUP(XLOOKUP(D3788,tblReleaseChanges[Change_ID],tblReleaseChanges[Oracle_Severity],""),tblSeverityMap[Severity_Text],tblSeverityMap[Score],0),0)</f>
        <v/>
      </c>
      <c r="T3788">
        <f>ROUND((M3788*0.25)+(N3788*0.20)+(O3788*0.15)+(P3788*0.15)+(Q3788*0.10)+(R3788*0.10)+(S3788*0.05),2)</f>
        <v/>
      </c>
      <c r="U3788">
        <f>IF(T3788&gt;=4.25,"Critical",IF(T3788&gt;=3.5,"High",IF(T3788&gt;=2,"Medium","Low")))</f>
        <v/>
      </c>
    </row>
    <row r="3789">
      <c r="R3789">
        <f>IFERROR(XLOOKUP(XLOOKUP(D3789,tblReleaseChanges[Change_ID],tblReleaseChanges[Oracle_Severity],""),tblSeverityMap[Severity_Text],tblSeverityMap[Score],0),0)</f>
        <v/>
      </c>
      <c r="T3789">
        <f>ROUND((M3789*0.25)+(N3789*0.20)+(O3789*0.15)+(P3789*0.15)+(Q3789*0.10)+(R3789*0.10)+(S3789*0.05),2)</f>
        <v/>
      </c>
      <c r="U3789">
        <f>IF(T3789&gt;=4.25,"Critical",IF(T3789&gt;=3.5,"High",IF(T3789&gt;=2,"Medium","Low")))</f>
        <v/>
      </c>
    </row>
    <row r="3790">
      <c r="R3790">
        <f>IFERROR(XLOOKUP(XLOOKUP(D3790,tblReleaseChanges[Change_ID],tblReleaseChanges[Oracle_Severity],""),tblSeverityMap[Severity_Text],tblSeverityMap[Score],0),0)</f>
        <v/>
      </c>
      <c r="T3790">
        <f>ROUND((M3790*0.25)+(N3790*0.20)+(O3790*0.15)+(P3790*0.15)+(Q3790*0.10)+(R3790*0.10)+(S3790*0.05),2)</f>
        <v/>
      </c>
      <c r="U3790">
        <f>IF(T3790&gt;=4.25,"Critical",IF(T3790&gt;=3.5,"High",IF(T3790&gt;=2,"Medium","Low")))</f>
        <v/>
      </c>
    </row>
    <row r="3791">
      <c r="R3791">
        <f>IFERROR(XLOOKUP(XLOOKUP(D3791,tblReleaseChanges[Change_ID],tblReleaseChanges[Oracle_Severity],""),tblSeverityMap[Severity_Text],tblSeverityMap[Score],0),0)</f>
        <v/>
      </c>
      <c r="T3791">
        <f>ROUND((M3791*0.25)+(N3791*0.20)+(O3791*0.15)+(P3791*0.15)+(Q3791*0.10)+(R3791*0.10)+(S3791*0.05),2)</f>
        <v/>
      </c>
      <c r="U3791">
        <f>IF(T3791&gt;=4.25,"Critical",IF(T3791&gt;=3.5,"High",IF(T3791&gt;=2,"Medium","Low")))</f>
        <v/>
      </c>
    </row>
    <row r="3792">
      <c r="R3792">
        <f>IFERROR(XLOOKUP(XLOOKUP(D3792,tblReleaseChanges[Change_ID],tblReleaseChanges[Oracle_Severity],""),tblSeverityMap[Severity_Text],tblSeverityMap[Score],0),0)</f>
        <v/>
      </c>
      <c r="T3792">
        <f>ROUND((M3792*0.25)+(N3792*0.20)+(O3792*0.15)+(P3792*0.15)+(Q3792*0.10)+(R3792*0.10)+(S3792*0.05),2)</f>
        <v/>
      </c>
      <c r="U3792">
        <f>IF(T3792&gt;=4.25,"Critical",IF(T3792&gt;=3.5,"High",IF(T3792&gt;=2,"Medium","Low")))</f>
        <v/>
      </c>
    </row>
    <row r="3793">
      <c r="R3793">
        <f>IFERROR(XLOOKUP(XLOOKUP(D3793,tblReleaseChanges[Change_ID],tblReleaseChanges[Oracle_Severity],""),tblSeverityMap[Severity_Text],tblSeverityMap[Score],0),0)</f>
        <v/>
      </c>
      <c r="T3793">
        <f>ROUND((M3793*0.25)+(N3793*0.20)+(O3793*0.15)+(P3793*0.15)+(Q3793*0.10)+(R3793*0.10)+(S3793*0.05),2)</f>
        <v/>
      </c>
      <c r="U3793">
        <f>IF(T3793&gt;=4.25,"Critical",IF(T3793&gt;=3.5,"High",IF(T3793&gt;=2,"Medium","Low")))</f>
        <v/>
      </c>
    </row>
    <row r="3794">
      <c r="R3794">
        <f>IFERROR(XLOOKUP(XLOOKUP(D3794,tblReleaseChanges[Change_ID],tblReleaseChanges[Oracle_Severity],""),tblSeverityMap[Severity_Text],tblSeverityMap[Score],0),0)</f>
        <v/>
      </c>
      <c r="T3794">
        <f>ROUND((M3794*0.25)+(N3794*0.20)+(O3794*0.15)+(P3794*0.15)+(Q3794*0.10)+(R3794*0.10)+(S3794*0.05),2)</f>
        <v/>
      </c>
      <c r="U3794">
        <f>IF(T3794&gt;=4.25,"Critical",IF(T3794&gt;=3.5,"High",IF(T3794&gt;=2,"Medium","Low")))</f>
        <v/>
      </c>
    </row>
    <row r="3795">
      <c r="R3795">
        <f>IFERROR(XLOOKUP(XLOOKUP(D3795,tblReleaseChanges[Change_ID],tblReleaseChanges[Oracle_Severity],""),tblSeverityMap[Severity_Text],tblSeverityMap[Score],0),0)</f>
        <v/>
      </c>
      <c r="T3795">
        <f>ROUND((M3795*0.25)+(N3795*0.20)+(O3795*0.15)+(P3795*0.15)+(Q3795*0.10)+(R3795*0.10)+(S3795*0.05),2)</f>
        <v/>
      </c>
      <c r="U3795">
        <f>IF(T3795&gt;=4.25,"Critical",IF(T3795&gt;=3.5,"High",IF(T3795&gt;=2,"Medium","Low")))</f>
        <v/>
      </c>
    </row>
    <row r="3796">
      <c r="R3796">
        <f>IFERROR(XLOOKUP(XLOOKUP(D3796,tblReleaseChanges[Change_ID],tblReleaseChanges[Oracle_Severity],""),tblSeverityMap[Severity_Text],tblSeverityMap[Score],0),0)</f>
        <v/>
      </c>
      <c r="T3796">
        <f>ROUND((M3796*0.25)+(N3796*0.20)+(O3796*0.15)+(P3796*0.15)+(Q3796*0.10)+(R3796*0.10)+(S3796*0.05),2)</f>
        <v/>
      </c>
      <c r="U3796">
        <f>IF(T3796&gt;=4.25,"Critical",IF(T3796&gt;=3.5,"High",IF(T3796&gt;=2,"Medium","Low")))</f>
        <v/>
      </c>
    </row>
    <row r="3797">
      <c r="R3797">
        <f>IFERROR(XLOOKUP(XLOOKUP(D3797,tblReleaseChanges[Change_ID],tblReleaseChanges[Oracle_Severity],""),tblSeverityMap[Severity_Text],tblSeverityMap[Score],0),0)</f>
        <v/>
      </c>
      <c r="T3797">
        <f>ROUND((M3797*0.25)+(N3797*0.20)+(O3797*0.15)+(P3797*0.15)+(Q3797*0.10)+(R3797*0.10)+(S3797*0.05),2)</f>
        <v/>
      </c>
      <c r="U3797">
        <f>IF(T3797&gt;=4.25,"Critical",IF(T3797&gt;=3.5,"High",IF(T3797&gt;=2,"Medium","Low")))</f>
        <v/>
      </c>
    </row>
    <row r="3798">
      <c r="R3798">
        <f>IFERROR(XLOOKUP(XLOOKUP(D3798,tblReleaseChanges[Change_ID],tblReleaseChanges[Oracle_Severity],""),tblSeverityMap[Severity_Text],tblSeverityMap[Score],0),0)</f>
        <v/>
      </c>
      <c r="T3798">
        <f>ROUND((M3798*0.25)+(N3798*0.20)+(O3798*0.15)+(P3798*0.15)+(Q3798*0.10)+(R3798*0.10)+(S3798*0.05),2)</f>
        <v/>
      </c>
      <c r="U3798">
        <f>IF(T3798&gt;=4.25,"Critical",IF(T3798&gt;=3.5,"High",IF(T3798&gt;=2,"Medium","Low")))</f>
        <v/>
      </c>
    </row>
    <row r="3799">
      <c r="R3799">
        <f>IFERROR(XLOOKUP(XLOOKUP(D3799,tblReleaseChanges[Change_ID],tblReleaseChanges[Oracle_Severity],""),tblSeverityMap[Severity_Text],tblSeverityMap[Score],0),0)</f>
        <v/>
      </c>
      <c r="T3799">
        <f>ROUND((M3799*0.25)+(N3799*0.20)+(O3799*0.15)+(P3799*0.15)+(Q3799*0.10)+(R3799*0.10)+(S3799*0.05),2)</f>
        <v/>
      </c>
      <c r="U3799">
        <f>IF(T3799&gt;=4.25,"Critical",IF(T3799&gt;=3.5,"High",IF(T3799&gt;=2,"Medium","Low")))</f>
        <v/>
      </c>
    </row>
    <row r="3800">
      <c r="R3800">
        <f>IFERROR(XLOOKUP(XLOOKUP(D3800,tblReleaseChanges[Change_ID],tblReleaseChanges[Oracle_Severity],""),tblSeverityMap[Severity_Text],tblSeverityMap[Score],0),0)</f>
        <v/>
      </c>
      <c r="T3800">
        <f>ROUND((M3800*0.25)+(N3800*0.20)+(O3800*0.15)+(P3800*0.15)+(Q3800*0.10)+(R3800*0.10)+(S3800*0.05),2)</f>
        <v/>
      </c>
      <c r="U3800">
        <f>IF(T3800&gt;=4.25,"Critical",IF(T3800&gt;=3.5,"High",IF(T3800&gt;=2,"Medium","Low")))</f>
        <v/>
      </c>
    </row>
    <row r="3801">
      <c r="R3801">
        <f>IFERROR(XLOOKUP(XLOOKUP(D3801,tblReleaseChanges[Change_ID],tblReleaseChanges[Oracle_Severity],""),tblSeverityMap[Severity_Text],tblSeverityMap[Score],0),0)</f>
        <v/>
      </c>
      <c r="T3801">
        <f>ROUND((M3801*0.25)+(N3801*0.20)+(O3801*0.15)+(P3801*0.15)+(Q3801*0.10)+(R3801*0.10)+(S3801*0.05),2)</f>
        <v/>
      </c>
      <c r="U3801">
        <f>IF(T3801&gt;=4.25,"Critical",IF(T3801&gt;=3.5,"High",IF(T3801&gt;=2,"Medium","Low")))</f>
        <v/>
      </c>
    </row>
    <row r="3802">
      <c r="R3802">
        <f>IFERROR(XLOOKUP(XLOOKUP(D3802,tblReleaseChanges[Change_ID],tblReleaseChanges[Oracle_Severity],""),tblSeverityMap[Severity_Text],tblSeverityMap[Score],0),0)</f>
        <v/>
      </c>
      <c r="T3802">
        <f>ROUND((M3802*0.25)+(N3802*0.20)+(O3802*0.15)+(P3802*0.15)+(Q3802*0.10)+(R3802*0.10)+(S3802*0.05),2)</f>
        <v/>
      </c>
      <c r="U3802">
        <f>IF(T3802&gt;=4.25,"Critical",IF(T3802&gt;=3.5,"High",IF(T3802&gt;=2,"Medium","Low")))</f>
        <v/>
      </c>
    </row>
    <row r="3803">
      <c r="R3803">
        <f>IFERROR(XLOOKUP(XLOOKUP(D3803,tblReleaseChanges[Change_ID],tblReleaseChanges[Oracle_Severity],""),tblSeverityMap[Severity_Text],tblSeverityMap[Score],0),0)</f>
        <v/>
      </c>
      <c r="T3803">
        <f>ROUND((M3803*0.25)+(N3803*0.20)+(O3803*0.15)+(P3803*0.15)+(Q3803*0.10)+(R3803*0.10)+(S3803*0.05),2)</f>
        <v/>
      </c>
      <c r="U3803">
        <f>IF(T3803&gt;=4.25,"Critical",IF(T3803&gt;=3.5,"High",IF(T3803&gt;=2,"Medium","Low")))</f>
        <v/>
      </c>
    </row>
    <row r="3804">
      <c r="R3804">
        <f>IFERROR(XLOOKUP(XLOOKUP(D3804,tblReleaseChanges[Change_ID],tblReleaseChanges[Oracle_Severity],""),tblSeverityMap[Severity_Text],tblSeverityMap[Score],0),0)</f>
        <v/>
      </c>
      <c r="T3804">
        <f>ROUND((M3804*0.25)+(N3804*0.20)+(O3804*0.15)+(P3804*0.15)+(Q3804*0.10)+(R3804*0.10)+(S3804*0.05),2)</f>
        <v/>
      </c>
      <c r="U3804">
        <f>IF(T3804&gt;=4.25,"Critical",IF(T3804&gt;=3.5,"High",IF(T3804&gt;=2,"Medium","Low")))</f>
        <v/>
      </c>
    </row>
    <row r="3805">
      <c r="R3805">
        <f>IFERROR(XLOOKUP(XLOOKUP(D3805,tblReleaseChanges[Change_ID],tblReleaseChanges[Oracle_Severity],""),tblSeverityMap[Severity_Text],tblSeverityMap[Score],0),0)</f>
        <v/>
      </c>
      <c r="T3805">
        <f>ROUND((M3805*0.25)+(N3805*0.20)+(O3805*0.15)+(P3805*0.15)+(Q3805*0.10)+(R3805*0.10)+(S3805*0.05),2)</f>
        <v/>
      </c>
      <c r="U3805">
        <f>IF(T3805&gt;=4.25,"Critical",IF(T3805&gt;=3.5,"High",IF(T3805&gt;=2,"Medium","Low")))</f>
        <v/>
      </c>
    </row>
    <row r="3806">
      <c r="R3806">
        <f>IFERROR(XLOOKUP(XLOOKUP(D3806,tblReleaseChanges[Change_ID],tblReleaseChanges[Oracle_Severity],""),tblSeverityMap[Severity_Text],tblSeverityMap[Score],0),0)</f>
        <v/>
      </c>
      <c r="T3806">
        <f>ROUND((M3806*0.25)+(N3806*0.20)+(O3806*0.15)+(P3806*0.15)+(Q3806*0.10)+(R3806*0.10)+(S3806*0.05),2)</f>
        <v/>
      </c>
      <c r="U3806">
        <f>IF(T3806&gt;=4.25,"Critical",IF(T3806&gt;=3.5,"High",IF(T3806&gt;=2,"Medium","Low")))</f>
        <v/>
      </c>
    </row>
    <row r="3807">
      <c r="R3807">
        <f>IFERROR(XLOOKUP(XLOOKUP(D3807,tblReleaseChanges[Change_ID],tblReleaseChanges[Oracle_Severity],""),tblSeverityMap[Severity_Text],tblSeverityMap[Score],0),0)</f>
        <v/>
      </c>
      <c r="T3807">
        <f>ROUND((M3807*0.25)+(N3807*0.20)+(O3807*0.15)+(P3807*0.15)+(Q3807*0.10)+(R3807*0.10)+(S3807*0.05),2)</f>
        <v/>
      </c>
      <c r="U3807">
        <f>IF(T3807&gt;=4.25,"Critical",IF(T3807&gt;=3.5,"High",IF(T3807&gt;=2,"Medium","Low")))</f>
        <v/>
      </c>
    </row>
    <row r="3808">
      <c r="R3808">
        <f>IFERROR(XLOOKUP(XLOOKUP(D3808,tblReleaseChanges[Change_ID],tblReleaseChanges[Oracle_Severity],""),tblSeverityMap[Severity_Text],tblSeverityMap[Score],0),0)</f>
        <v/>
      </c>
      <c r="T3808">
        <f>ROUND((M3808*0.25)+(N3808*0.20)+(O3808*0.15)+(P3808*0.15)+(Q3808*0.10)+(R3808*0.10)+(S3808*0.05),2)</f>
        <v/>
      </c>
      <c r="U3808">
        <f>IF(T3808&gt;=4.25,"Critical",IF(T3808&gt;=3.5,"High",IF(T3808&gt;=2,"Medium","Low")))</f>
        <v/>
      </c>
    </row>
    <row r="3809">
      <c r="R3809">
        <f>IFERROR(XLOOKUP(XLOOKUP(D3809,tblReleaseChanges[Change_ID],tblReleaseChanges[Oracle_Severity],""),tblSeverityMap[Severity_Text],tblSeverityMap[Score],0),0)</f>
        <v/>
      </c>
      <c r="T3809">
        <f>ROUND((M3809*0.25)+(N3809*0.20)+(O3809*0.15)+(P3809*0.15)+(Q3809*0.10)+(R3809*0.10)+(S3809*0.05),2)</f>
        <v/>
      </c>
      <c r="U3809">
        <f>IF(T3809&gt;=4.25,"Critical",IF(T3809&gt;=3.5,"High",IF(T3809&gt;=2,"Medium","Low")))</f>
        <v/>
      </c>
    </row>
    <row r="3810">
      <c r="R3810">
        <f>IFERROR(XLOOKUP(XLOOKUP(D3810,tblReleaseChanges[Change_ID],tblReleaseChanges[Oracle_Severity],""),tblSeverityMap[Severity_Text],tblSeverityMap[Score],0),0)</f>
        <v/>
      </c>
      <c r="T3810">
        <f>ROUND((M3810*0.25)+(N3810*0.20)+(O3810*0.15)+(P3810*0.15)+(Q3810*0.10)+(R3810*0.10)+(S3810*0.05),2)</f>
        <v/>
      </c>
      <c r="U3810">
        <f>IF(T3810&gt;=4.25,"Critical",IF(T3810&gt;=3.5,"High",IF(T3810&gt;=2,"Medium","Low")))</f>
        <v/>
      </c>
    </row>
    <row r="3811">
      <c r="R3811">
        <f>IFERROR(XLOOKUP(XLOOKUP(D3811,tblReleaseChanges[Change_ID],tblReleaseChanges[Oracle_Severity],""),tblSeverityMap[Severity_Text],tblSeverityMap[Score],0),0)</f>
        <v/>
      </c>
      <c r="T3811">
        <f>ROUND((M3811*0.25)+(N3811*0.20)+(O3811*0.15)+(P3811*0.15)+(Q3811*0.10)+(R3811*0.10)+(S3811*0.05),2)</f>
        <v/>
      </c>
      <c r="U3811">
        <f>IF(T3811&gt;=4.25,"Critical",IF(T3811&gt;=3.5,"High",IF(T3811&gt;=2,"Medium","Low")))</f>
        <v/>
      </c>
    </row>
    <row r="3812">
      <c r="R3812">
        <f>IFERROR(XLOOKUP(XLOOKUP(D3812,tblReleaseChanges[Change_ID],tblReleaseChanges[Oracle_Severity],""),tblSeverityMap[Severity_Text],tblSeverityMap[Score],0),0)</f>
        <v/>
      </c>
      <c r="T3812">
        <f>ROUND((M3812*0.25)+(N3812*0.20)+(O3812*0.15)+(P3812*0.15)+(Q3812*0.10)+(R3812*0.10)+(S3812*0.05),2)</f>
        <v/>
      </c>
      <c r="U3812">
        <f>IF(T3812&gt;=4.25,"Critical",IF(T3812&gt;=3.5,"High",IF(T3812&gt;=2,"Medium","Low")))</f>
        <v/>
      </c>
    </row>
    <row r="3813">
      <c r="R3813">
        <f>IFERROR(XLOOKUP(XLOOKUP(D3813,tblReleaseChanges[Change_ID],tblReleaseChanges[Oracle_Severity],""),tblSeverityMap[Severity_Text],tblSeverityMap[Score],0),0)</f>
        <v/>
      </c>
      <c r="T3813">
        <f>ROUND((M3813*0.25)+(N3813*0.20)+(O3813*0.15)+(P3813*0.15)+(Q3813*0.10)+(R3813*0.10)+(S3813*0.05),2)</f>
        <v/>
      </c>
      <c r="U3813">
        <f>IF(T3813&gt;=4.25,"Critical",IF(T3813&gt;=3.5,"High",IF(T3813&gt;=2,"Medium","Low")))</f>
        <v/>
      </c>
    </row>
    <row r="3814">
      <c r="R3814">
        <f>IFERROR(XLOOKUP(XLOOKUP(D3814,tblReleaseChanges[Change_ID],tblReleaseChanges[Oracle_Severity],""),tblSeverityMap[Severity_Text],tblSeverityMap[Score],0),0)</f>
        <v/>
      </c>
      <c r="T3814">
        <f>ROUND((M3814*0.25)+(N3814*0.20)+(O3814*0.15)+(P3814*0.15)+(Q3814*0.10)+(R3814*0.10)+(S3814*0.05),2)</f>
        <v/>
      </c>
      <c r="U3814">
        <f>IF(T3814&gt;=4.25,"Critical",IF(T3814&gt;=3.5,"High",IF(T3814&gt;=2,"Medium","Low")))</f>
        <v/>
      </c>
    </row>
    <row r="3815">
      <c r="R3815">
        <f>IFERROR(XLOOKUP(XLOOKUP(D3815,tblReleaseChanges[Change_ID],tblReleaseChanges[Oracle_Severity],""),tblSeverityMap[Severity_Text],tblSeverityMap[Score],0),0)</f>
        <v/>
      </c>
      <c r="T3815">
        <f>ROUND((M3815*0.25)+(N3815*0.20)+(O3815*0.15)+(P3815*0.15)+(Q3815*0.10)+(R3815*0.10)+(S3815*0.05),2)</f>
        <v/>
      </c>
      <c r="U3815">
        <f>IF(T3815&gt;=4.25,"Critical",IF(T3815&gt;=3.5,"High",IF(T3815&gt;=2,"Medium","Low")))</f>
        <v/>
      </c>
    </row>
    <row r="3816">
      <c r="R3816">
        <f>IFERROR(XLOOKUP(XLOOKUP(D3816,tblReleaseChanges[Change_ID],tblReleaseChanges[Oracle_Severity],""),tblSeverityMap[Severity_Text],tblSeverityMap[Score],0),0)</f>
        <v/>
      </c>
      <c r="T3816">
        <f>ROUND((M3816*0.25)+(N3816*0.20)+(O3816*0.15)+(P3816*0.15)+(Q3816*0.10)+(R3816*0.10)+(S3816*0.05),2)</f>
        <v/>
      </c>
      <c r="U3816">
        <f>IF(T3816&gt;=4.25,"Critical",IF(T3816&gt;=3.5,"High",IF(T3816&gt;=2,"Medium","Low")))</f>
        <v/>
      </c>
    </row>
    <row r="3817">
      <c r="R3817">
        <f>IFERROR(XLOOKUP(XLOOKUP(D3817,tblReleaseChanges[Change_ID],tblReleaseChanges[Oracle_Severity],""),tblSeverityMap[Severity_Text],tblSeverityMap[Score],0),0)</f>
        <v/>
      </c>
      <c r="T3817">
        <f>ROUND((M3817*0.25)+(N3817*0.20)+(O3817*0.15)+(P3817*0.15)+(Q3817*0.10)+(R3817*0.10)+(S3817*0.05),2)</f>
        <v/>
      </c>
      <c r="U3817">
        <f>IF(T3817&gt;=4.25,"Critical",IF(T3817&gt;=3.5,"High",IF(T3817&gt;=2,"Medium","Low")))</f>
        <v/>
      </c>
    </row>
    <row r="3818">
      <c r="R3818">
        <f>IFERROR(XLOOKUP(XLOOKUP(D3818,tblReleaseChanges[Change_ID],tblReleaseChanges[Oracle_Severity],""),tblSeverityMap[Severity_Text],tblSeverityMap[Score],0),0)</f>
        <v/>
      </c>
      <c r="T3818">
        <f>ROUND((M3818*0.25)+(N3818*0.20)+(O3818*0.15)+(P3818*0.15)+(Q3818*0.10)+(R3818*0.10)+(S3818*0.05),2)</f>
        <v/>
      </c>
      <c r="U3818">
        <f>IF(T3818&gt;=4.25,"Critical",IF(T3818&gt;=3.5,"High",IF(T3818&gt;=2,"Medium","Low")))</f>
        <v/>
      </c>
    </row>
    <row r="3819">
      <c r="R3819">
        <f>IFERROR(XLOOKUP(XLOOKUP(D3819,tblReleaseChanges[Change_ID],tblReleaseChanges[Oracle_Severity],""),tblSeverityMap[Severity_Text],tblSeverityMap[Score],0),0)</f>
        <v/>
      </c>
      <c r="T3819">
        <f>ROUND((M3819*0.25)+(N3819*0.20)+(O3819*0.15)+(P3819*0.15)+(Q3819*0.10)+(R3819*0.10)+(S3819*0.05),2)</f>
        <v/>
      </c>
      <c r="U3819">
        <f>IF(T3819&gt;=4.25,"Critical",IF(T3819&gt;=3.5,"High",IF(T3819&gt;=2,"Medium","Low")))</f>
        <v/>
      </c>
    </row>
    <row r="3820">
      <c r="R3820">
        <f>IFERROR(XLOOKUP(XLOOKUP(D3820,tblReleaseChanges[Change_ID],tblReleaseChanges[Oracle_Severity],""),tblSeverityMap[Severity_Text],tblSeverityMap[Score],0),0)</f>
        <v/>
      </c>
      <c r="T3820">
        <f>ROUND((M3820*0.25)+(N3820*0.20)+(O3820*0.15)+(P3820*0.15)+(Q3820*0.10)+(R3820*0.10)+(S3820*0.05),2)</f>
        <v/>
      </c>
      <c r="U3820">
        <f>IF(T3820&gt;=4.25,"Critical",IF(T3820&gt;=3.5,"High",IF(T3820&gt;=2,"Medium","Low")))</f>
        <v/>
      </c>
    </row>
    <row r="3821">
      <c r="R3821">
        <f>IFERROR(XLOOKUP(XLOOKUP(D3821,tblReleaseChanges[Change_ID],tblReleaseChanges[Oracle_Severity],""),tblSeverityMap[Severity_Text],tblSeverityMap[Score],0),0)</f>
        <v/>
      </c>
      <c r="T3821">
        <f>ROUND((M3821*0.25)+(N3821*0.20)+(O3821*0.15)+(P3821*0.15)+(Q3821*0.10)+(R3821*0.10)+(S3821*0.05),2)</f>
        <v/>
      </c>
      <c r="U3821">
        <f>IF(T3821&gt;=4.25,"Critical",IF(T3821&gt;=3.5,"High",IF(T3821&gt;=2,"Medium","Low")))</f>
        <v/>
      </c>
    </row>
    <row r="3822">
      <c r="R3822">
        <f>IFERROR(XLOOKUP(XLOOKUP(D3822,tblReleaseChanges[Change_ID],tblReleaseChanges[Oracle_Severity],""),tblSeverityMap[Severity_Text],tblSeverityMap[Score],0),0)</f>
        <v/>
      </c>
      <c r="T3822">
        <f>ROUND((M3822*0.25)+(N3822*0.20)+(O3822*0.15)+(P3822*0.15)+(Q3822*0.10)+(R3822*0.10)+(S3822*0.05),2)</f>
        <v/>
      </c>
      <c r="U3822">
        <f>IF(T3822&gt;=4.25,"Critical",IF(T3822&gt;=3.5,"High",IF(T3822&gt;=2,"Medium","Low")))</f>
        <v/>
      </c>
    </row>
    <row r="3823">
      <c r="R3823">
        <f>IFERROR(XLOOKUP(XLOOKUP(D3823,tblReleaseChanges[Change_ID],tblReleaseChanges[Oracle_Severity],""),tblSeverityMap[Severity_Text],tblSeverityMap[Score],0),0)</f>
        <v/>
      </c>
      <c r="T3823">
        <f>ROUND((M3823*0.25)+(N3823*0.20)+(O3823*0.15)+(P3823*0.15)+(Q3823*0.10)+(R3823*0.10)+(S3823*0.05),2)</f>
        <v/>
      </c>
      <c r="U3823">
        <f>IF(T3823&gt;=4.25,"Critical",IF(T3823&gt;=3.5,"High",IF(T3823&gt;=2,"Medium","Low")))</f>
        <v/>
      </c>
    </row>
    <row r="3824">
      <c r="R3824">
        <f>IFERROR(XLOOKUP(XLOOKUP(D3824,tblReleaseChanges[Change_ID],tblReleaseChanges[Oracle_Severity],""),tblSeverityMap[Severity_Text],tblSeverityMap[Score],0),0)</f>
        <v/>
      </c>
      <c r="T3824">
        <f>ROUND((M3824*0.25)+(N3824*0.20)+(O3824*0.15)+(P3824*0.15)+(Q3824*0.10)+(R3824*0.10)+(S3824*0.05),2)</f>
        <v/>
      </c>
      <c r="U3824">
        <f>IF(T3824&gt;=4.25,"Critical",IF(T3824&gt;=3.5,"High",IF(T3824&gt;=2,"Medium","Low")))</f>
        <v/>
      </c>
    </row>
    <row r="3825">
      <c r="R3825">
        <f>IFERROR(XLOOKUP(XLOOKUP(D3825,tblReleaseChanges[Change_ID],tblReleaseChanges[Oracle_Severity],""),tblSeverityMap[Severity_Text],tblSeverityMap[Score],0),0)</f>
        <v/>
      </c>
      <c r="T3825">
        <f>ROUND((M3825*0.25)+(N3825*0.20)+(O3825*0.15)+(P3825*0.15)+(Q3825*0.10)+(R3825*0.10)+(S3825*0.05),2)</f>
        <v/>
      </c>
      <c r="U3825">
        <f>IF(T3825&gt;=4.25,"Critical",IF(T3825&gt;=3.5,"High",IF(T3825&gt;=2,"Medium","Low")))</f>
        <v/>
      </c>
    </row>
    <row r="3826">
      <c r="R3826">
        <f>IFERROR(XLOOKUP(XLOOKUP(D3826,tblReleaseChanges[Change_ID],tblReleaseChanges[Oracle_Severity],""),tblSeverityMap[Severity_Text],tblSeverityMap[Score],0),0)</f>
        <v/>
      </c>
      <c r="T3826">
        <f>ROUND((M3826*0.25)+(N3826*0.20)+(O3826*0.15)+(P3826*0.15)+(Q3826*0.10)+(R3826*0.10)+(S3826*0.05),2)</f>
        <v/>
      </c>
      <c r="U3826">
        <f>IF(T3826&gt;=4.25,"Critical",IF(T3826&gt;=3.5,"High",IF(T3826&gt;=2,"Medium","Low")))</f>
        <v/>
      </c>
    </row>
    <row r="3827">
      <c r="R3827">
        <f>IFERROR(XLOOKUP(XLOOKUP(D3827,tblReleaseChanges[Change_ID],tblReleaseChanges[Oracle_Severity],""),tblSeverityMap[Severity_Text],tblSeverityMap[Score],0),0)</f>
        <v/>
      </c>
      <c r="T3827">
        <f>ROUND((M3827*0.25)+(N3827*0.20)+(O3827*0.15)+(P3827*0.15)+(Q3827*0.10)+(R3827*0.10)+(S3827*0.05),2)</f>
        <v/>
      </c>
      <c r="U3827">
        <f>IF(T3827&gt;=4.25,"Critical",IF(T3827&gt;=3.5,"High",IF(T3827&gt;=2,"Medium","Low")))</f>
        <v/>
      </c>
    </row>
    <row r="3828">
      <c r="R3828">
        <f>IFERROR(XLOOKUP(XLOOKUP(D3828,tblReleaseChanges[Change_ID],tblReleaseChanges[Oracle_Severity],""),tblSeverityMap[Severity_Text],tblSeverityMap[Score],0),0)</f>
        <v/>
      </c>
      <c r="T3828">
        <f>ROUND((M3828*0.25)+(N3828*0.20)+(O3828*0.15)+(P3828*0.15)+(Q3828*0.10)+(R3828*0.10)+(S3828*0.05),2)</f>
        <v/>
      </c>
      <c r="U3828">
        <f>IF(T3828&gt;=4.25,"Critical",IF(T3828&gt;=3.5,"High",IF(T3828&gt;=2,"Medium","Low")))</f>
        <v/>
      </c>
    </row>
    <row r="3829">
      <c r="R3829">
        <f>IFERROR(XLOOKUP(XLOOKUP(D3829,tblReleaseChanges[Change_ID],tblReleaseChanges[Oracle_Severity],""),tblSeverityMap[Severity_Text],tblSeverityMap[Score],0),0)</f>
        <v/>
      </c>
      <c r="T3829">
        <f>ROUND((M3829*0.25)+(N3829*0.20)+(O3829*0.15)+(P3829*0.15)+(Q3829*0.10)+(R3829*0.10)+(S3829*0.05),2)</f>
        <v/>
      </c>
      <c r="U3829">
        <f>IF(T3829&gt;=4.25,"Critical",IF(T3829&gt;=3.5,"High",IF(T3829&gt;=2,"Medium","Low")))</f>
        <v/>
      </c>
    </row>
    <row r="3830">
      <c r="R3830">
        <f>IFERROR(XLOOKUP(XLOOKUP(D3830,tblReleaseChanges[Change_ID],tblReleaseChanges[Oracle_Severity],""),tblSeverityMap[Severity_Text],tblSeverityMap[Score],0),0)</f>
        <v/>
      </c>
      <c r="T3830">
        <f>ROUND((M3830*0.25)+(N3830*0.20)+(O3830*0.15)+(P3830*0.15)+(Q3830*0.10)+(R3830*0.10)+(S3830*0.05),2)</f>
        <v/>
      </c>
      <c r="U3830">
        <f>IF(T3830&gt;=4.25,"Critical",IF(T3830&gt;=3.5,"High",IF(T3830&gt;=2,"Medium","Low")))</f>
        <v/>
      </c>
    </row>
    <row r="3831">
      <c r="R3831">
        <f>IFERROR(XLOOKUP(XLOOKUP(D3831,tblReleaseChanges[Change_ID],tblReleaseChanges[Oracle_Severity],""),tblSeverityMap[Severity_Text],tblSeverityMap[Score],0),0)</f>
        <v/>
      </c>
      <c r="T3831">
        <f>ROUND((M3831*0.25)+(N3831*0.20)+(O3831*0.15)+(P3831*0.15)+(Q3831*0.10)+(R3831*0.10)+(S3831*0.05),2)</f>
        <v/>
      </c>
      <c r="U3831">
        <f>IF(T3831&gt;=4.25,"Critical",IF(T3831&gt;=3.5,"High",IF(T3831&gt;=2,"Medium","Low")))</f>
        <v/>
      </c>
    </row>
    <row r="3832">
      <c r="R3832">
        <f>IFERROR(XLOOKUP(XLOOKUP(D3832,tblReleaseChanges[Change_ID],tblReleaseChanges[Oracle_Severity],""),tblSeverityMap[Severity_Text],tblSeverityMap[Score],0),0)</f>
        <v/>
      </c>
      <c r="T3832">
        <f>ROUND((M3832*0.25)+(N3832*0.20)+(O3832*0.15)+(P3832*0.15)+(Q3832*0.10)+(R3832*0.10)+(S3832*0.05),2)</f>
        <v/>
      </c>
      <c r="U3832">
        <f>IF(T3832&gt;=4.25,"Critical",IF(T3832&gt;=3.5,"High",IF(T3832&gt;=2,"Medium","Low")))</f>
        <v/>
      </c>
    </row>
    <row r="3833">
      <c r="R3833">
        <f>IFERROR(XLOOKUP(XLOOKUP(D3833,tblReleaseChanges[Change_ID],tblReleaseChanges[Oracle_Severity],""),tblSeverityMap[Severity_Text],tblSeverityMap[Score],0),0)</f>
        <v/>
      </c>
      <c r="T3833">
        <f>ROUND((M3833*0.25)+(N3833*0.20)+(O3833*0.15)+(P3833*0.15)+(Q3833*0.10)+(R3833*0.10)+(S3833*0.05),2)</f>
        <v/>
      </c>
      <c r="U3833">
        <f>IF(T3833&gt;=4.25,"Critical",IF(T3833&gt;=3.5,"High",IF(T3833&gt;=2,"Medium","Low")))</f>
        <v/>
      </c>
    </row>
    <row r="3834">
      <c r="R3834">
        <f>IFERROR(XLOOKUP(XLOOKUP(D3834,tblReleaseChanges[Change_ID],tblReleaseChanges[Oracle_Severity],""),tblSeverityMap[Severity_Text],tblSeverityMap[Score],0),0)</f>
        <v/>
      </c>
      <c r="T3834">
        <f>ROUND((M3834*0.25)+(N3834*0.20)+(O3834*0.15)+(P3834*0.15)+(Q3834*0.10)+(R3834*0.10)+(S3834*0.05),2)</f>
        <v/>
      </c>
      <c r="U3834">
        <f>IF(T3834&gt;=4.25,"Critical",IF(T3834&gt;=3.5,"High",IF(T3834&gt;=2,"Medium","Low")))</f>
        <v/>
      </c>
    </row>
    <row r="3835">
      <c r="R3835">
        <f>IFERROR(XLOOKUP(XLOOKUP(D3835,tblReleaseChanges[Change_ID],tblReleaseChanges[Oracle_Severity],""),tblSeverityMap[Severity_Text],tblSeverityMap[Score],0),0)</f>
        <v/>
      </c>
      <c r="T3835">
        <f>ROUND((M3835*0.25)+(N3835*0.20)+(O3835*0.15)+(P3835*0.15)+(Q3835*0.10)+(R3835*0.10)+(S3835*0.05),2)</f>
        <v/>
      </c>
      <c r="U3835">
        <f>IF(T3835&gt;=4.25,"Critical",IF(T3835&gt;=3.5,"High",IF(T3835&gt;=2,"Medium","Low")))</f>
        <v/>
      </c>
    </row>
    <row r="3836">
      <c r="R3836">
        <f>IFERROR(XLOOKUP(XLOOKUP(D3836,tblReleaseChanges[Change_ID],tblReleaseChanges[Oracle_Severity],""),tblSeverityMap[Severity_Text],tblSeverityMap[Score],0),0)</f>
        <v/>
      </c>
      <c r="T3836">
        <f>ROUND((M3836*0.25)+(N3836*0.20)+(O3836*0.15)+(P3836*0.15)+(Q3836*0.10)+(R3836*0.10)+(S3836*0.05),2)</f>
        <v/>
      </c>
      <c r="U3836">
        <f>IF(T3836&gt;=4.25,"Critical",IF(T3836&gt;=3.5,"High",IF(T3836&gt;=2,"Medium","Low")))</f>
        <v/>
      </c>
    </row>
    <row r="3837">
      <c r="R3837">
        <f>IFERROR(XLOOKUP(XLOOKUP(D3837,tblReleaseChanges[Change_ID],tblReleaseChanges[Oracle_Severity],""),tblSeverityMap[Severity_Text],tblSeverityMap[Score],0),0)</f>
        <v/>
      </c>
      <c r="T3837">
        <f>ROUND((M3837*0.25)+(N3837*0.20)+(O3837*0.15)+(P3837*0.15)+(Q3837*0.10)+(R3837*0.10)+(S3837*0.05),2)</f>
        <v/>
      </c>
      <c r="U3837">
        <f>IF(T3837&gt;=4.25,"Critical",IF(T3837&gt;=3.5,"High",IF(T3837&gt;=2,"Medium","Low")))</f>
        <v/>
      </c>
    </row>
    <row r="3838">
      <c r="R3838">
        <f>IFERROR(XLOOKUP(XLOOKUP(D3838,tblReleaseChanges[Change_ID],tblReleaseChanges[Oracle_Severity],""),tblSeverityMap[Severity_Text],tblSeverityMap[Score],0),0)</f>
        <v/>
      </c>
      <c r="T3838">
        <f>ROUND((M3838*0.25)+(N3838*0.20)+(O3838*0.15)+(P3838*0.15)+(Q3838*0.10)+(R3838*0.10)+(S3838*0.05),2)</f>
        <v/>
      </c>
      <c r="U3838">
        <f>IF(T3838&gt;=4.25,"Critical",IF(T3838&gt;=3.5,"High",IF(T3838&gt;=2,"Medium","Low")))</f>
        <v/>
      </c>
    </row>
    <row r="3839">
      <c r="R3839">
        <f>IFERROR(XLOOKUP(XLOOKUP(D3839,tblReleaseChanges[Change_ID],tblReleaseChanges[Oracle_Severity],""),tblSeverityMap[Severity_Text],tblSeverityMap[Score],0),0)</f>
        <v/>
      </c>
      <c r="T3839">
        <f>ROUND((M3839*0.25)+(N3839*0.20)+(O3839*0.15)+(P3839*0.15)+(Q3839*0.10)+(R3839*0.10)+(S3839*0.05),2)</f>
        <v/>
      </c>
      <c r="U3839">
        <f>IF(T3839&gt;=4.25,"Critical",IF(T3839&gt;=3.5,"High",IF(T3839&gt;=2,"Medium","Low")))</f>
        <v/>
      </c>
    </row>
    <row r="3840">
      <c r="R3840">
        <f>IFERROR(XLOOKUP(XLOOKUP(D3840,tblReleaseChanges[Change_ID],tblReleaseChanges[Oracle_Severity],""),tblSeverityMap[Severity_Text],tblSeverityMap[Score],0),0)</f>
        <v/>
      </c>
      <c r="T3840">
        <f>ROUND((M3840*0.25)+(N3840*0.20)+(O3840*0.15)+(P3840*0.15)+(Q3840*0.10)+(R3840*0.10)+(S3840*0.05),2)</f>
        <v/>
      </c>
      <c r="U3840">
        <f>IF(T3840&gt;=4.25,"Critical",IF(T3840&gt;=3.5,"High",IF(T3840&gt;=2,"Medium","Low")))</f>
        <v/>
      </c>
    </row>
    <row r="3841">
      <c r="R3841">
        <f>IFERROR(XLOOKUP(XLOOKUP(D3841,tblReleaseChanges[Change_ID],tblReleaseChanges[Oracle_Severity],""),tblSeverityMap[Severity_Text],tblSeverityMap[Score],0),0)</f>
        <v/>
      </c>
      <c r="T3841">
        <f>ROUND((M3841*0.25)+(N3841*0.20)+(O3841*0.15)+(P3841*0.15)+(Q3841*0.10)+(R3841*0.10)+(S3841*0.05),2)</f>
        <v/>
      </c>
      <c r="U3841">
        <f>IF(T3841&gt;=4.25,"Critical",IF(T3841&gt;=3.5,"High",IF(T3841&gt;=2,"Medium","Low")))</f>
        <v/>
      </c>
    </row>
    <row r="3842">
      <c r="R3842">
        <f>IFERROR(XLOOKUP(XLOOKUP(D3842,tblReleaseChanges[Change_ID],tblReleaseChanges[Oracle_Severity],""),tblSeverityMap[Severity_Text],tblSeverityMap[Score],0),0)</f>
        <v/>
      </c>
      <c r="T3842">
        <f>ROUND((M3842*0.25)+(N3842*0.20)+(O3842*0.15)+(P3842*0.15)+(Q3842*0.10)+(R3842*0.10)+(S3842*0.05),2)</f>
        <v/>
      </c>
      <c r="U3842">
        <f>IF(T3842&gt;=4.25,"Critical",IF(T3842&gt;=3.5,"High",IF(T3842&gt;=2,"Medium","Low")))</f>
        <v/>
      </c>
    </row>
    <row r="3843">
      <c r="R3843">
        <f>IFERROR(XLOOKUP(XLOOKUP(D3843,tblReleaseChanges[Change_ID],tblReleaseChanges[Oracle_Severity],""),tblSeverityMap[Severity_Text],tblSeverityMap[Score],0),0)</f>
        <v/>
      </c>
      <c r="T3843">
        <f>ROUND((M3843*0.25)+(N3843*0.20)+(O3843*0.15)+(P3843*0.15)+(Q3843*0.10)+(R3843*0.10)+(S3843*0.05),2)</f>
        <v/>
      </c>
      <c r="U3843">
        <f>IF(T3843&gt;=4.25,"Critical",IF(T3843&gt;=3.5,"High",IF(T3843&gt;=2,"Medium","Low")))</f>
        <v/>
      </c>
    </row>
    <row r="3844">
      <c r="R3844">
        <f>IFERROR(XLOOKUP(XLOOKUP(D3844,tblReleaseChanges[Change_ID],tblReleaseChanges[Oracle_Severity],""),tblSeverityMap[Severity_Text],tblSeverityMap[Score],0),0)</f>
        <v/>
      </c>
      <c r="T3844">
        <f>ROUND((M3844*0.25)+(N3844*0.20)+(O3844*0.15)+(P3844*0.15)+(Q3844*0.10)+(R3844*0.10)+(S3844*0.05),2)</f>
        <v/>
      </c>
      <c r="U3844">
        <f>IF(T3844&gt;=4.25,"Critical",IF(T3844&gt;=3.5,"High",IF(T3844&gt;=2,"Medium","Low")))</f>
        <v/>
      </c>
    </row>
    <row r="3845">
      <c r="R3845">
        <f>IFERROR(XLOOKUP(XLOOKUP(D3845,tblReleaseChanges[Change_ID],tblReleaseChanges[Oracle_Severity],""),tblSeverityMap[Severity_Text],tblSeverityMap[Score],0),0)</f>
        <v/>
      </c>
      <c r="T3845">
        <f>ROUND((M3845*0.25)+(N3845*0.20)+(O3845*0.15)+(P3845*0.15)+(Q3845*0.10)+(R3845*0.10)+(S3845*0.05),2)</f>
        <v/>
      </c>
      <c r="U3845">
        <f>IF(T3845&gt;=4.25,"Critical",IF(T3845&gt;=3.5,"High",IF(T3845&gt;=2,"Medium","Low")))</f>
        <v/>
      </c>
    </row>
    <row r="3846">
      <c r="R3846">
        <f>IFERROR(XLOOKUP(XLOOKUP(D3846,tblReleaseChanges[Change_ID],tblReleaseChanges[Oracle_Severity],""),tblSeverityMap[Severity_Text],tblSeverityMap[Score],0),0)</f>
        <v/>
      </c>
      <c r="T3846">
        <f>ROUND((M3846*0.25)+(N3846*0.20)+(O3846*0.15)+(P3846*0.15)+(Q3846*0.10)+(R3846*0.10)+(S3846*0.05),2)</f>
        <v/>
      </c>
      <c r="U3846">
        <f>IF(T3846&gt;=4.25,"Critical",IF(T3846&gt;=3.5,"High",IF(T3846&gt;=2,"Medium","Low")))</f>
        <v/>
      </c>
    </row>
    <row r="3847">
      <c r="R3847">
        <f>IFERROR(XLOOKUP(XLOOKUP(D3847,tblReleaseChanges[Change_ID],tblReleaseChanges[Oracle_Severity],""),tblSeverityMap[Severity_Text],tblSeverityMap[Score],0),0)</f>
        <v/>
      </c>
      <c r="T3847">
        <f>ROUND((M3847*0.25)+(N3847*0.20)+(O3847*0.15)+(P3847*0.15)+(Q3847*0.10)+(R3847*0.10)+(S3847*0.05),2)</f>
        <v/>
      </c>
      <c r="U3847">
        <f>IF(T3847&gt;=4.25,"Critical",IF(T3847&gt;=3.5,"High",IF(T3847&gt;=2,"Medium","Low")))</f>
        <v/>
      </c>
    </row>
    <row r="3848">
      <c r="R3848">
        <f>IFERROR(XLOOKUP(XLOOKUP(D3848,tblReleaseChanges[Change_ID],tblReleaseChanges[Oracle_Severity],""),tblSeverityMap[Severity_Text],tblSeverityMap[Score],0),0)</f>
        <v/>
      </c>
      <c r="T3848">
        <f>ROUND((M3848*0.25)+(N3848*0.20)+(O3848*0.15)+(P3848*0.15)+(Q3848*0.10)+(R3848*0.10)+(S3848*0.05),2)</f>
        <v/>
      </c>
      <c r="U3848">
        <f>IF(T3848&gt;=4.25,"Critical",IF(T3848&gt;=3.5,"High",IF(T3848&gt;=2,"Medium","Low")))</f>
        <v/>
      </c>
    </row>
    <row r="3849">
      <c r="R3849">
        <f>IFERROR(XLOOKUP(XLOOKUP(D3849,tblReleaseChanges[Change_ID],tblReleaseChanges[Oracle_Severity],""),tblSeverityMap[Severity_Text],tblSeverityMap[Score],0),0)</f>
        <v/>
      </c>
      <c r="T3849">
        <f>ROUND((M3849*0.25)+(N3849*0.20)+(O3849*0.15)+(P3849*0.15)+(Q3849*0.10)+(R3849*0.10)+(S3849*0.05),2)</f>
        <v/>
      </c>
      <c r="U3849">
        <f>IF(T3849&gt;=4.25,"Critical",IF(T3849&gt;=3.5,"High",IF(T3849&gt;=2,"Medium","Low")))</f>
        <v/>
      </c>
    </row>
    <row r="3850">
      <c r="R3850">
        <f>IFERROR(XLOOKUP(XLOOKUP(D3850,tblReleaseChanges[Change_ID],tblReleaseChanges[Oracle_Severity],""),tblSeverityMap[Severity_Text],tblSeverityMap[Score],0),0)</f>
        <v/>
      </c>
      <c r="T3850">
        <f>ROUND((M3850*0.25)+(N3850*0.20)+(O3850*0.15)+(P3850*0.15)+(Q3850*0.10)+(R3850*0.10)+(S3850*0.05),2)</f>
        <v/>
      </c>
      <c r="U3850">
        <f>IF(T3850&gt;=4.25,"Critical",IF(T3850&gt;=3.5,"High",IF(T3850&gt;=2,"Medium","Low")))</f>
        <v/>
      </c>
    </row>
    <row r="3851">
      <c r="R3851">
        <f>IFERROR(XLOOKUP(XLOOKUP(D3851,tblReleaseChanges[Change_ID],tblReleaseChanges[Oracle_Severity],""),tblSeverityMap[Severity_Text],tblSeverityMap[Score],0),0)</f>
        <v/>
      </c>
      <c r="T3851">
        <f>ROUND((M3851*0.25)+(N3851*0.20)+(O3851*0.15)+(P3851*0.15)+(Q3851*0.10)+(R3851*0.10)+(S3851*0.05),2)</f>
        <v/>
      </c>
      <c r="U3851">
        <f>IF(T3851&gt;=4.25,"Critical",IF(T3851&gt;=3.5,"High",IF(T3851&gt;=2,"Medium","Low")))</f>
        <v/>
      </c>
    </row>
    <row r="3852">
      <c r="R3852">
        <f>IFERROR(XLOOKUP(XLOOKUP(D3852,tblReleaseChanges[Change_ID],tblReleaseChanges[Oracle_Severity],""),tblSeverityMap[Severity_Text],tblSeverityMap[Score],0),0)</f>
        <v/>
      </c>
      <c r="T3852">
        <f>ROUND((M3852*0.25)+(N3852*0.20)+(O3852*0.15)+(P3852*0.15)+(Q3852*0.10)+(R3852*0.10)+(S3852*0.05),2)</f>
        <v/>
      </c>
      <c r="U3852">
        <f>IF(T3852&gt;=4.25,"Critical",IF(T3852&gt;=3.5,"High",IF(T3852&gt;=2,"Medium","Low")))</f>
        <v/>
      </c>
    </row>
    <row r="3853">
      <c r="R3853">
        <f>IFERROR(XLOOKUP(XLOOKUP(D3853,tblReleaseChanges[Change_ID],tblReleaseChanges[Oracle_Severity],""),tblSeverityMap[Severity_Text],tblSeverityMap[Score],0),0)</f>
        <v/>
      </c>
      <c r="T3853">
        <f>ROUND((M3853*0.25)+(N3853*0.20)+(O3853*0.15)+(P3853*0.15)+(Q3853*0.10)+(R3853*0.10)+(S3853*0.05),2)</f>
        <v/>
      </c>
      <c r="U3853">
        <f>IF(T3853&gt;=4.25,"Critical",IF(T3853&gt;=3.5,"High",IF(T3853&gt;=2,"Medium","Low")))</f>
        <v/>
      </c>
    </row>
    <row r="3854">
      <c r="R3854">
        <f>IFERROR(XLOOKUP(XLOOKUP(D3854,tblReleaseChanges[Change_ID],tblReleaseChanges[Oracle_Severity],""),tblSeverityMap[Severity_Text],tblSeverityMap[Score],0),0)</f>
        <v/>
      </c>
      <c r="T3854">
        <f>ROUND((M3854*0.25)+(N3854*0.20)+(O3854*0.15)+(P3854*0.15)+(Q3854*0.10)+(R3854*0.10)+(S3854*0.05),2)</f>
        <v/>
      </c>
      <c r="U3854">
        <f>IF(T3854&gt;=4.25,"Critical",IF(T3854&gt;=3.5,"High",IF(T3854&gt;=2,"Medium","Low")))</f>
        <v/>
      </c>
    </row>
    <row r="3855">
      <c r="R3855">
        <f>IFERROR(XLOOKUP(XLOOKUP(D3855,tblReleaseChanges[Change_ID],tblReleaseChanges[Oracle_Severity],""),tblSeverityMap[Severity_Text],tblSeverityMap[Score],0),0)</f>
        <v/>
      </c>
      <c r="T3855">
        <f>ROUND((M3855*0.25)+(N3855*0.20)+(O3855*0.15)+(P3855*0.15)+(Q3855*0.10)+(R3855*0.10)+(S3855*0.05),2)</f>
        <v/>
      </c>
      <c r="U3855">
        <f>IF(T3855&gt;=4.25,"Critical",IF(T3855&gt;=3.5,"High",IF(T3855&gt;=2,"Medium","Low")))</f>
        <v/>
      </c>
    </row>
    <row r="3856">
      <c r="R3856">
        <f>IFERROR(XLOOKUP(XLOOKUP(D3856,tblReleaseChanges[Change_ID],tblReleaseChanges[Oracle_Severity],""),tblSeverityMap[Severity_Text],tblSeverityMap[Score],0),0)</f>
        <v/>
      </c>
      <c r="T3856">
        <f>ROUND((M3856*0.25)+(N3856*0.20)+(O3856*0.15)+(P3856*0.15)+(Q3856*0.10)+(R3856*0.10)+(S3856*0.05),2)</f>
        <v/>
      </c>
      <c r="U3856">
        <f>IF(T3856&gt;=4.25,"Critical",IF(T3856&gt;=3.5,"High",IF(T3856&gt;=2,"Medium","Low")))</f>
        <v/>
      </c>
    </row>
    <row r="3857">
      <c r="R3857">
        <f>IFERROR(XLOOKUP(XLOOKUP(D3857,tblReleaseChanges[Change_ID],tblReleaseChanges[Oracle_Severity],""),tblSeverityMap[Severity_Text],tblSeverityMap[Score],0),0)</f>
        <v/>
      </c>
      <c r="T3857">
        <f>ROUND((M3857*0.25)+(N3857*0.20)+(O3857*0.15)+(P3857*0.15)+(Q3857*0.10)+(R3857*0.10)+(S3857*0.05),2)</f>
        <v/>
      </c>
      <c r="U3857">
        <f>IF(T3857&gt;=4.25,"Critical",IF(T3857&gt;=3.5,"High",IF(T3857&gt;=2,"Medium","Low")))</f>
        <v/>
      </c>
    </row>
    <row r="3858">
      <c r="R3858">
        <f>IFERROR(XLOOKUP(XLOOKUP(D3858,tblReleaseChanges[Change_ID],tblReleaseChanges[Oracle_Severity],""),tblSeverityMap[Severity_Text],tblSeverityMap[Score],0),0)</f>
        <v/>
      </c>
      <c r="T3858">
        <f>ROUND((M3858*0.25)+(N3858*0.20)+(O3858*0.15)+(P3858*0.15)+(Q3858*0.10)+(R3858*0.10)+(S3858*0.05),2)</f>
        <v/>
      </c>
      <c r="U3858">
        <f>IF(T3858&gt;=4.25,"Critical",IF(T3858&gt;=3.5,"High",IF(T3858&gt;=2,"Medium","Low")))</f>
        <v/>
      </c>
    </row>
    <row r="3859">
      <c r="R3859">
        <f>IFERROR(XLOOKUP(XLOOKUP(D3859,tblReleaseChanges[Change_ID],tblReleaseChanges[Oracle_Severity],""),tblSeverityMap[Severity_Text],tblSeverityMap[Score],0),0)</f>
        <v/>
      </c>
      <c r="T3859">
        <f>ROUND((M3859*0.25)+(N3859*0.20)+(O3859*0.15)+(P3859*0.15)+(Q3859*0.10)+(R3859*0.10)+(S3859*0.05),2)</f>
        <v/>
      </c>
      <c r="U3859">
        <f>IF(T3859&gt;=4.25,"Critical",IF(T3859&gt;=3.5,"High",IF(T3859&gt;=2,"Medium","Low")))</f>
        <v/>
      </c>
    </row>
    <row r="3860">
      <c r="R3860">
        <f>IFERROR(XLOOKUP(XLOOKUP(D3860,tblReleaseChanges[Change_ID],tblReleaseChanges[Oracle_Severity],""),tblSeverityMap[Severity_Text],tblSeverityMap[Score],0),0)</f>
        <v/>
      </c>
      <c r="T3860">
        <f>ROUND((M3860*0.25)+(N3860*0.20)+(O3860*0.15)+(P3860*0.15)+(Q3860*0.10)+(R3860*0.10)+(S3860*0.05),2)</f>
        <v/>
      </c>
      <c r="U3860">
        <f>IF(T3860&gt;=4.25,"Critical",IF(T3860&gt;=3.5,"High",IF(T3860&gt;=2,"Medium","Low")))</f>
        <v/>
      </c>
    </row>
    <row r="3861">
      <c r="R3861">
        <f>IFERROR(XLOOKUP(XLOOKUP(D3861,tblReleaseChanges[Change_ID],tblReleaseChanges[Oracle_Severity],""),tblSeverityMap[Severity_Text],tblSeverityMap[Score],0),0)</f>
        <v/>
      </c>
      <c r="T3861">
        <f>ROUND((M3861*0.25)+(N3861*0.20)+(O3861*0.15)+(P3861*0.15)+(Q3861*0.10)+(R3861*0.10)+(S3861*0.05),2)</f>
        <v/>
      </c>
      <c r="U3861">
        <f>IF(T3861&gt;=4.25,"Critical",IF(T3861&gt;=3.5,"High",IF(T3861&gt;=2,"Medium","Low")))</f>
        <v/>
      </c>
    </row>
    <row r="3862">
      <c r="R3862">
        <f>IFERROR(XLOOKUP(XLOOKUP(D3862,tblReleaseChanges[Change_ID],tblReleaseChanges[Oracle_Severity],""),tblSeverityMap[Severity_Text],tblSeverityMap[Score],0),0)</f>
        <v/>
      </c>
      <c r="T3862">
        <f>ROUND((M3862*0.25)+(N3862*0.20)+(O3862*0.15)+(P3862*0.15)+(Q3862*0.10)+(R3862*0.10)+(S3862*0.05),2)</f>
        <v/>
      </c>
      <c r="U3862">
        <f>IF(T3862&gt;=4.25,"Critical",IF(T3862&gt;=3.5,"High",IF(T3862&gt;=2,"Medium","Low")))</f>
        <v/>
      </c>
    </row>
    <row r="3863">
      <c r="R3863">
        <f>IFERROR(XLOOKUP(XLOOKUP(D3863,tblReleaseChanges[Change_ID],tblReleaseChanges[Oracle_Severity],""),tblSeverityMap[Severity_Text],tblSeverityMap[Score],0),0)</f>
        <v/>
      </c>
      <c r="T3863">
        <f>ROUND((M3863*0.25)+(N3863*0.20)+(O3863*0.15)+(P3863*0.15)+(Q3863*0.10)+(R3863*0.10)+(S3863*0.05),2)</f>
        <v/>
      </c>
      <c r="U3863">
        <f>IF(T3863&gt;=4.25,"Critical",IF(T3863&gt;=3.5,"High",IF(T3863&gt;=2,"Medium","Low")))</f>
        <v/>
      </c>
    </row>
    <row r="3864">
      <c r="R3864">
        <f>IFERROR(XLOOKUP(XLOOKUP(D3864,tblReleaseChanges[Change_ID],tblReleaseChanges[Oracle_Severity],""),tblSeverityMap[Severity_Text],tblSeverityMap[Score],0),0)</f>
        <v/>
      </c>
      <c r="T3864">
        <f>ROUND((M3864*0.25)+(N3864*0.20)+(O3864*0.15)+(P3864*0.15)+(Q3864*0.10)+(R3864*0.10)+(S3864*0.05),2)</f>
        <v/>
      </c>
      <c r="U3864">
        <f>IF(T3864&gt;=4.25,"Critical",IF(T3864&gt;=3.5,"High",IF(T3864&gt;=2,"Medium","Low")))</f>
        <v/>
      </c>
    </row>
    <row r="3865">
      <c r="R3865">
        <f>IFERROR(XLOOKUP(XLOOKUP(D3865,tblReleaseChanges[Change_ID],tblReleaseChanges[Oracle_Severity],""),tblSeverityMap[Severity_Text],tblSeverityMap[Score],0),0)</f>
        <v/>
      </c>
      <c r="T3865">
        <f>ROUND((M3865*0.25)+(N3865*0.20)+(O3865*0.15)+(P3865*0.15)+(Q3865*0.10)+(R3865*0.10)+(S3865*0.05),2)</f>
        <v/>
      </c>
      <c r="U3865">
        <f>IF(T3865&gt;=4.25,"Critical",IF(T3865&gt;=3.5,"High",IF(T3865&gt;=2,"Medium","Low")))</f>
        <v/>
      </c>
    </row>
    <row r="3866">
      <c r="R3866">
        <f>IFERROR(XLOOKUP(XLOOKUP(D3866,tblReleaseChanges[Change_ID],tblReleaseChanges[Oracle_Severity],""),tblSeverityMap[Severity_Text],tblSeverityMap[Score],0),0)</f>
        <v/>
      </c>
      <c r="T3866">
        <f>ROUND((M3866*0.25)+(N3866*0.20)+(O3866*0.15)+(P3866*0.15)+(Q3866*0.10)+(R3866*0.10)+(S3866*0.05),2)</f>
        <v/>
      </c>
      <c r="U3866">
        <f>IF(T3866&gt;=4.25,"Critical",IF(T3866&gt;=3.5,"High",IF(T3866&gt;=2,"Medium","Low")))</f>
        <v/>
      </c>
    </row>
    <row r="3867">
      <c r="R3867">
        <f>IFERROR(XLOOKUP(XLOOKUP(D3867,tblReleaseChanges[Change_ID],tblReleaseChanges[Oracle_Severity],""),tblSeverityMap[Severity_Text],tblSeverityMap[Score],0),0)</f>
        <v/>
      </c>
      <c r="T3867">
        <f>ROUND((M3867*0.25)+(N3867*0.20)+(O3867*0.15)+(P3867*0.15)+(Q3867*0.10)+(R3867*0.10)+(S3867*0.05),2)</f>
        <v/>
      </c>
      <c r="U3867">
        <f>IF(T3867&gt;=4.25,"Critical",IF(T3867&gt;=3.5,"High",IF(T3867&gt;=2,"Medium","Low")))</f>
        <v/>
      </c>
    </row>
    <row r="3868">
      <c r="R3868">
        <f>IFERROR(XLOOKUP(XLOOKUP(D3868,tblReleaseChanges[Change_ID],tblReleaseChanges[Oracle_Severity],""),tblSeverityMap[Severity_Text],tblSeverityMap[Score],0),0)</f>
        <v/>
      </c>
      <c r="T3868">
        <f>ROUND((M3868*0.25)+(N3868*0.20)+(O3868*0.15)+(P3868*0.15)+(Q3868*0.10)+(R3868*0.10)+(S3868*0.05),2)</f>
        <v/>
      </c>
      <c r="U3868">
        <f>IF(T3868&gt;=4.25,"Critical",IF(T3868&gt;=3.5,"High",IF(T3868&gt;=2,"Medium","Low")))</f>
        <v/>
      </c>
    </row>
    <row r="3869">
      <c r="R3869">
        <f>IFERROR(XLOOKUP(XLOOKUP(D3869,tblReleaseChanges[Change_ID],tblReleaseChanges[Oracle_Severity],""),tblSeverityMap[Severity_Text],tblSeverityMap[Score],0),0)</f>
        <v/>
      </c>
      <c r="T3869">
        <f>ROUND((M3869*0.25)+(N3869*0.20)+(O3869*0.15)+(P3869*0.15)+(Q3869*0.10)+(R3869*0.10)+(S3869*0.05),2)</f>
        <v/>
      </c>
      <c r="U3869">
        <f>IF(T3869&gt;=4.25,"Critical",IF(T3869&gt;=3.5,"High",IF(T3869&gt;=2,"Medium","Low")))</f>
        <v/>
      </c>
    </row>
    <row r="3870">
      <c r="R3870">
        <f>IFERROR(XLOOKUP(XLOOKUP(D3870,tblReleaseChanges[Change_ID],tblReleaseChanges[Oracle_Severity],""),tblSeverityMap[Severity_Text],tblSeverityMap[Score],0),0)</f>
        <v/>
      </c>
      <c r="T3870">
        <f>ROUND((M3870*0.25)+(N3870*0.20)+(O3870*0.15)+(P3870*0.15)+(Q3870*0.10)+(R3870*0.10)+(S3870*0.05),2)</f>
        <v/>
      </c>
      <c r="U3870">
        <f>IF(T3870&gt;=4.25,"Critical",IF(T3870&gt;=3.5,"High",IF(T3870&gt;=2,"Medium","Low")))</f>
        <v/>
      </c>
    </row>
    <row r="3871">
      <c r="R3871">
        <f>IFERROR(XLOOKUP(XLOOKUP(D3871,tblReleaseChanges[Change_ID],tblReleaseChanges[Oracle_Severity],""),tblSeverityMap[Severity_Text],tblSeverityMap[Score],0),0)</f>
        <v/>
      </c>
      <c r="T3871">
        <f>ROUND((M3871*0.25)+(N3871*0.20)+(O3871*0.15)+(P3871*0.15)+(Q3871*0.10)+(R3871*0.10)+(S3871*0.05),2)</f>
        <v/>
      </c>
      <c r="U3871">
        <f>IF(T3871&gt;=4.25,"Critical",IF(T3871&gt;=3.5,"High",IF(T3871&gt;=2,"Medium","Low")))</f>
        <v/>
      </c>
    </row>
    <row r="3872">
      <c r="R3872">
        <f>IFERROR(XLOOKUP(XLOOKUP(D3872,tblReleaseChanges[Change_ID],tblReleaseChanges[Oracle_Severity],""),tblSeverityMap[Severity_Text],tblSeverityMap[Score],0),0)</f>
        <v/>
      </c>
      <c r="T3872">
        <f>ROUND((M3872*0.25)+(N3872*0.20)+(O3872*0.15)+(P3872*0.15)+(Q3872*0.10)+(R3872*0.10)+(S3872*0.05),2)</f>
        <v/>
      </c>
      <c r="U3872">
        <f>IF(T3872&gt;=4.25,"Critical",IF(T3872&gt;=3.5,"High",IF(T3872&gt;=2,"Medium","Low")))</f>
        <v/>
      </c>
    </row>
    <row r="3873">
      <c r="R3873">
        <f>IFERROR(XLOOKUP(XLOOKUP(D3873,tblReleaseChanges[Change_ID],tblReleaseChanges[Oracle_Severity],""),tblSeverityMap[Severity_Text],tblSeverityMap[Score],0),0)</f>
        <v/>
      </c>
      <c r="T3873">
        <f>ROUND((M3873*0.25)+(N3873*0.20)+(O3873*0.15)+(P3873*0.15)+(Q3873*0.10)+(R3873*0.10)+(S3873*0.05),2)</f>
        <v/>
      </c>
      <c r="U3873">
        <f>IF(T3873&gt;=4.25,"Critical",IF(T3873&gt;=3.5,"High",IF(T3873&gt;=2,"Medium","Low")))</f>
        <v/>
      </c>
    </row>
    <row r="3874">
      <c r="R3874">
        <f>IFERROR(XLOOKUP(XLOOKUP(D3874,tblReleaseChanges[Change_ID],tblReleaseChanges[Oracle_Severity],""),tblSeverityMap[Severity_Text],tblSeverityMap[Score],0),0)</f>
        <v/>
      </c>
      <c r="T3874">
        <f>ROUND((M3874*0.25)+(N3874*0.20)+(O3874*0.15)+(P3874*0.15)+(Q3874*0.10)+(R3874*0.10)+(S3874*0.05),2)</f>
        <v/>
      </c>
      <c r="U3874">
        <f>IF(T3874&gt;=4.25,"Critical",IF(T3874&gt;=3.5,"High",IF(T3874&gt;=2,"Medium","Low")))</f>
        <v/>
      </c>
    </row>
    <row r="3875">
      <c r="R3875">
        <f>IFERROR(XLOOKUP(XLOOKUP(D3875,tblReleaseChanges[Change_ID],tblReleaseChanges[Oracle_Severity],""),tblSeverityMap[Severity_Text],tblSeverityMap[Score],0),0)</f>
        <v/>
      </c>
      <c r="T3875">
        <f>ROUND((M3875*0.25)+(N3875*0.20)+(O3875*0.15)+(P3875*0.15)+(Q3875*0.10)+(R3875*0.10)+(S3875*0.05),2)</f>
        <v/>
      </c>
      <c r="U3875">
        <f>IF(T3875&gt;=4.25,"Critical",IF(T3875&gt;=3.5,"High",IF(T3875&gt;=2,"Medium","Low")))</f>
        <v/>
      </c>
    </row>
    <row r="3876">
      <c r="R3876">
        <f>IFERROR(XLOOKUP(XLOOKUP(D3876,tblReleaseChanges[Change_ID],tblReleaseChanges[Oracle_Severity],""),tblSeverityMap[Severity_Text],tblSeverityMap[Score],0),0)</f>
        <v/>
      </c>
      <c r="T3876">
        <f>ROUND((M3876*0.25)+(N3876*0.20)+(O3876*0.15)+(P3876*0.15)+(Q3876*0.10)+(R3876*0.10)+(S3876*0.05),2)</f>
        <v/>
      </c>
      <c r="U3876">
        <f>IF(T3876&gt;=4.25,"Critical",IF(T3876&gt;=3.5,"High",IF(T3876&gt;=2,"Medium","Low")))</f>
        <v/>
      </c>
    </row>
    <row r="3877">
      <c r="R3877">
        <f>IFERROR(XLOOKUP(XLOOKUP(D3877,tblReleaseChanges[Change_ID],tblReleaseChanges[Oracle_Severity],""),tblSeverityMap[Severity_Text],tblSeverityMap[Score],0),0)</f>
        <v/>
      </c>
      <c r="T3877">
        <f>ROUND((M3877*0.25)+(N3877*0.20)+(O3877*0.15)+(P3877*0.15)+(Q3877*0.10)+(R3877*0.10)+(S3877*0.05),2)</f>
        <v/>
      </c>
      <c r="U3877">
        <f>IF(T3877&gt;=4.25,"Critical",IF(T3877&gt;=3.5,"High",IF(T3877&gt;=2,"Medium","Low")))</f>
        <v/>
      </c>
    </row>
    <row r="3878">
      <c r="R3878">
        <f>IFERROR(XLOOKUP(XLOOKUP(D3878,tblReleaseChanges[Change_ID],tblReleaseChanges[Oracle_Severity],""),tblSeverityMap[Severity_Text],tblSeverityMap[Score],0),0)</f>
        <v/>
      </c>
      <c r="T3878">
        <f>ROUND((M3878*0.25)+(N3878*0.20)+(O3878*0.15)+(P3878*0.15)+(Q3878*0.10)+(R3878*0.10)+(S3878*0.05),2)</f>
        <v/>
      </c>
      <c r="U3878">
        <f>IF(T3878&gt;=4.25,"Critical",IF(T3878&gt;=3.5,"High",IF(T3878&gt;=2,"Medium","Low")))</f>
        <v/>
      </c>
    </row>
    <row r="3879">
      <c r="R3879">
        <f>IFERROR(XLOOKUP(XLOOKUP(D3879,tblReleaseChanges[Change_ID],tblReleaseChanges[Oracle_Severity],""),tblSeverityMap[Severity_Text],tblSeverityMap[Score],0),0)</f>
        <v/>
      </c>
      <c r="T3879">
        <f>ROUND((M3879*0.25)+(N3879*0.20)+(O3879*0.15)+(P3879*0.15)+(Q3879*0.10)+(R3879*0.10)+(S3879*0.05),2)</f>
        <v/>
      </c>
      <c r="U3879">
        <f>IF(T3879&gt;=4.25,"Critical",IF(T3879&gt;=3.5,"High",IF(T3879&gt;=2,"Medium","Low")))</f>
        <v/>
      </c>
    </row>
    <row r="3880">
      <c r="R3880">
        <f>IFERROR(XLOOKUP(XLOOKUP(D3880,tblReleaseChanges[Change_ID],tblReleaseChanges[Oracle_Severity],""),tblSeverityMap[Severity_Text],tblSeverityMap[Score],0),0)</f>
        <v/>
      </c>
      <c r="T3880">
        <f>ROUND((M3880*0.25)+(N3880*0.20)+(O3880*0.15)+(P3880*0.15)+(Q3880*0.10)+(R3880*0.10)+(S3880*0.05),2)</f>
        <v/>
      </c>
      <c r="U3880">
        <f>IF(T3880&gt;=4.25,"Critical",IF(T3880&gt;=3.5,"High",IF(T3880&gt;=2,"Medium","Low")))</f>
        <v/>
      </c>
    </row>
    <row r="3881">
      <c r="R3881">
        <f>IFERROR(XLOOKUP(XLOOKUP(D3881,tblReleaseChanges[Change_ID],tblReleaseChanges[Oracle_Severity],""),tblSeverityMap[Severity_Text],tblSeverityMap[Score],0),0)</f>
        <v/>
      </c>
      <c r="T3881">
        <f>ROUND((M3881*0.25)+(N3881*0.20)+(O3881*0.15)+(P3881*0.15)+(Q3881*0.10)+(R3881*0.10)+(S3881*0.05),2)</f>
        <v/>
      </c>
      <c r="U3881">
        <f>IF(T3881&gt;=4.25,"Critical",IF(T3881&gt;=3.5,"High",IF(T3881&gt;=2,"Medium","Low")))</f>
        <v/>
      </c>
    </row>
    <row r="3882">
      <c r="R3882">
        <f>IFERROR(XLOOKUP(XLOOKUP(D3882,tblReleaseChanges[Change_ID],tblReleaseChanges[Oracle_Severity],""),tblSeverityMap[Severity_Text],tblSeverityMap[Score],0),0)</f>
        <v/>
      </c>
      <c r="T3882">
        <f>ROUND((M3882*0.25)+(N3882*0.20)+(O3882*0.15)+(P3882*0.15)+(Q3882*0.10)+(R3882*0.10)+(S3882*0.05),2)</f>
        <v/>
      </c>
      <c r="U3882">
        <f>IF(T3882&gt;=4.25,"Critical",IF(T3882&gt;=3.5,"High",IF(T3882&gt;=2,"Medium","Low")))</f>
        <v/>
      </c>
    </row>
    <row r="3883">
      <c r="R3883">
        <f>IFERROR(XLOOKUP(XLOOKUP(D3883,tblReleaseChanges[Change_ID],tblReleaseChanges[Oracle_Severity],""),tblSeverityMap[Severity_Text],tblSeverityMap[Score],0),0)</f>
        <v/>
      </c>
      <c r="T3883">
        <f>ROUND((M3883*0.25)+(N3883*0.20)+(O3883*0.15)+(P3883*0.15)+(Q3883*0.10)+(R3883*0.10)+(S3883*0.05),2)</f>
        <v/>
      </c>
      <c r="U3883">
        <f>IF(T3883&gt;=4.25,"Critical",IF(T3883&gt;=3.5,"High",IF(T3883&gt;=2,"Medium","Low")))</f>
        <v/>
      </c>
    </row>
    <row r="3884">
      <c r="R3884">
        <f>IFERROR(XLOOKUP(XLOOKUP(D3884,tblReleaseChanges[Change_ID],tblReleaseChanges[Oracle_Severity],""),tblSeverityMap[Severity_Text],tblSeverityMap[Score],0),0)</f>
        <v/>
      </c>
      <c r="T3884">
        <f>ROUND((M3884*0.25)+(N3884*0.20)+(O3884*0.15)+(P3884*0.15)+(Q3884*0.10)+(R3884*0.10)+(S3884*0.05),2)</f>
        <v/>
      </c>
      <c r="U3884">
        <f>IF(T3884&gt;=4.25,"Critical",IF(T3884&gt;=3.5,"High",IF(T3884&gt;=2,"Medium","Low")))</f>
        <v/>
      </c>
    </row>
    <row r="3885">
      <c r="R3885">
        <f>IFERROR(XLOOKUP(XLOOKUP(D3885,tblReleaseChanges[Change_ID],tblReleaseChanges[Oracle_Severity],""),tblSeverityMap[Severity_Text],tblSeverityMap[Score],0),0)</f>
        <v/>
      </c>
      <c r="T3885">
        <f>ROUND((M3885*0.25)+(N3885*0.20)+(O3885*0.15)+(P3885*0.15)+(Q3885*0.10)+(R3885*0.10)+(S3885*0.05),2)</f>
        <v/>
      </c>
      <c r="U3885">
        <f>IF(T3885&gt;=4.25,"Critical",IF(T3885&gt;=3.5,"High",IF(T3885&gt;=2,"Medium","Low")))</f>
        <v/>
      </c>
    </row>
    <row r="3886">
      <c r="R3886">
        <f>IFERROR(XLOOKUP(XLOOKUP(D3886,tblReleaseChanges[Change_ID],tblReleaseChanges[Oracle_Severity],""),tblSeverityMap[Severity_Text],tblSeverityMap[Score],0),0)</f>
        <v/>
      </c>
      <c r="T3886">
        <f>ROUND((M3886*0.25)+(N3886*0.20)+(O3886*0.15)+(P3886*0.15)+(Q3886*0.10)+(R3886*0.10)+(S3886*0.05),2)</f>
        <v/>
      </c>
      <c r="U3886">
        <f>IF(T3886&gt;=4.25,"Critical",IF(T3886&gt;=3.5,"High",IF(T3886&gt;=2,"Medium","Low")))</f>
        <v/>
      </c>
    </row>
    <row r="3887">
      <c r="R3887">
        <f>IFERROR(XLOOKUP(XLOOKUP(D3887,tblReleaseChanges[Change_ID],tblReleaseChanges[Oracle_Severity],""),tblSeverityMap[Severity_Text],tblSeverityMap[Score],0),0)</f>
        <v/>
      </c>
      <c r="T3887">
        <f>ROUND((M3887*0.25)+(N3887*0.20)+(O3887*0.15)+(P3887*0.15)+(Q3887*0.10)+(R3887*0.10)+(S3887*0.05),2)</f>
        <v/>
      </c>
      <c r="U3887">
        <f>IF(T3887&gt;=4.25,"Critical",IF(T3887&gt;=3.5,"High",IF(T3887&gt;=2,"Medium","Low")))</f>
        <v/>
      </c>
    </row>
    <row r="3888">
      <c r="R3888">
        <f>IFERROR(XLOOKUP(XLOOKUP(D3888,tblReleaseChanges[Change_ID],tblReleaseChanges[Oracle_Severity],""),tblSeverityMap[Severity_Text],tblSeverityMap[Score],0),0)</f>
        <v/>
      </c>
      <c r="T3888">
        <f>ROUND((M3888*0.25)+(N3888*0.20)+(O3888*0.15)+(P3888*0.15)+(Q3888*0.10)+(R3888*0.10)+(S3888*0.05),2)</f>
        <v/>
      </c>
      <c r="U3888">
        <f>IF(T3888&gt;=4.25,"Critical",IF(T3888&gt;=3.5,"High",IF(T3888&gt;=2,"Medium","Low")))</f>
        <v/>
      </c>
    </row>
    <row r="3889">
      <c r="R3889">
        <f>IFERROR(XLOOKUP(XLOOKUP(D3889,tblReleaseChanges[Change_ID],tblReleaseChanges[Oracle_Severity],""),tblSeverityMap[Severity_Text],tblSeverityMap[Score],0),0)</f>
        <v/>
      </c>
      <c r="T3889">
        <f>ROUND((M3889*0.25)+(N3889*0.20)+(O3889*0.15)+(P3889*0.15)+(Q3889*0.10)+(R3889*0.10)+(S3889*0.05),2)</f>
        <v/>
      </c>
      <c r="U3889">
        <f>IF(T3889&gt;=4.25,"Critical",IF(T3889&gt;=3.5,"High",IF(T3889&gt;=2,"Medium","Low")))</f>
        <v/>
      </c>
    </row>
    <row r="3890">
      <c r="R3890">
        <f>IFERROR(XLOOKUP(XLOOKUP(D3890,tblReleaseChanges[Change_ID],tblReleaseChanges[Oracle_Severity],""),tblSeverityMap[Severity_Text],tblSeverityMap[Score],0),0)</f>
        <v/>
      </c>
      <c r="T3890">
        <f>ROUND((M3890*0.25)+(N3890*0.20)+(O3890*0.15)+(P3890*0.15)+(Q3890*0.10)+(R3890*0.10)+(S3890*0.05),2)</f>
        <v/>
      </c>
      <c r="U3890">
        <f>IF(T3890&gt;=4.25,"Critical",IF(T3890&gt;=3.5,"High",IF(T3890&gt;=2,"Medium","Low")))</f>
        <v/>
      </c>
    </row>
    <row r="3891">
      <c r="R3891">
        <f>IFERROR(XLOOKUP(XLOOKUP(D3891,tblReleaseChanges[Change_ID],tblReleaseChanges[Oracle_Severity],""),tblSeverityMap[Severity_Text],tblSeverityMap[Score],0),0)</f>
        <v/>
      </c>
      <c r="T3891">
        <f>ROUND((M3891*0.25)+(N3891*0.20)+(O3891*0.15)+(P3891*0.15)+(Q3891*0.10)+(R3891*0.10)+(S3891*0.05),2)</f>
        <v/>
      </c>
      <c r="U3891">
        <f>IF(T3891&gt;=4.25,"Critical",IF(T3891&gt;=3.5,"High",IF(T3891&gt;=2,"Medium","Low")))</f>
        <v/>
      </c>
    </row>
    <row r="3892">
      <c r="R3892">
        <f>IFERROR(XLOOKUP(XLOOKUP(D3892,tblReleaseChanges[Change_ID],tblReleaseChanges[Oracle_Severity],""),tblSeverityMap[Severity_Text],tblSeverityMap[Score],0),0)</f>
        <v/>
      </c>
      <c r="T3892">
        <f>ROUND((M3892*0.25)+(N3892*0.20)+(O3892*0.15)+(P3892*0.15)+(Q3892*0.10)+(R3892*0.10)+(S3892*0.05),2)</f>
        <v/>
      </c>
      <c r="U3892">
        <f>IF(T3892&gt;=4.25,"Critical",IF(T3892&gt;=3.5,"High",IF(T3892&gt;=2,"Medium","Low")))</f>
        <v/>
      </c>
    </row>
    <row r="3893">
      <c r="R3893">
        <f>IFERROR(XLOOKUP(XLOOKUP(D3893,tblReleaseChanges[Change_ID],tblReleaseChanges[Oracle_Severity],""),tblSeverityMap[Severity_Text],tblSeverityMap[Score],0),0)</f>
        <v/>
      </c>
      <c r="T3893">
        <f>ROUND((M3893*0.25)+(N3893*0.20)+(O3893*0.15)+(P3893*0.15)+(Q3893*0.10)+(R3893*0.10)+(S3893*0.05),2)</f>
        <v/>
      </c>
      <c r="U3893">
        <f>IF(T3893&gt;=4.25,"Critical",IF(T3893&gt;=3.5,"High",IF(T3893&gt;=2,"Medium","Low")))</f>
        <v/>
      </c>
    </row>
    <row r="3894">
      <c r="R3894">
        <f>IFERROR(XLOOKUP(XLOOKUP(D3894,tblReleaseChanges[Change_ID],tblReleaseChanges[Oracle_Severity],""),tblSeverityMap[Severity_Text],tblSeverityMap[Score],0),0)</f>
        <v/>
      </c>
      <c r="T3894">
        <f>ROUND((M3894*0.25)+(N3894*0.20)+(O3894*0.15)+(P3894*0.15)+(Q3894*0.10)+(R3894*0.10)+(S3894*0.05),2)</f>
        <v/>
      </c>
      <c r="U3894">
        <f>IF(T3894&gt;=4.25,"Critical",IF(T3894&gt;=3.5,"High",IF(T3894&gt;=2,"Medium","Low")))</f>
        <v/>
      </c>
    </row>
    <row r="3895">
      <c r="R3895">
        <f>IFERROR(XLOOKUP(XLOOKUP(D3895,tblReleaseChanges[Change_ID],tblReleaseChanges[Oracle_Severity],""),tblSeverityMap[Severity_Text],tblSeverityMap[Score],0),0)</f>
        <v/>
      </c>
      <c r="T3895">
        <f>ROUND((M3895*0.25)+(N3895*0.20)+(O3895*0.15)+(P3895*0.15)+(Q3895*0.10)+(R3895*0.10)+(S3895*0.05),2)</f>
        <v/>
      </c>
      <c r="U3895">
        <f>IF(T3895&gt;=4.25,"Critical",IF(T3895&gt;=3.5,"High",IF(T3895&gt;=2,"Medium","Low")))</f>
        <v/>
      </c>
    </row>
    <row r="3896">
      <c r="R3896">
        <f>IFERROR(XLOOKUP(XLOOKUP(D3896,tblReleaseChanges[Change_ID],tblReleaseChanges[Oracle_Severity],""),tblSeverityMap[Severity_Text],tblSeverityMap[Score],0),0)</f>
        <v/>
      </c>
      <c r="T3896">
        <f>ROUND((M3896*0.25)+(N3896*0.20)+(O3896*0.15)+(P3896*0.15)+(Q3896*0.10)+(R3896*0.10)+(S3896*0.05),2)</f>
        <v/>
      </c>
      <c r="U3896">
        <f>IF(T3896&gt;=4.25,"Critical",IF(T3896&gt;=3.5,"High",IF(T3896&gt;=2,"Medium","Low")))</f>
        <v/>
      </c>
    </row>
    <row r="3897">
      <c r="R3897">
        <f>IFERROR(XLOOKUP(XLOOKUP(D3897,tblReleaseChanges[Change_ID],tblReleaseChanges[Oracle_Severity],""),tblSeverityMap[Severity_Text],tblSeverityMap[Score],0),0)</f>
        <v/>
      </c>
      <c r="T3897">
        <f>ROUND((M3897*0.25)+(N3897*0.20)+(O3897*0.15)+(P3897*0.15)+(Q3897*0.10)+(R3897*0.10)+(S3897*0.05),2)</f>
        <v/>
      </c>
      <c r="U3897">
        <f>IF(T3897&gt;=4.25,"Critical",IF(T3897&gt;=3.5,"High",IF(T3897&gt;=2,"Medium","Low")))</f>
        <v/>
      </c>
    </row>
    <row r="3898">
      <c r="R3898">
        <f>IFERROR(XLOOKUP(XLOOKUP(D3898,tblReleaseChanges[Change_ID],tblReleaseChanges[Oracle_Severity],""),tblSeverityMap[Severity_Text],tblSeverityMap[Score],0),0)</f>
        <v/>
      </c>
      <c r="T3898">
        <f>ROUND((M3898*0.25)+(N3898*0.20)+(O3898*0.15)+(P3898*0.15)+(Q3898*0.10)+(R3898*0.10)+(S3898*0.05),2)</f>
        <v/>
      </c>
      <c r="U3898">
        <f>IF(T3898&gt;=4.25,"Critical",IF(T3898&gt;=3.5,"High",IF(T3898&gt;=2,"Medium","Low")))</f>
        <v/>
      </c>
    </row>
    <row r="3899">
      <c r="R3899">
        <f>IFERROR(XLOOKUP(XLOOKUP(D3899,tblReleaseChanges[Change_ID],tblReleaseChanges[Oracle_Severity],""),tblSeverityMap[Severity_Text],tblSeverityMap[Score],0),0)</f>
        <v/>
      </c>
      <c r="T3899">
        <f>ROUND((M3899*0.25)+(N3899*0.20)+(O3899*0.15)+(P3899*0.15)+(Q3899*0.10)+(R3899*0.10)+(S3899*0.05),2)</f>
        <v/>
      </c>
      <c r="U3899">
        <f>IF(T3899&gt;=4.25,"Critical",IF(T3899&gt;=3.5,"High",IF(T3899&gt;=2,"Medium","Low")))</f>
        <v/>
      </c>
    </row>
    <row r="3900">
      <c r="R3900">
        <f>IFERROR(XLOOKUP(XLOOKUP(D3900,tblReleaseChanges[Change_ID],tblReleaseChanges[Oracle_Severity],""),tblSeverityMap[Severity_Text],tblSeverityMap[Score],0),0)</f>
        <v/>
      </c>
      <c r="T3900">
        <f>ROUND((M3900*0.25)+(N3900*0.20)+(O3900*0.15)+(P3900*0.15)+(Q3900*0.10)+(R3900*0.10)+(S3900*0.05),2)</f>
        <v/>
      </c>
      <c r="U3900">
        <f>IF(T3900&gt;=4.25,"Critical",IF(T3900&gt;=3.5,"High",IF(T3900&gt;=2,"Medium","Low")))</f>
        <v/>
      </c>
    </row>
    <row r="3901">
      <c r="R3901">
        <f>IFERROR(XLOOKUP(XLOOKUP(D3901,tblReleaseChanges[Change_ID],tblReleaseChanges[Oracle_Severity],""),tblSeverityMap[Severity_Text],tblSeverityMap[Score],0),0)</f>
        <v/>
      </c>
      <c r="T3901">
        <f>ROUND((M3901*0.25)+(N3901*0.20)+(O3901*0.15)+(P3901*0.15)+(Q3901*0.10)+(R3901*0.10)+(S3901*0.05),2)</f>
        <v/>
      </c>
      <c r="U3901">
        <f>IF(T3901&gt;=4.25,"Critical",IF(T3901&gt;=3.5,"High",IF(T3901&gt;=2,"Medium","Low")))</f>
        <v/>
      </c>
    </row>
    <row r="3902">
      <c r="R3902">
        <f>IFERROR(XLOOKUP(XLOOKUP(D3902,tblReleaseChanges[Change_ID],tblReleaseChanges[Oracle_Severity],""),tblSeverityMap[Severity_Text],tblSeverityMap[Score],0),0)</f>
        <v/>
      </c>
      <c r="T3902">
        <f>ROUND((M3902*0.25)+(N3902*0.20)+(O3902*0.15)+(P3902*0.15)+(Q3902*0.10)+(R3902*0.10)+(S3902*0.05),2)</f>
        <v/>
      </c>
      <c r="U3902">
        <f>IF(T3902&gt;=4.25,"Critical",IF(T3902&gt;=3.5,"High",IF(T3902&gt;=2,"Medium","Low")))</f>
        <v/>
      </c>
    </row>
    <row r="3903">
      <c r="R3903">
        <f>IFERROR(XLOOKUP(XLOOKUP(D3903,tblReleaseChanges[Change_ID],tblReleaseChanges[Oracle_Severity],""),tblSeverityMap[Severity_Text],tblSeverityMap[Score],0),0)</f>
        <v/>
      </c>
      <c r="T3903">
        <f>ROUND((M3903*0.25)+(N3903*0.20)+(O3903*0.15)+(P3903*0.15)+(Q3903*0.10)+(R3903*0.10)+(S3903*0.05),2)</f>
        <v/>
      </c>
      <c r="U3903">
        <f>IF(T3903&gt;=4.25,"Critical",IF(T3903&gt;=3.5,"High",IF(T3903&gt;=2,"Medium","Low")))</f>
        <v/>
      </c>
    </row>
    <row r="3904">
      <c r="R3904">
        <f>IFERROR(XLOOKUP(XLOOKUP(D3904,tblReleaseChanges[Change_ID],tblReleaseChanges[Oracle_Severity],""),tblSeverityMap[Severity_Text],tblSeverityMap[Score],0),0)</f>
        <v/>
      </c>
      <c r="T3904">
        <f>ROUND((M3904*0.25)+(N3904*0.20)+(O3904*0.15)+(P3904*0.15)+(Q3904*0.10)+(R3904*0.10)+(S3904*0.05),2)</f>
        <v/>
      </c>
      <c r="U3904">
        <f>IF(T3904&gt;=4.25,"Critical",IF(T3904&gt;=3.5,"High",IF(T3904&gt;=2,"Medium","Low")))</f>
        <v/>
      </c>
    </row>
    <row r="3905">
      <c r="R3905">
        <f>IFERROR(XLOOKUP(XLOOKUP(D3905,tblReleaseChanges[Change_ID],tblReleaseChanges[Oracle_Severity],""),tblSeverityMap[Severity_Text],tblSeverityMap[Score],0),0)</f>
        <v/>
      </c>
      <c r="T3905">
        <f>ROUND((M3905*0.25)+(N3905*0.20)+(O3905*0.15)+(P3905*0.15)+(Q3905*0.10)+(R3905*0.10)+(S3905*0.05),2)</f>
        <v/>
      </c>
      <c r="U3905">
        <f>IF(T3905&gt;=4.25,"Critical",IF(T3905&gt;=3.5,"High",IF(T3905&gt;=2,"Medium","Low")))</f>
        <v/>
      </c>
    </row>
    <row r="3906">
      <c r="R3906">
        <f>IFERROR(XLOOKUP(XLOOKUP(D3906,tblReleaseChanges[Change_ID],tblReleaseChanges[Oracle_Severity],""),tblSeverityMap[Severity_Text],tblSeverityMap[Score],0),0)</f>
        <v/>
      </c>
      <c r="T3906">
        <f>ROUND((M3906*0.25)+(N3906*0.20)+(O3906*0.15)+(P3906*0.15)+(Q3906*0.10)+(R3906*0.10)+(S3906*0.05),2)</f>
        <v/>
      </c>
      <c r="U3906">
        <f>IF(T3906&gt;=4.25,"Critical",IF(T3906&gt;=3.5,"High",IF(T3906&gt;=2,"Medium","Low")))</f>
        <v/>
      </c>
    </row>
    <row r="3907">
      <c r="R3907">
        <f>IFERROR(XLOOKUP(XLOOKUP(D3907,tblReleaseChanges[Change_ID],tblReleaseChanges[Oracle_Severity],""),tblSeverityMap[Severity_Text],tblSeverityMap[Score],0),0)</f>
        <v/>
      </c>
      <c r="T3907">
        <f>ROUND((M3907*0.25)+(N3907*0.20)+(O3907*0.15)+(P3907*0.15)+(Q3907*0.10)+(R3907*0.10)+(S3907*0.05),2)</f>
        <v/>
      </c>
      <c r="U3907">
        <f>IF(T3907&gt;=4.25,"Critical",IF(T3907&gt;=3.5,"High",IF(T3907&gt;=2,"Medium","Low")))</f>
        <v/>
      </c>
    </row>
    <row r="3908">
      <c r="R3908">
        <f>IFERROR(XLOOKUP(XLOOKUP(D3908,tblReleaseChanges[Change_ID],tblReleaseChanges[Oracle_Severity],""),tblSeverityMap[Severity_Text],tblSeverityMap[Score],0),0)</f>
        <v/>
      </c>
      <c r="T3908">
        <f>ROUND((M3908*0.25)+(N3908*0.20)+(O3908*0.15)+(P3908*0.15)+(Q3908*0.10)+(R3908*0.10)+(S3908*0.05),2)</f>
        <v/>
      </c>
      <c r="U3908">
        <f>IF(T3908&gt;=4.25,"Critical",IF(T3908&gt;=3.5,"High",IF(T3908&gt;=2,"Medium","Low")))</f>
        <v/>
      </c>
    </row>
    <row r="3909">
      <c r="R3909">
        <f>IFERROR(XLOOKUP(XLOOKUP(D3909,tblReleaseChanges[Change_ID],tblReleaseChanges[Oracle_Severity],""),tblSeverityMap[Severity_Text],tblSeverityMap[Score],0),0)</f>
        <v/>
      </c>
      <c r="T3909">
        <f>ROUND((M3909*0.25)+(N3909*0.20)+(O3909*0.15)+(P3909*0.15)+(Q3909*0.10)+(R3909*0.10)+(S3909*0.05),2)</f>
        <v/>
      </c>
      <c r="U3909">
        <f>IF(T3909&gt;=4.25,"Critical",IF(T3909&gt;=3.5,"High",IF(T3909&gt;=2,"Medium","Low")))</f>
        <v/>
      </c>
    </row>
    <row r="3910">
      <c r="R3910">
        <f>IFERROR(XLOOKUP(XLOOKUP(D3910,tblReleaseChanges[Change_ID],tblReleaseChanges[Oracle_Severity],""),tblSeverityMap[Severity_Text],tblSeverityMap[Score],0),0)</f>
        <v/>
      </c>
      <c r="T3910">
        <f>ROUND((M3910*0.25)+(N3910*0.20)+(O3910*0.15)+(P3910*0.15)+(Q3910*0.10)+(R3910*0.10)+(S3910*0.05),2)</f>
        <v/>
      </c>
      <c r="U3910">
        <f>IF(T3910&gt;=4.25,"Critical",IF(T3910&gt;=3.5,"High",IF(T3910&gt;=2,"Medium","Low")))</f>
        <v/>
      </c>
    </row>
    <row r="3911">
      <c r="R3911">
        <f>IFERROR(XLOOKUP(XLOOKUP(D3911,tblReleaseChanges[Change_ID],tblReleaseChanges[Oracle_Severity],""),tblSeverityMap[Severity_Text],tblSeverityMap[Score],0),0)</f>
        <v/>
      </c>
      <c r="T3911">
        <f>ROUND((M3911*0.25)+(N3911*0.20)+(O3911*0.15)+(P3911*0.15)+(Q3911*0.10)+(R3911*0.10)+(S3911*0.05),2)</f>
        <v/>
      </c>
      <c r="U3911">
        <f>IF(T3911&gt;=4.25,"Critical",IF(T3911&gt;=3.5,"High",IF(T3911&gt;=2,"Medium","Low")))</f>
        <v/>
      </c>
    </row>
    <row r="3912">
      <c r="R3912">
        <f>IFERROR(XLOOKUP(XLOOKUP(D3912,tblReleaseChanges[Change_ID],tblReleaseChanges[Oracle_Severity],""),tblSeverityMap[Severity_Text],tblSeverityMap[Score],0),0)</f>
        <v/>
      </c>
      <c r="T3912">
        <f>ROUND((M3912*0.25)+(N3912*0.20)+(O3912*0.15)+(P3912*0.15)+(Q3912*0.10)+(R3912*0.10)+(S3912*0.05),2)</f>
        <v/>
      </c>
      <c r="U3912">
        <f>IF(T3912&gt;=4.25,"Critical",IF(T3912&gt;=3.5,"High",IF(T3912&gt;=2,"Medium","Low")))</f>
        <v/>
      </c>
    </row>
    <row r="3913">
      <c r="R3913">
        <f>IFERROR(XLOOKUP(XLOOKUP(D3913,tblReleaseChanges[Change_ID],tblReleaseChanges[Oracle_Severity],""),tblSeverityMap[Severity_Text],tblSeverityMap[Score],0),0)</f>
        <v/>
      </c>
      <c r="T3913">
        <f>ROUND((M3913*0.25)+(N3913*0.20)+(O3913*0.15)+(P3913*0.15)+(Q3913*0.10)+(R3913*0.10)+(S3913*0.05),2)</f>
        <v/>
      </c>
      <c r="U3913">
        <f>IF(T3913&gt;=4.25,"Critical",IF(T3913&gt;=3.5,"High",IF(T3913&gt;=2,"Medium","Low")))</f>
        <v/>
      </c>
    </row>
    <row r="3914">
      <c r="R3914">
        <f>IFERROR(XLOOKUP(XLOOKUP(D3914,tblReleaseChanges[Change_ID],tblReleaseChanges[Oracle_Severity],""),tblSeverityMap[Severity_Text],tblSeverityMap[Score],0),0)</f>
        <v/>
      </c>
      <c r="T3914">
        <f>ROUND((M3914*0.25)+(N3914*0.20)+(O3914*0.15)+(P3914*0.15)+(Q3914*0.10)+(R3914*0.10)+(S3914*0.05),2)</f>
        <v/>
      </c>
      <c r="U3914">
        <f>IF(T3914&gt;=4.25,"Critical",IF(T3914&gt;=3.5,"High",IF(T3914&gt;=2,"Medium","Low")))</f>
        <v/>
      </c>
    </row>
    <row r="3915">
      <c r="R3915">
        <f>IFERROR(XLOOKUP(XLOOKUP(D3915,tblReleaseChanges[Change_ID],tblReleaseChanges[Oracle_Severity],""),tblSeverityMap[Severity_Text],tblSeverityMap[Score],0),0)</f>
        <v/>
      </c>
      <c r="T3915">
        <f>ROUND((M3915*0.25)+(N3915*0.20)+(O3915*0.15)+(P3915*0.15)+(Q3915*0.10)+(R3915*0.10)+(S3915*0.05),2)</f>
        <v/>
      </c>
      <c r="U3915">
        <f>IF(T3915&gt;=4.25,"Critical",IF(T3915&gt;=3.5,"High",IF(T3915&gt;=2,"Medium","Low")))</f>
        <v/>
      </c>
    </row>
    <row r="3916">
      <c r="R3916">
        <f>IFERROR(XLOOKUP(XLOOKUP(D3916,tblReleaseChanges[Change_ID],tblReleaseChanges[Oracle_Severity],""),tblSeverityMap[Severity_Text],tblSeverityMap[Score],0),0)</f>
        <v/>
      </c>
      <c r="T3916">
        <f>ROUND((M3916*0.25)+(N3916*0.20)+(O3916*0.15)+(P3916*0.15)+(Q3916*0.10)+(R3916*0.10)+(S3916*0.05),2)</f>
        <v/>
      </c>
      <c r="U3916">
        <f>IF(T3916&gt;=4.25,"Critical",IF(T3916&gt;=3.5,"High",IF(T3916&gt;=2,"Medium","Low")))</f>
        <v/>
      </c>
    </row>
    <row r="3917">
      <c r="R3917">
        <f>IFERROR(XLOOKUP(XLOOKUP(D3917,tblReleaseChanges[Change_ID],tblReleaseChanges[Oracle_Severity],""),tblSeverityMap[Severity_Text],tblSeverityMap[Score],0),0)</f>
        <v/>
      </c>
      <c r="T3917">
        <f>ROUND((M3917*0.25)+(N3917*0.20)+(O3917*0.15)+(P3917*0.15)+(Q3917*0.10)+(R3917*0.10)+(S3917*0.05),2)</f>
        <v/>
      </c>
      <c r="U3917">
        <f>IF(T3917&gt;=4.25,"Critical",IF(T3917&gt;=3.5,"High",IF(T3917&gt;=2,"Medium","Low")))</f>
        <v/>
      </c>
    </row>
    <row r="3918">
      <c r="R3918">
        <f>IFERROR(XLOOKUP(XLOOKUP(D3918,tblReleaseChanges[Change_ID],tblReleaseChanges[Oracle_Severity],""),tblSeverityMap[Severity_Text],tblSeverityMap[Score],0),0)</f>
        <v/>
      </c>
      <c r="T3918">
        <f>ROUND((M3918*0.25)+(N3918*0.20)+(O3918*0.15)+(P3918*0.15)+(Q3918*0.10)+(R3918*0.10)+(S3918*0.05),2)</f>
        <v/>
      </c>
      <c r="U3918">
        <f>IF(T3918&gt;=4.25,"Critical",IF(T3918&gt;=3.5,"High",IF(T3918&gt;=2,"Medium","Low")))</f>
        <v/>
      </c>
    </row>
    <row r="3919">
      <c r="R3919">
        <f>IFERROR(XLOOKUP(XLOOKUP(D3919,tblReleaseChanges[Change_ID],tblReleaseChanges[Oracle_Severity],""),tblSeverityMap[Severity_Text],tblSeverityMap[Score],0),0)</f>
        <v/>
      </c>
      <c r="T3919">
        <f>ROUND((M3919*0.25)+(N3919*0.20)+(O3919*0.15)+(P3919*0.15)+(Q3919*0.10)+(R3919*0.10)+(S3919*0.05),2)</f>
        <v/>
      </c>
      <c r="U3919">
        <f>IF(T3919&gt;=4.25,"Critical",IF(T3919&gt;=3.5,"High",IF(T3919&gt;=2,"Medium","Low")))</f>
        <v/>
      </c>
    </row>
    <row r="3920">
      <c r="R3920">
        <f>IFERROR(XLOOKUP(XLOOKUP(D3920,tblReleaseChanges[Change_ID],tblReleaseChanges[Oracle_Severity],""),tblSeverityMap[Severity_Text],tblSeverityMap[Score],0),0)</f>
        <v/>
      </c>
      <c r="T3920">
        <f>ROUND((M3920*0.25)+(N3920*0.20)+(O3920*0.15)+(P3920*0.15)+(Q3920*0.10)+(R3920*0.10)+(S3920*0.05),2)</f>
        <v/>
      </c>
      <c r="U3920">
        <f>IF(T3920&gt;=4.25,"Critical",IF(T3920&gt;=3.5,"High",IF(T3920&gt;=2,"Medium","Low")))</f>
        <v/>
      </c>
    </row>
    <row r="3921">
      <c r="R3921">
        <f>IFERROR(XLOOKUP(XLOOKUP(D3921,tblReleaseChanges[Change_ID],tblReleaseChanges[Oracle_Severity],""),tblSeverityMap[Severity_Text],tblSeverityMap[Score],0),0)</f>
        <v/>
      </c>
      <c r="T3921">
        <f>ROUND((M3921*0.25)+(N3921*0.20)+(O3921*0.15)+(P3921*0.15)+(Q3921*0.10)+(R3921*0.10)+(S3921*0.05),2)</f>
        <v/>
      </c>
      <c r="U3921">
        <f>IF(T3921&gt;=4.25,"Critical",IF(T3921&gt;=3.5,"High",IF(T3921&gt;=2,"Medium","Low")))</f>
        <v/>
      </c>
    </row>
    <row r="3922">
      <c r="R3922">
        <f>IFERROR(XLOOKUP(XLOOKUP(D3922,tblReleaseChanges[Change_ID],tblReleaseChanges[Oracle_Severity],""),tblSeverityMap[Severity_Text],tblSeverityMap[Score],0),0)</f>
        <v/>
      </c>
      <c r="T3922">
        <f>ROUND((M3922*0.25)+(N3922*0.20)+(O3922*0.15)+(P3922*0.15)+(Q3922*0.10)+(R3922*0.10)+(S3922*0.05),2)</f>
        <v/>
      </c>
      <c r="U3922">
        <f>IF(T3922&gt;=4.25,"Critical",IF(T3922&gt;=3.5,"High",IF(T3922&gt;=2,"Medium","Low")))</f>
        <v/>
      </c>
    </row>
    <row r="3923">
      <c r="R3923">
        <f>IFERROR(XLOOKUP(XLOOKUP(D3923,tblReleaseChanges[Change_ID],tblReleaseChanges[Oracle_Severity],""),tblSeverityMap[Severity_Text],tblSeverityMap[Score],0),0)</f>
        <v/>
      </c>
      <c r="T3923">
        <f>ROUND((M3923*0.25)+(N3923*0.20)+(O3923*0.15)+(P3923*0.15)+(Q3923*0.10)+(R3923*0.10)+(S3923*0.05),2)</f>
        <v/>
      </c>
      <c r="U3923">
        <f>IF(T3923&gt;=4.25,"Critical",IF(T3923&gt;=3.5,"High",IF(T3923&gt;=2,"Medium","Low")))</f>
        <v/>
      </c>
    </row>
    <row r="3924">
      <c r="R3924">
        <f>IFERROR(XLOOKUP(XLOOKUP(D3924,tblReleaseChanges[Change_ID],tblReleaseChanges[Oracle_Severity],""),tblSeverityMap[Severity_Text],tblSeverityMap[Score],0),0)</f>
        <v/>
      </c>
      <c r="T3924">
        <f>ROUND((M3924*0.25)+(N3924*0.20)+(O3924*0.15)+(P3924*0.15)+(Q3924*0.10)+(R3924*0.10)+(S3924*0.05),2)</f>
        <v/>
      </c>
      <c r="U3924">
        <f>IF(T3924&gt;=4.25,"Critical",IF(T3924&gt;=3.5,"High",IF(T3924&gt;=2,"Medium","Low")))</f>
        <v/>
      </c>
    </row>
    <row r="3925">
      <c r="R3925">
        <f>IFERROR(XLOOKUP(XLOOKUP(D3925,tblReleaseChanges[Change_ID],tblReleaseChanges[Oracle_Severity],""),tblSeverityMap[Severity_Text],tblSeverityMap[Score],0),0)</f>
        <v/>
      </c>
      <c r="T3925">
        <f>ROUND((M3925*0.25)+(N3925*0.20)+(O3925*0.15)+(P3925*0.15)+(Q3925*0.10)+(R3925*0.10)+(S3925*0.05),2)</f>
        <v/>
      </c>
      <c r="U3925">
        <f>IF(T3925&gt;=4.25,"Critical",IF(T3925&gt;=3.5,"High",IF(T3925&gt;=2,"Medium","Low")))</f>
        <v/>
      </c>
    </row>
    <row r="3926">
      <c r="R3926">
        <f>IFERROR(XLOOKUP(XLOOKUP(D3926,tblReleaseChanges[Change_ID],tblReleaseChanges[Oracle_Severity],""),tblSeverityMap[Severity_Text],tblSeverityMap[Score],0),0)</f>
        <v/>
      </c>
      <c r="T3926">
        <f>ROUND((M3926*0.25)+(N3926*0.20)+(O3926*0.15)+(P3926*0.15)+(Q3926*0.10)+(R3926*0.10)+(S3926*0.05),2)</f>
        <v/>
      </c>
      <c r="U3926">
        <f>IF(T3926&gt;=4.25,"Critical",IF(T3926&gt;=3.5,"High",IF(T3926&gt;=2,"Medium","Low")))</f>
        <v/>
      </c>
    </row>
    <row r="3927">
      <c r="R3927">
        <f>IFERROR(XLOOKUP(XLOOKUP(D3927,tblReleaseChanges[Change_ID],tblReleaseChanges[Oracle_Severity],""),tblSeverityMap[Severity_Text],tblSeverityMap[Score],0),0)</f>
        <v/>
      </c>
      <c r="T3927">
        <f>ROUND((M3927*0.25)+(N3927*0.20)+(O3927*0.15)+(P3927*0.15)+(Q3927*0.10)+(R3927*0.10)+(S3927*0.05),2)</f>
        <v/>
      </c>
      <c r="U3927">
        <f>IF(T3927&gt;=4.25,"Critical",IF(T3927&gt;=3.5,"High",IF(T3927&gt;=2,"Medium","Low")))</f>
        <v/>
      </c>
    </row>
    <row r="3928">
      <c r="R3928">
        <f>IFERROR(XLOOKUP(XLOOKUP(D3928,tblReleaseChanges[Change_ID],tblReleaseChanges[Oracle_Severity],""),tblSeverityMap[Severity_Text],tblSeverityMap[Score],0),0)</f>
        <v/>
      </c>
      <c r="T3928">
        <f>ROUND((M3928*0.25)+(N3928*0.20)+(O3928*0.15)+(P3928*0.15)+(Q3928*0.10)+(R3928*0.10)+(S3928*0.05),2)</f>
        <v/>
      </c>
      <c r="U3928">
        <f>IF(T3928&gt;=4.25,"Critical",IF(T3928&gt;=3.5,"High",IF(T3928&gt;=2,"Medium","Low")))</f>
        <v/>
      </c>
    </row>
    <row r="3929">
      <c r="R3929">
        <f>IFERROR(XLOOKUP(XLOOKUP(D3929,tblReleaseChanges[Change_ID],tblReleaseChanges[Oracle_Severity],""),tblSeverityMap[Severity_Text],tblSeverityMap[Score],0),0)</f>
        <v/>
      </c>
      <c r="T3929">
        <f>ROUND((M3929*0.25)+(N3929*0.20)+(O3929*0.15)+(P3929*0.15)+(Q3929*0.10)+(R3929*0.10)+(S3929*0.05),2)</f>
        <v/>
      </c>
      <c r="U3929">
        <f>IF(T3929&gt;=4.25,"Critical",IF(T3929&gt;=3.5,"High",IF(T3929&gt;=2,"Medium","Low")))</f>
        <v/>
      </c>
    </row>
    <row r="3930">
      <c r="R3930">
        <f>IFERROR(XLOOKUP(XLOOKUP(D3930,tblReleaseChanges[Change_ID],tblReleaseChanges[Oracle_Severity],""),tblSeverityMap[Severity_Text],tblSeverityMap[Score],0),0)</f>
        <v/>
      </c>
      <c r="T3930">
        <f>ROUND((M3930*0.25)+(N3930*0.20)+(O3930*0.15)+(P3930*0.15)+(Q3930*0.10)+(R3930*0.10)+(S3930*0.05),2)</f>
        <v/>
      </c>
      <c r="U3930">
        <f>IF(T3930&gt;=4.25,"Critical",IF(T3930&gt;=3.5,"High",IF(T3930&gt;=2,"Medium","Low")))</f>
        <v/>
      </c>
    </row>
    <row r="3931">
      <c r="R3931">
        <f>IFERROR(XLOOKUP(XLOOKUP(D3931,tblReleaseChanges[Change_ID],tblReleaseChanges[Oracle_Severity],""),tblSeverityMap[Severity_Text],tblSeverityMap[Score],0),0)</f>
        <v/>
      </c>
      <c r="T3931">
        <f>ROUND((M3931*0.25)+(N3931*0.20)+(O3931*0.15)+(P3931*0.15)+(Q3931*0.10)+(R3931*0.10)+(S3931*0.05),2)</f>
        <v/>
      </c>
      <c r="U3931">
        <f>IF(T3931&gt;=4.25,"Critical",IF(T3931&gt;=3.5,"High",IF(T3931&gt;=2,"Medium","Low")))</f>
        <v/>
      </c>
    </row>
    <row r="3932">
      <c r="R3932">
        <f>IFERROR(XLOOKUP(XLOOKUP(D3932,tblReleaseChanges[Change_ID],tblReleaseChanges[Oracle_Severity],""),tblSeverityMap[Severity_Text],tblSeverityMap[Score],0),0)</f>
        <v/>
      </c>
      <c r="T3932">
        <f>ROUND((M3932*0.25)+(N3932*0.20)+(O3932*0.15)+(P3932*0.15)+(Q3932*0.10)+(R3932*0.10)+(S3932*0.05),2)</f>
        <v/>
      </c>
      <c r="U3932">
        <f>IF(T3932&gt;=4.25,"Critical",IF(T3932&gt;=3.5,"High",IF(T3932&gt;=2,"Medium","Low")))</f>
        <v/>
      </c>
    </row>
    <row r="3933">
      <c r="R3933">
        <f>IFERROR(XLOOKUP(XLOOKUP(D3933,tblReleaseChanges[Change_ID],tblReleaseChanges[Oracle_Severity],""),tblSeverityMap[Severity_Text],tblSeverityMap[Score],0),0)</f>
        <v/>
      </c>
      <c r="T3933">
        <f>ROUND((M3933*0.25)+(N3933*0.20)+(O3933*0.15)+(P3933*0.15)+(Q3933*0.10)+(R3933*0.10)+(S3933*0.05),2)</f>
        <v/>
      </c>
      <c r="U3933">
        <f>IF(T3933&gt;=4.25,"Critical",IF(T3933&gt;=3.5,"High",IF(T3933&gt;=2,"Medium","Low")))</f>
        <v/>
      </c>
    </row>
    <row r="3934">
      <c r="R3934">
        <f>IFERROR(XLOOKUP(XLOOKUP(D3934,tblReleaseChanges[Change_ID],tblReleaseChanges[Oracle_Severity],""),tblSeverityMap[Severity_Text],tblSeverityMap[Score],0),0)</f>
        <v/>
      </c>
      <c r="T3934">
        <f>ROUND((M3934*0.25)+(N3934*0.20)+(O3934*0.15)+(P3934*0.15)+(Q3934*0.10)+(R3934*0.10)+(S3934*0.05),2)</f>
        <v/>
      </c>
      <c r="U3934">
        <f>IF(T3934&gt;=4.25,"Critical",IF(T3934&gt;=3.5,"High",IF(T3934&gt;=2,"Medium","Low")))</f>
        <v/>
      </c>
    </row>
    <row r="3935">
      <c r="R3935">
        <f>IFERROR(XLOOKUP(XLOOKUP(D3935,tblReleaseChanges[Change_ID],tblReleaseChanges[Oracle_Severity],""),tblSeverityMap[Severity_Text],tblSeverityMap[Score],0),0)</f>
        <v/>
      </c>
      <c r="T3935">
        <f>ROUND((M3935*0.25)+(N3935*0.20)+(O3935*0.15)+(P3935*0.15)+(Q3935*0.10)+(R3935*0.10)+(S3935*0.05),2)</f>
        <v/>
      </c>
      <c r="U3935">
        <f>IF(T3935&gt;=4.25,"Critical",IF(T3935&gt;=3.5,"High",IF(T3935&gt;=2,"Medium","Low")))</f>
        <v/>
      </c>
    </row>
    <row r="3936">
      <c r="R3936">
        <f>IFERROR(XLOOKUP(XLOOKUP(D3936,tblReleaseChanges[Change_ID],tblReleaseChanges[Oracle_Severity],""),tblSeverityMap[Severity_Text],tblSeverityMap[Score],0),0)</f>
        <v/>
      </c>
      <c r="T3936">
        <f>ROUND((M3936*0.25)+(N3936*0.20)+(O3936*0.15)+(P3936*0.15)+(Q3936*0.10)+(R3936*0.10)+(S3936*0.05),2)</f>
        <v/>
      </c>
      <c r="U3936">
        <f>IF(T3936&gt;=4.25,"Critical",IF(T3936&gt;=3.5,"High",IF(T3936&gt;=2,"Medium","Low")))</f>
        <v/>
      </c>
    </row>
    <row r="3937">
      <c r="R3937">
        <f>IFERROR(XLOOKUP(XLOOKUP(D3937,tblReleaseChanges[Change_ID],tblReleaseChanges[Oracle_Severity],""),tblSeverityMap[Severity_Text],tblSeverityMap[Score],0),0)</f>
        <v/>
      </c>
      <c r="T3937">
        <f>ROUND((M3937*0.25)+(N3937*0.20)+(O3937*0.15)+(P3937*0.15)+(Q3937*0.10)+(R3937*0.10)+(S3937*0.05),2)</f>
        <v/>
      </c>
      <c r="U3937">
        <f>IF(T3937&gt;=4.25,"Critical",IF(T3937&gt;=3.5,"High",IF(T3937&gt;=2,"Medium","Low")))</f>
        <v/>
      </c>
    </row>
    <row r="3938">
      <c r="R3938">
        <f>IFERROR(XLOOKUP(XLOOKUP(D3938,tblReleaseChanges[Change_ID],tblReleaseChanges[Oracle_Severity],""),tblSeverityMap[Severity_Text],tblSeverityMap[Score],0),0)</f>
        <v/>
      </c>
      <c r="T3938">
        <f>ROUND((M3938*0.25)+(N3938*0.20)+(O3938*0.15)+(P3938*0.15)+(Q3938*0.10)+(R3938*0.10)+(S3938*0.05),2)</f>
        <v/>
      </c>
      <c r="U3938">
        <f>IF(T3938&gt;=4.25,"Critical",IF(T3938&gt;=3.5,"High",IF(T3938&gt;=2,"Medium","Low")))</f>
        <v/>
      </c>
    </row>
    <row r="3939">
      <c r="R3939">
        <f>IFERROR(XLOOKUP(XLOOKUP(D3939,tblReleaseChanges[Change_ID],tblReleaseChanges[Oracle_Severity],""),tblSeverityMap[Severity_Text],tblSeverityMap[Score],0),0)</f>
        <v/>
      </c>
      <c r="T3939">
        <f>ROUND((M3939*0.25)+(N3939*0.20)+(O3939*0.15)+(P3939*0.15)+(Q3939*0.10)+(R3939*0.10)+(S3939*0.05),2)</f>
        <v/>
      </c>
      <c r="U3939">
        <f>IF(T3939&gt;=4.25,"Critical",IF(T3939&gt;=3.5,"High",IF(T3939&gt;=2,"Medium","Low")))</f>
        <v/>
      </c>
    </row>
    <row r="3940">
      <c r="R3940">
        <f>IFERROR(XLOOKUP(XLOOKUP(D3940,tblReleaseChanges[Change_ID],tblReleaseChanges[Oracle_Severity],""),tblSeverityMap[Severity_Text],tblSeverityMap[Score],0),0)</f>
        <v/>
      </c>
      <c r="T3940">
        <f>ROUND((M3940*0.25)+(N3940*0.20)+(O3940*0.15)+(P3940*0.15)+(Q3940*0.10)+(R3940*0.10)+(S3940*0.05),2)</f>
        <v/>
      </c>
      <c r="U3940">
        <f>IF(T3940&gt;=4.25,"Critical",IF(T3940&gt;=3.5,"High",IF(T3940&gt;=2,"Medium","Low")))</f>
        <v/>
      </c>
    </row>
    <row r="3941">
      <c r="R3941">
        <f>IFERROR(XLOOKUP(XLOOKUP(D3941,tblReleaseChanges[Change_ID],tblReleaseChanges[Oracle_Severity],""),tblSeverityMap[Severity_Text],tblSeverityMap[Score],0),0)</f>
        <v/>
      </c>
      <c r="T3941">
        <f>ROUND((M3941*0.25)+(N3941*0.20)+(O3941*0.15)+(P3941*0.15)+(Q3941*0.10)+(R3941*0.10)+(S3941*0.05),2)</f>
        <v/>
      </c>
      <c r="U3941">
        <f>IF(T3941&gt;=4.25,"Critical",IF(T3941&gt;=3.5,"High",IF(T3941&gt;=2,"Medium","Low")))</f>
        <v/>
      </c>
    </row>
    <row r="3942">
      <c r="R3942">
        <f>IFERROR(XLOOKUP(XLOOKUP(D3942,tblReleaseChanges[Change_ID],tblReleaseChanges[Oracle_Severity],""),tblSeverityMap[Severity_Text],tblSeverityMap[Score],0),0)</f>
        <v/>
      </c>
      <c r="T3942">
        <f>ROUND((M3942*0.25)+(N3942*0.20)+(O3942*0.15)+(P3942*0.15)+(Q3942*0.10)+(R3942*0.10)+(S3942*0.05),2)</f>
        <v/>
      </c>
      <c r="U3942">
        <f>IF(T3942&gt;=4.25,"Critical",IF(T3942&gt;=3.5,"High",IF(T3942&gt;=2,"Medium","Low")))</f>
        <v/>
      </c>
    </row>
    <row r="3943">
      <c r="R3943">
        <f>IFERROR(XLOOKUP(XLOOKUP(D3943,tblReleaseChanges[Change_ID],tblReleaseChanges[Oracle_Severity],""),tblSeverityMap[Severity_Text],tblSeverityMap[Score],0),0)</f>
        <v/>
      </c>
      <c r="T3943">
        <f>ROUND((M3943*0.25)+(N3943*0.20)+(O3943*0.15)+(P3943*0.15)+(Q3943*0.10)+(R3943*0.10)+(S3943*0.05),2)</f>
        <v/>
      </c>
      <c r="U3943">
        <f>IF(T3943&gt;=4.25,"Critical",IF(T3943&gt;=3.5,"High",IF(T3943&gt;=2,"Medium","Low")))</f>
        <v/>
      </c>
    </row>
    <row r="3944">
      <c r="R3944">
        <f>IFERROR(XLOOKUP(XLOOKUP(D3944,tblReleaseChanges[Change_ID],tblReleaseChanges[Oracle_Severity],""),tblSeverityMap[Severity_Text],tblSeverityMap[Score],0),0)</f>
        <v/>
      </c>
      <c r="T3944">
        <f>ROUND((M3944*0.25)+(N3944*0.20)+(O3944*0.15)+(P3944*0.15)+(Q3944*0.10)+(R3944*0.10)+(S3944*0.05),2)</f>
        <v/>
      </c>
      <c r="U3944">
        <f>IF(T3944&gt;=4.25,"Critical",IF(T3944&gt;=3.5,"High",IF(T3944&gt;=2,"Medium","Low")))</f>
        <v/>
      </c>
    </row>
    <row r="3945">
      <c r="R3945">
        <f>IFERROR(XLOOKUP(XLOOKUP(D3945,tblReleaseChanges[Change_ID],tblReleaseChanges[Oracle_Severity],""),tblSeverityMap[Severity_Text],tblSeverityMap[Score],0),0)</f>
        <v/>
      </c>
      <c r="T3945">
        <f>ROUND((M3945*0.25)+(N3945*0.20)+(O3945*0.15)+(P3945*0.15)+(Q3945*0.10)+(R3945*0.10)+(S3945*0.05),2)</f>
        <v/>
      </c>
      <c r="U3945">
        <f>IF(T3945&gt;=4.25,"Critical",IF(T3945&gt;=3.5,"High",IF(T3945&gt;=2,"Medium","Low")))</f>
        <v/>
      </c>
    </row>
    <row r="3946">
      <c r="R3946">
        <f>IFERROR(XLOOKUP(XLOOKUP(D3946,tblReleaseChanges[Change_ID],tblReleaseChanges[Oracle_Severity],""),tblSeverityMap[Severity_Text],tblSeverityMap[Score],0),0)</f>
        <v/>
      </c>
      <c r="T3946">
        <f>ROUND((M3946*0.25)+(N3946*0.20)+(O3946*0.15)+(P3946*0.15)+(Q3946*0.10)+(R3946*0.10)+(S3946*0.05),2)</f>
        <v/>
      </c>
      <c r="U3946">
        <f>IF(T3946&gt;=4.25,"Critical",IF(T3946&gt;=3.5,"High",IF(T3946&gt;=2,"Medium","Low")))</f>
        <v/>
      </c>
    </row>
    <row r="3947">
      <c r="R3947">
        <f>IFERROR(XLOOKUP(XLOOKUP(D3947,tblReleaseChanges[Change_ID],tblReleaseChanges[Oracle_Severity],""),tblSeverityMap[Severity_Text],tblSeverityMap[Score],0),0)</f>
        <v/>
      </c>
      <c r="T3947">
        <f>ROUND((M3947*0.25)+(N3947*0.20)+(O3947*0.15)+(P3947*0.15)+(Q3947*0.10)+(R3947*0.10)+(S3947*0.05),2)</f>
        <v/>
      </c>
      <c r="U3947">
        <f>IF(T3947&gt;=4.25,"Critical",IF(T3947&gt;=3.5,"High",IF(T3947&gt;=2,"Medium","Low")))</f>
        <v/>
      </c>
    </row>
    <row r="3948">
      <c r="R3948">
        <f>IFERROR(XLOOKUP(XLOOKUP(D3948,tblReleaseChanges[Change_ID],tblReleaseChanges[Oracle_Severity],""),tblSeverityMap[Severity_Text],tblSeverityMap[Score],0),0)</f>
        <v/>
      </c>
      <c r="T3948">
        <f>ROUND((M3948*0.25)+(N3948*0.20)+(O3948*0.15)+(P3948*0.15)+(Q3948*0.10)+(R3948*0.10)+(S3948*0.05),2)</f>
        <v/>
      </c>
      <c r="U3948">
        <f>IF(T3948&gt;=4.25,"Critical",IF(T3948&gt;=3.5,"High",IF(T3948&gt;=2,"Medium","Low")))</f>
        <v/>
      </c>
    </row>
    <row r="3949">
      <c r="R3949">
        <f>IFERROR(XLOOKUP(XLOOKUP(D3949,tblReleaseChanges[Change_ID],tblReleaseChanges[Oracle_Severity],""),tblSeverityMap[Severity_Text],tblSeverityMap[Score],0),0)</f>
        <v/>
      </c>
      <c r="T3949">
        <f>ROUND((M3949*0.25)+(N3949*0.20)+(O3949*0.15)+(P3949*0.15)+(Q3949*0.10)+(R3949*0.10)+(S3949*0.05),2)</f>
        <v/>
      </c>
      <c r="U3949">
        <f>IF(T3949&gt;=4.25,"Critical",IF(T3949&gt;=3.5,"High",IF(T3949&gt;=2,"Medium","Low")))</f>
        <v/>
      </c>
    </row>
    <row r="3950">
      <c r="R3950">
        <f>IFERROR(XLOOKUP(XLOOKUP(D3950,tblReleaseChanges[Change_ID],tblReleaseChanges[Oracle_Severity],""),tblSeverityMap[Severity_Text],tblSeverityMap[Score],0),0)</f>
        <v/>
      </c>
      <c r="T3950">
        <f>ROUND((M3950*0.25)+(N3950*0.20)+(O3950*0.15)+(P3950*0.15)+(Q3950*0.10)+(R3950*0.10)+(S3950*0.05),2)</f>
        <v/>
      </c>
      <c r="U3950">
        <f>IF(T3950&gt;=4.25,"Critical",IF(T3950&gt;=3.5,"High",IF(T3950&gt;=2,"Medium","Low")))</f>
        <v/>
      </c>
    </row>
    <row r="3951">
      <c r="R3951">
        <f>IFERROR(XLOOKUP(XLOOKUP(D3951,tblReleaseChanges[Change_ID],tblReleaseChanges[Oracle_Severity],""),tblSeverityMap[Severity_Text],tblSeverityMap[Score],0),0)</f>
        <v/>
      </c>
      <c r="T3951">
        <f>ROUND((M3951*0.25)+(N3951*0.20)+(O3951*0.15)+(P3951*0.15)+(Q3951*0.10)+(R3951*0.10)+(S3951*0.05),2)</f>
        <v/>
      </c>
      <c r="U3951">
        <f>IF(T3951&gt;=4.25,"Critical",IF(T3951&gt;=3.5,"High",IF(T3951&gt;=2,"Medium","Low")))</f>
        <v/>
      </c>
    </row>
    <row r="3952">
      <c r="R3952">
        <f>IFERROR(XLOOKUP(XLOOKUP(D3952,tblReleaseChanges[Change_ID],tblReleaseChanges[Oracle_Severity],""),tblSeverityMap[Severity_Text],tblSeverityMap[Score],0),0)</f>
        <v/>
      </c>
      <c r="T3952">
        <f>ROUND((M3952*0.25)+(N3952*0.20)+(O3952*0.15)+(P3952*0.15)+(Q3952*0.10)+(R3952*0.10)+(S3952*0.05),2)</f>
        <v/>
      </c>
      <c r="U3952">
        <f>IF(T3952&gt;=4.25,"Critical",IF(T3952&gt;=3.5,"High",IF(T3952&gt;=2,"Medium","Low")))</f>
        <v/>
      </c>
    </row>
    <row r="3953">
      <c r="R3953">
        <f>IFERROR(XLOOKUP(XLOOKUP(D3953,tblReleaseChanges[Change_ID],tblReleaseChanges[Oracle_Severity],""),tblSeverityMap[Severity_Text],tblSeverityMap[Score],0),0)</f>
        <v/>
      </c>
      <c r="T3953">
        <f>ROUND((M3953*0.25)+(N3953*0.20)+(O3953*0.15)+(P3953*0.15)+(Q3953*0.10)+(R3953*0.10)+(S3953*0.05),2)</f>
        <v/>
      </c>
      <c r="U3953">
        <f>IF(T3953&gt;=4.25,"Critical",IF(T3953&gt;=3.5,"High",IF(T3953&gt;=2,"Medium","Low")))</f>
        <v/>
      </c>
    </row>
    <row r="3954">
      <c r="R3954">
        <f>IFERROR(XLOOKUP(XLOOKUP(D3954,tblReleaseChanges[Change_ID],tblReleaseChanges[Oracle_Severity],""),tblSeverityMap[Severity_Text],tblSeverityMap[Score],0),0)</f>
        <v/>
      </c>
      <c r="T3954">
        <f>ROUND((M3954*0.25)+(N3954*0.20)+(O3954*0.15)+(P3954*0.15)+(Q3954*0.10)+(R3954*0.10)+(S3954*0.05),2)</f>
        <v/>
      </c>
      <c r="U3954">
        <f>IF(T3954&gt;=4.25,"Critical",IF(T3954&gt;=3.5,"High",IF(T3954&gt;=2,"Medium","Low")))</f>
        <v/>
      </c>
    </row>
    <row r="3955">
      <c r="R3955">
        <f>IFERROR(XLOOKUP(XLOOKUP(D3955,tblReleaseChanges[Change_ID],tblReleaseChanges[Oracle_Severity],""),tblSeverityMap[Severity_Text],tblSeverityMap[Score],0),0)</f>
        <v/>
      </c>
      <c r="T3955">
        <f>ROUND((M3955*0.25)+(N3955*0.20)+(O3955*0.15)+(P3955*0.15)+(Q3955*0.10)+(R3955*0.10)+(S3955*0.05),2)</f>
        <v/>
      </c>
      <c r="U3955">
        <f>IF(T3955&gt;=4.25,"Critical",IF(T3955&gt;=3.5,"High",IF(T3955&gt;=2,"Medium","Low")))</f>
        <v/>
      </c>
    </row>
    <row r="3956">
      <c r="R3956">
        <f>IFERROR(XLOOKUP(XLOOKUP(D3956,tblReleaseChanges[Change_ID],tblReleaseChanges[Oracle_Severity],""),tblSeverityMap[Severity_Text],tblSeverityMap[Score],0),0)</f>
        <v/>
      </c>
      <c r="T3956">
        <f>ROUND((M3956*0.25)+(N3956*0.20)+(O3956*0.15)+(P3956*0.15)+(Q3956*0.10)+(R3956*0.10)+(S3956*0.05),2)</f>
        <v/>
      </c>
      <c r="U3956">
        <f>IF(T3956&gt;=4.25,"Critical",IF(T3956&gt;=3.5,"High",IF(T3956&gt;=2,"Medium","Low")))</f>
        <v/>
      </c>
    </row>
    <row r="3957">
      <c r="R3957">
        <f>IFERROR(XLOOKUP(XLOOKUP(D3957,tblReleaseChanges[Change_ID],tblReleaseChanges[Oracle_Severity],""),tblSeverityMap[Severity_Text],tblSeverityMap[Score],0),0)</f>
        <v/>
      </c>
      <c r="T3957">
        <f>ROUND((M3957*0.25)+(N3957*0.20)+(O3957*0.15)+(P3957*0.15)+(Q3957*0.10)+(R3957*0.10)+(S3957*0.05),2)</f>
        <v/>
      </c>
      <c r="U3957">
        <f>IF(T3957&gt;=4.25,"Critical",IF(T3957&gt;=3.5,"High",IF(T3957&gt;=2,"Medium","Low")))</f>
        <v/>
      </c>
    </row>
    <row r="3958">
      <c r="R3958">
        <f>IFERROR(XLOOKUP(XLOOKUP(D3958,tblReleaseChanges[Change_ID],tblReleaseChanges[Oracle_Severity],""),tblSeverityMap[Severity_Text],tblSeverityMap[Score],0),0)</f>
        <v/>
      </c>
      <c r="T3958">
        <f>ROUND((M3958*0.25)+(N3958*0.20)+(O3958*0.15)+(P3958*0.15)+(Q3958*0.10)+(R3958*0.10)+(S3958*0.05),2)</f>
        <v/>
      </c>
      <c r="U3958">
        <f>IF(T3958&gt;=4.25,"Critical",IF(T3958&gt;=3.5,"High",IF(T3958&gt;=2,"Medium","Low")))</f>
        <v/>
      </c>
    </row>
    <row r="3959">
      <c r="R3959">
        <f>IFERROR(XLOOKUP(XLOOKUP(D3959,tblReleaseChanges[Change_ID],tblReleaseChanges[Oracle_Severity],""),tblSeverityMap[Severity_Text],tblSeverityMap[Score],0),0)</f>
        <v/>
      </c>
      <c r="T3959">
        <f>ROUND((M3959*0.25)+(N3959*0.20)+(O3959*0.15)+(P3959*0.15)+(Q3959*0.10)+(R3959*0.10)+(S3959*0.05),2)</f>
        <v/>
      </c>
      <c r="U3959">
        <f>IF(T3959&gt;=4.25,"Critical",IF(T3959&gt;=3.5,"High",IF(T3959&gt;=2,"Medium","Low")))</f>
        <v/>
      </c>
    </row>
    <row r="3960">
      <c r="R3960">
        <f>IFERROR(XLOOKUP(XLOOKUP(D3960,tblReleaseChanges[Change_ID],tblReleaseChanges[Oracle_Severity],""),tblSeverityMap[Severity_Text],tblSeverityMap[Score],0),0)</f>
        <v/>
      </c>
      <c r="T3960">
        <f>ROUND((M3960*0.25)+(N3960*0.20)+(O3960*0.15)+(P3960*0.15)+(Q3960*0.10)+(R3960*0.10)+(S3960*0.05),2)</f>
        <v/>
      </c>
      <c r="U3960">
        <f>IF(T3960&gt;=4.25,"Critical",IF(T3960&gt;=3.5,"High",IF(T3960&gt;=2,"Medium","Low")))</f>
        <v/>
      </c>
    </row>
    <row r="3961">
      <c r="R3961">
        <f>IFERROR(XLOOKUP(XLOOKUP(D3961,tblReleaseChanges[Change_ID],tblReleaseChanges[Oracle_Severity],""),tblSeverityMap[Severity_Text],tblSeverityMap[Score],0),0)</f>
        <v/>
      </c>
      <c r="T3961">
        <f>ROUND((M3961*0.25)+(N3961*0.20)+(O3961*0.15)+(P3961*0.15)+(Q3961*0.10)+(R3961*0.10)+(S3961*0.05),2)</f>
        <v/>
      </c>
      <c r="U3961">
        <f>IF(T3961&gt;=4.25,"Critical",IF(T3961&gt;=3.5,"High",IF(T3961&gt;=2,"Medium","Low")))</f>
        <v/>
      </c>
    </row>
    <row r="3962">
      <c r="R3962">
        <f>IFERROR(XLOOKUP(XLOOKUP(D3962,tblReleaseChanges[Change_ID],tblReleaseChanges[Oracle_Severity],""),tblSeverityMap[Severity_Text],tblSeverityMap[Score],0),0)</f>
        <v/>
      </c>
      <c r="T3962">
        <f>ROUND((M3962*0.25)+(N3962*0.20)+(O3962*0.15)+(P3962*0.15)+(Q3962*0.10)+(R3962*0.10)+(S3962*0.05),2)</f>
        <v/>
      </c>
      <c r="U3962">
        <f>IF(T3962&gt;=4.25,"Critical",IF(T3962&gt;=3.5,"High",IF(T3962&gt;=2,"Medium","Low")))</f>
        <v/>
      </c>
    </row>
    <row r="3963">
      <c r="R3963">
        <f>IFERROR(XLOOKUP(XLOOKUP(D3963,tblReleaseChanges[Change_ID],tblReleaseChanges[Oracle_Severity],""),tblSeverityMap[Severity_Text],tblSeverityMap[Score],0),0)</f>
        <v/>
      </c>
      <c r="T3963">
        <f>ROUND((M3963*0.25)+(N3963*0.20)+(O3963*0.15)+(P3963*0.15)+(Q3963*0.10)+(R3963*0.10)+(S3963*0.05),2)</f>
        <v/>
      </c>
      <c r="U3963">
        <f>IF(T3963&gt;=4.25,"Critical",IF(T3963&gt;=3.5,"High",IF(T3963&gt;=2,"Medium","Low")))</f>
        <v/>
      </c>
    </row>
    <row r="3964">
      <c r="R3964">
        <f>IFERROR(XLOOKUP(XLOOKUP(D3964,tblReleaseChanges[Change_ID],tblReleaseChanges[Oracle_Severity],""),tblSeverityMap[Severity_Text],tblSeverityMap[Score],0),0)</f>
        <v/>
      </c>
      <c r="T3964">
        <f>ROUND((M3964*0.25)+(N3964*0.20)+(O3964*0.15)+(P3964*0.15)+(Q3964*0.10)+(R3964*0.10)+(S3964*0.05),2)</f>
        <v/>
      </c>
      <c r="U3964">
        <f>IF(T3964&gt;=4.25,"Critical",IF(T3964&gt;=3.5,"High",IF(T3964&gt;=2,"Medium","Low")))</f>
        <v/>
      </c>
    </row>
    <row r="3965">
      <c r="R3965">
        <f>IFERROR(XLOOKUP(XLOOKUP(D3965,tblReleaseChanges[Change_ID],tblReleaseChanges[Oracle_Severity],""),tblSeverityMap[Severity_Text],tblSeverityMap[Score],0),0)</f>
        <v/>
      </c>
      <c r="T3965">
        <f>ROUND((M3965*0.25)+(N3965*0.20)+(O3965*0.15)+(P3965*0.15)+(Q3965*0.10)+(R3965*0.10)+(S3965*0.05),2)</f>
        <v/>
      </c>
      <c r="U3965">
        <f>IF(T3965&gt;=4.25,"Critical",IF(T3965&gt;=3.5,"High",IF(T3965&gt;=2,"Medium","Low")))</f>
        <v/>
      </c>
    </row>
    <row r="3966">
      <c r="R3966">
        <f>IFERROR(XLOOKUP(XLOOKUP(D3966,tblReleaseChanges[Change_ID],tblReleaseChanges[Oracle_Severity],""),tblSeverityMap[Severity_Text],tblSeverityMap[Score],0),0)</f>
        <v/>
      </c>
      <c r="T3966">
        <f>ROUND((M3966*0.25)+(N3966*0.20)+(O3966*0.15)+(P3966*0.15)+(Q3966*0.10)+(R3966*0.10)+(S3966*0.05),2)</f>
        <v/>
      </c>
      <c r="U3966">
        <f>IF(T3966&gt;=4.25,"Critical",IF(T3966&gt;=3.5,"High",IF(T3966&gt;=2,"Medium","Low")))</f>
        <v/>
      </c>
    </row>
    <row r="3967">
      <c r="R3967">
        <f>IFERROR(XLOOKUP(XLOOKUP(D3967,tblReleaseChanges[Change_ID],tblReleaseChanges[Oracle_Severity],""),tblSeverityMap[Severity_Text],tblSeverityMap[Score],0),0)</f>
        <v/>
      </c>
      <c r="T3967">
        <f>ROUND((M3967*0.25)+(N3967*0.20)+(O3967*0.15)+(P3967*0.15)+(Q3967*0.10)+(R3967*0.10)+(S3967*0.05),2)</f>
        <v/>
      </c>
      <c r="U3967">
        <f>IF(T3967&gt;=4.25,"Critical",IF(T3967&gt;=3.5,"High",IF(T3967&gt;=2,"Medium","Low")))</f>
        <v/>
      </c>
    </row>
    <row r="3968">
      <c r="R3968">
        <f>IFERROR(XLOOKUP(XLOOKUP(D3968,tblReleaseChanges[Change_ID],tblReleaseChanges[Oracle_Severity],""),tblSeverityMap[Severity_Text],tblSeverityMap[Score],0),0)</f>
        <v/>
      </c>
      <c r="T3968">
        <f>ROUND((M3968*0.25)+(N3968*0.20)+(O3968*0.15)+(P3968*0.15)+(Q3968*0.10)+(R3968*0.10)+(S3968*0.05),2)</f>
        <v/>
      </c>
      <c r="U3968">
        <f>IF(T3968&gt;=4.25,"Critical",IF(T3968&gt;=3.5,"High",IF(T3968&gt;=2,"Medium","Low")))</f>
        <v/>
      </c>
    </row>
    <row r="3969">
      <c r="R3969">
        <f>IFERROR(XLOOKUP(XLOOKUP(D3969,tblReleaseChanges[Change_ID],tblReleaseChanges[Oracle_Severity],""),tblSeverityMap[Severity_Text],tblSeverityMap[Score],0),0)</f>
        <v/>
      </c>
      <c r="T3969">
        <f>ROUND((M3969*0.25)+(N3969*0.20)+(O3969*0.15)+(P3969*0.15)+(Q3969*0.10)+(R3969*0.10)+(S3969*0.05),2)</f>
        <v/>
      </c>
      <c r="U3969">
        <f>IF(T3969&gt;=4.25,"Critical",IF(T3969&gt;=3.5,"High",IF(T3969&gt;=2,"Medium","Low")))</f>
        <v/>
      </c>
    </row>
    <row r="3970">
      <c r="R3970">
        <f>IFERROR(XLOOKUP(XLOOKUP(D3970,tblReleaseChanges[Change_ID],tblReleaseChanges[Oracle_Severity],""),tblSeverityMap[Severity_Text],tblSeverityMap[Score],0),0)</f>
        <v/>
      </c>
      <c r="T3970">
        <f>ROUND((M3970*0.25)+(N3970*0.20)+(O3970*0.15)+(P3970*0.15)+(Q3970*0.10)+(R3970*0.10)+(S3970*0.05),2)</f>
        <v/>
      </c>
      <c r="U3970">
        <f>IF(T3970&gt;=4.25,"Critical",IF(T3970&gt;=3.5,"High",IF(T3970&gt;=2,"Medium","Low")))</f>
        <v/>
      </c>
    </row>
    <row r="3971">
      <c r="R3971">
        <f>IFERROR(XLOOKUP(XLOOKUP(D3971,tblReleaseChanges[Change_ID],tblReleaseChanges[Oracle_Severity],""),tblSeverityMap[Severity_Text],tblSeverityMap[Score],0),0)</f>
        <v/>
      </c>
      <c r="T3971">
        <f>ROUND((M3971*0.25)+(N3971*0.20)+(O3971*0.15)+(P3971*0.15)+(Q3971*0.10)+(R3971*0.10)+(S3971*0.05),2)</f>
        <v/>
      </c>
      <c r="U3971">
        <f>IF(T3971&gt;=4.25,"Critical",IF(T3971&gt;=3.5,"High",IF(T3971&gt;=2,"Medium","Low")))</f>
        <v/>
      </c>
    </row>
    <row r="3972">
      <c r="R3972">
        <f>IFERROR(XLOOKUP(XLOOKUP(D3972,tblReleaseChanges[Change_ID],tblReleaseChanges[Oracle_Severity],""),tblSeverityMap[Severity_Text],tblSeverityMap[Score],0),0)</f>
        <v/>
      </c>
      <c r="T3972">
        <f>ROUND((M3972*0.25)+(N3972*0.20)+(O3972*0.15)+(P3972*0.15)+(Q3972*0.10)+(R3972*0.10)+(S3972*0.05),2)</f>
        <v/>
      </c>
      <c r="U3972">
        <f>IF(T3972&gt;=4.25,"Critical",IF(T3972&gt;=3.5,"High",IF(T3972&gt;=2,"Medium","Low")))</f>
        <v/>
      </c>
    </row>
    <row r="3973">
      <c r="R3973">
        <f>IFERROR(XLOOKUP(XLOOKUP(D3973,tblReleaseChanges[Change_ID],tblReleaseChanges[Oracle_Severity],""),tblSeverityMap[Severity_Text],tblSeverityMap[Score],0),0)</f>
        <v/>
      </c>
      <c r="T3973">
        <f>ROUND((M3973*0.25)+(N3973*0.20)+(O3973*0.15)+(P3973*0.15)+(Q3973*0.10)+(R3973*0.10)+(S3973*0.05),2)</f>
        <v/>
      </c>
      <c r="U3973">
        <f>IF(T3973&gt;=4.25,"Critical",IF(T3973&gt;=3.5,"High",IF(T3973&gt;=2,"Medium","Low")))</f>
        <v/>
      </c>
    </row>
    <row r="3974">
      <c r="R3974">
        <f>IFERROR(XLOOKUP(XLOOKUP(D3974,tblReleaseChanges[Change_ID],tblReleaseChanges[Oracle_Severity],""),tblSeverityMap[Severity_Text],tblSeverityMap[Score],0),0)</f>
        <v/>
      </c>
      <c r="T3974">
        <f>ROUND((M3974*0.25)+(N3974*0.20)+(O3974*0.15)+(P3974*0.15)+(Q3974*0.10)+(R3974*0.10)+(S3974*0.05),2)</f>
        <v/>
      </c>
      <c r="U3974">
        <f>IF(T3974&gt;=4.25,"Critical",IF(T3974&gt;=3.5,"High",IF(T3974&gt;=2,"Medium","Low")))</f>
        <v/>
      </c>
    </row>
    <row r="3975">
      <c r="R3975">
        <f>IFERROR(XLOOKUP(XLOOKUP(D3975,tblReleaseChanges[Change_ID],tblReleaseChanges[Oracle_Severity],""),tblSeverityMap[Severity_Text],tblSeverityMap[Score],0),0)</f>
        <v/>
      </c>
      <c r="T3975">
        <f>ROUND((M3975*0.25)+(N3975*0.20)+(O3975*0.15)+(P3975*0.15)+(Q3975*0.10)+(R3975*0.10)+(S3975*0.05),2)</f>
        <v/>
      </c>
      <c r="U3975">
        <f>IF(T3975&gt;=4.25,"Critical",IF(T3975&gt;=3.5,"High",IF(T3975&gt;=2,"Medium","Low")))</f>
        <v/>
      </c>
    </row>
    <row r="3976">
      <c r="R3976">
        <f>IFERROR(XLOOKUP(XLOOKUP(D3976,tblReleaseChanges[Change_ID],tblReleaseChanges[Oracle_Severity],""),tblSeverityMap[Severity_Text],tblSeverityMap[Score],0),0)</f>
        <v/>
      </c>
      <c r="T3976">
        <f>ROUND((M3976*0.25)+(N3976*0.20)+(O3976*0.15)+(P3976*0.15)+(Q3976*0.10)+(R3976*0.10)+(S3976*0.05),2)</f>
        <v/>
      </c>
      <c r="U3976">
        <f>IF(T3976&gt;=4.25,"Critical",IF(T3976&gt;=3.5,"High",IF(T3976&gt;=2,"Medium","Low")))</f>
        <v/>
      </c>
    </row>
    <row r="3977">
      <c r="R3977">
        <f>IFERROR(XLOOKUP(XLOOKUP(D3977,tblReleaseChanges[Change_ID],tblReleaseChanges[Oracle_Severity],""),tblSeverityMap[Severity_Text],tblSeverityMap[Score],0),0)</f>
        <v/>
      </c>
      <c r="T3977">
        <f>ROUND((M3977*0.25)+(N3977*0.20)+(O3977*0.15)+(P3977*0.15)+(Q3977*0.10)+(R3977*0.10)+(S3977*0.05),2)</f>
        <v/>
      </c>
      <c r="U3977">
        <f>IF(T3977&gt;=4.25,"Critical",IF(T3977&gt;=3.5,"High",IF(T3977&gt;=2,"Medium","Low")))</f>
        <v/>
      </c>
    </row>
    <row r="3978">
      <c r="R3978">
        <f>IFERROR(XLOOKUP(XLOOKUP(D3978,tblReleaseChanges[Change_ID],tblReleaseChanges[Oracle_Severity],""),tblSeverityMap[Severity_Text],tblSeverityMap[Score],0),0)</f>
        <v/>
      </c>
      <c r="T3978">
        <f>ROUND((M3978*0.25)+(N3978*0.20)+(O3978*0.15)+(P3978*0.15)+(Q3978*0.10)+(R3978*0.10)+(S3978*0.05),2)</f>
        <v/>
      </c>
      <c r="U3978">
        <f>IF(T3978&gt;=4.25,"Critical",IF(T3978&gt;=3.5,"High",IF(T3978&gt;=2,"Medium","Low")))</f>
        <v/>
      </c>
    </row>
    <row r="3979">
      <c r="R3979">
        <f>IFERROR(XLOOKUP(XLOOKUP(D3979,tblReleaseChanges[Change_ID],tblReleaseChanges[Oracle_Severity],""),tblSeverityMap[Severity_Text],tblSeverityMap[Score],0),0)</f>
        <v/>
      </c>
      <c r="T3979">
        <f>ROUND((M3979*0.25)+(N3979*0.20)+(O3979*0.15)+(P3979*0.15)+(Q3979*0.10)+(R3979*0.10)+(S3979*0.05),2)</f>
        <v/>
      </c>
      <c r="U3979">
        <f>IF(T3979&gt;=4.25,"Critical",IF(T3979&gt;=3.5,"High",IF(T3979&gt;=2,"Medium","Low")))</f>
        <v/>
      </c>
    </row>
    <row r="3980">
      <c r="R3980">
        <f>IFERROR(XLOOKUP(XLOOKUP(D3980,tblReleaseChanges[Change_ID],tblReleaseChanges[Oracle_Severity],""),tblSeverityMap[Severity_Text],tblSeverityMap[Score],0),0)</f>
        <v/>
      </c>
      <c r="T3980">
        <f>ROUND((M3980*0.25)+(N3980*0.20)+(O3980*0.15)+(P3980*0.15)+(Q3980*0.10)+(R3980*0.10)+(S3980*0.05),2)</f>
        <v/>
      </c>
      <c r="U3980">
        <f>IF(T3980&gt;=4.25,"Critical",IF(T3980&gt;=3.5,"High",IF(T3980&gt;=2,"Medium","Low")))</f>
        <v/>
      </c>
    </row>
    <row r="3981">
      <c r="R3981">
        <f>IFERROR(XLOOKUP(XLOOKUP(D3981,tblReleaseChanges[Change_ID],tblReleaseChanges[Oracle_Severity],""),tblSeverityMap[Severity_Text],tblSeverityMap[Score],0),0)</f>
        <v/>
      </c>
      <c r="T3981">
        <f>ROUND((M3981*0.25)+(N3981*0.20)+(O3981*0.15)+(P3981*0.15)+(Q3981*0.10)+(R3981*0.10)+(S3981*0.05),2)</f>
        <v/>
      </c>
      <c r="U3981">
        <f>IF(T3981&gt;=4.25,"Critical",IF(T3981&gt;=3.5,"High",IF(T3981&gt;=2,"Medium","Low")))</f>
        <v/>
      </c>
    </row>
    <row r="3982">
      <c r="R3982">
        <f>IFERROR(XLOOKUP(XLOOKUP(D3982,tblReleaseChanges[Change_ID],tblReleaseChanges[Oracle_Severity],""),tblSeverityMap[Severity_Text],tblSeverityMap[Score],0),0)</f>
        <v/>
      </c>
      <c r="T3982">
        <f>ROUND((M3982*0.25)+(N3982*0.20)+(O3982*0.15)+(P3982*0.15)+(Q3982*0.10)+(R3982*0.10)+(S3982*0.05),2)</f>
        <v/>
      </c>
      <c r="U3982">
        <f>IF(T3982&gt;=4.25,"Critical",IF(T3982&gt;=3.5,"High",IF(T3982&gt;=2,"Medium","Low")))</f>
        <v/>
      </c>
    </row>
    <row r="3983">
      <c r="R3983">
        <f>IFERROR(XLOOKUP(XLOOKUP(D3983,tblReleaseChanges[Change_ID],tblReleaseChanges[Oracle_Severity],""),tblSeverityMap[Severity_Text],tblSeverityMap[Score],0),0)</f>
        <v/>
      </c>
      <c r="T3983">
        <f>ROUND((M3983*0.25)+(N3983*0.20)+(O3983*0.15)+(P3983*0.15)+(Q3983*0.10)+(R3983*0.10)+(S3983*0.05),2)</f>
        <v/>
      </c>
      <c r="U3983">
        <f>IF(T3983&gt;=4.25,"Critical",IF(T3983&gt;=3.5,"High",IF(T3983&gt;=2,"Medium","Low")))</f>
        <v/>
      </c>
    </row>
    <row r="3984">
      <c r="R3984">
        <f>IFERROR(XLOOKUP(XLOOKUP(D3984,tblReleaseChanges[Change_ID],tblReleaseChanges[Oracle_Severity],""),tblSeverityMap[Severity_Text],tblSeverityMap[Score],0),0)</f>
        <v/>
      </c>
      <c r="T3984">
        <f>ROUND((M3984*0.25)+(N3984*0.20)+(O3984*0.15)+(P3984*0.15)+(Q3984*0.10)+(R3984*0.10)+(S3984*0.05),2)</f>
        <v/>
      </c>
      <c r="U3984">
        <f>IF(T3984&gt;=4.25,"Critical",IF(T3984&gt;=3.5,"High",IF(T3984&gt;=2,"Medium","Low")))</f>
        <v/>
      </c>
    </row>
    <row r="3985">
      <c r="R3985">
        <f>IFERROR(XLOOKUP(XLOOKUP(D3985,tblReleaseChanges[Change_ID],tblReleaseChanges[Oracle_Severity],""),tblSeverityMap[Severity_Text],tblSeverityMap[Score],0),0)</f>
        <v/>
      </c>
      <c r="T3985">
        <f>ROUND((M3985*0.25)+(N3985*0.20)+(O3985*0.15)+(P3985*0.15)+(Q3985*0.10)+(R3985*0.10)+(S3985*0.05),2)</f>
        <v/>
      </c>
      <c r="U3985">
        <f>IF(T3985&gt;=4.25,"Critical",IF(T3985&gt;=3.5,"High",IF(T3985&gt;=2,"Medium","Low")))</f>
        <v/>
      </c>
    </row>
    <row r="3986">
      <c r="R3986">
        <f>IFERROR(XLOOKUP(XLOOKUP(D3986,tblReleaseChanges[Change_ID],tblReleaseChanges[Oracle_Severity],""),tblSeverityMap[Severity_Text],tblSeverityMap[Score],0),0)</f>
        <v/>
      </c>
      <c r="T3986">
        <f>ROUND((M3986*0.25)+(N3986*0.20)+(O3986*0.15)+(P3986*0.15)+(Q3986*0.10)+(R3986*0.10)+(S3986*0.05),2)</f>
        <v/>
      </c>
      <c r="U3986">
        <f>IF(T3986&gt;=4.25,"Critical",IF(T3986&gt;=3.5,"High",IF(T3986&gt;=2,"Medium","Low")))</f>
        <v/>
      </c>
    </row>
    <row r="3987">
      <c r="R3987">
        <f>IFERROR(XLOOKUP(XLOOKUP(D3987,tblReleaseChanges[Change_ID],tblReleaseChanges[Oracle_Severity],""),tblSeverityMap[Severity_Text],tblSeverityMap[Score],0),0)</f>
        <v/>
      </c>
      <c r="T3987">
        <f>ROUND((M3987*0.25)+(N3987*0.20)+(O3987*0.15)+(P3987*0.15)+(Q3987*0.10)+(R3987*0.10)+(S3987*0.05),2)</f>
        <v/>
      </c>
      <c r="U3987">
        <f>IF(T3987&gt;=4.25,"Critical",IF(T3987&gt;=3.5,"High",IF(T3987&gt;=2,"Medium","Low")))</f>
        <v/>
      </c>
    </row>
    <row r="3988">
      <c r="R3988">
        <f>IFERROR(XLOOKUP(XLOOKUP(D3988,tblReleaseChanges[Change_ID],tblReleaseChanges[Oracle_Severity],""),tblSeverityMap[Severity_Text],tblSeverityMap[Score],0),0)</f>
        <v/>
      </c>
      <c r="T3988">
        <f>ROUND((M3988*0.25)+(N3988*0.20)+(O3988*0.15)+(P3988*0.15)+(Q3988*0.10)+(R3988*0.10)+(S3988*0.05),2)</f>
        <v/>
      </c>
      <c r="U3988">
        <f>IF(T3988&gt;=4.25,"Critical",IF(T3988&gt;=3.5,"High",IF(T3988&gt;=2,"Medium","Low")))</f>
        <v/>
      </c>
    </row>
    <row r="3989">
      <c r="R3989">
        <f>IFERROR(XLOOKUP(XLOOKUP(D3989,tblReleaseChanges[Change_ID],tblReleaseChanges[Oracle_Severity],""),tblSeverityMap[Severity_Text],tblSeverityMap[Score],0),0)</f>
        <v/>
      </c>
      <c r="T3989">
        <f>ROUND((M3989*0.25)+(N3989*0.20)+(O3989*0.15)+(P3989*0.15)+(Q3989*0.10)+(R3989*0.10)+(S3989*0.05),2)</f>
        <v/>
      </c>
      <c r="U3989">
        <f>IF(T3989&gt;=4.25,"Critical",IF(T3989&gt;=3.5,"High",IF(T3989&gt;=2,"Medium","Low")))</f>
        <v/>
      </c>
    </row>
    <row r="3990">
      <c r="R3990">
        <f>IFERROR(XLOOKUP(XLOOKUP(D3990,tblReleaseChanges[Change_ID],tblReleaseChanges[Oracle_Severity],""),tblSeverityMap[Severity_Text],tblSeverityMap[Score],0),0)</f>
        <v/>
      </c>
      <c r="T3990">
        <f>ROUND((M3990*0.25)+(N3990*0.20)+(O3990*0.15)+(P3990*0.15)+(Q3990*0.10)+(R3990*0.10)+(S3990*0.05),2)</f>
        <v/>
      </c>
      <c r="U3990">
        <f>IF(T3990&gt;=4.25,"Critical",IF(T3990&gt;=3.5,"High",IF(T3990&gt;=2,"Medium","Low")))</f>
        <v/>
      </c>
    </row>
    <row r="3991">
      <c r="R3991">
        <f>IFERROR(XLOOKUP(XLOOKUP(D3991,tblReleaseChanges[Change_ID],tblReleaseChanges[Oracle_Severity],""),tblSeverityMap[Severity_Text],tblSeverityMap[Score],0),0)</f>
        <v/>
      </c>
      <c r="T3991">
        <f>ROUND((M3991*0.25)+(N3991*0.20)+(O3991*0.15)+(P3991*0.15)+(Q3991*0.10)+(R3991*0.10)+(S3991*0.05),2)</f>
        <v/>
      </c>
      <c r="U3991">
        <f>IF(T3991&gt;=4.25,"Critical",IF(T3991&gt;=3.5,"High",IF(T3991&gt;=2,"Medium","Low")))</f>
        <v/>
      </c>
    </row>
    <row r="3992">
      <c r="R3992">
        <f>IFERROR(XLOOKUP(XLOOKUP(D3992,tblReleaseChanges[Change_ID],tblReleaseChanges[Oracle_Severity],""),tblSeverityMap[Severity_Text],tblSeverityMap[Score],0),0)</f>
        <v/>
      </c>
      <c r="T3992">
        <f>ROUND((M3992*0.25)+(N3992*0.20)+(O3992*0.15)+(P3992*0.15)+(Q3992*0.10)+(R3992*0.10)+(S3992*0.05),2)</f>
        <v/>
      </c>
      <c r="U3992">
        <f>IF(T3992&gt;=4.25,"Critical",IF(T3992&gt;=3.5,"High",IF(T3992&gt;=2,"Medium","Low")))</f>
        <v/>
      </c>
    </row>
    <row r="3993">
      <c r="R3993">
        <f>IFERROR(XLOOKUP(XLOOKUP(D3993,tblReleaseChanges[Change_ID],tblReleaseChanges[Oracle_Severity],""),tblSeverityMap[Severity_Text],tblSeverityMap[Score],0),0)</f>
        <v/>
      </c>
      <c r="T3993">
        <f>ROUND((M3993*0.25)+(N3993*0.20)+(O3993*0.15)+(P3993*0.15)+(Q3993*0.10)+(R3993*0.10)+(S3993*0.05),2)</f>
        <v/>
      </c>
      <c r="U3993">
        <f>IF(T3993&gt;=4.25,"Critical",IF(T3993&gt;=3.5,"High",IF(T3993&gt;=2,"Medium","Low")))</f>
        <v/>
      </c>
    </row>
    <row r="3994">
      <c r="R3994">
        <f>IFERROR(XLOOKUP(XLOOKUP(D3994,tblReleaseChanges[Change_ID],tblReleaseChanges[Oracle_Severity],""),tblSeverityMap[Severity_Text],tblSeverityMap[Score],0),0)</f>
        <v/>
      </c>
      <c r="T3994">
        <f>ROUND((M3994*0.25)+(N3994*0.20)+(O3994*0.15)+(P3994*0.15)+(Q3994*0.10)+(R3994*0.10)+(S3994*0.05),2)</f>
        <v/>
      </c>
      <c r="U3994">
        <f>IF(T3994&gt;=4.25,"Critical",IF(T3994&gt;=3.5,"High",IF(T3994&gt;=2,"Medium","Low")))</f>
        <v/>
      </c>
    </row>
    <row r="3995">
      <c r="R3995">
        <f>IFERROR(XLOOKUP(XLOOKUP(D3995,tblReleaseChanges[Change_ID],tblReleaseChanges[Oracle_Severity],""),tblSeverityMap[Severity_Text],tblSeverityMap[Score],0),0)</f>
        <v/>
      </c>
      <c r="T3995">
        <f>ROUND((M3995*0.25)+(N3995*0.20)+(O3995*0.15)+(P3995*0.15)+(Q3995*0.10)+(R3995*0.10)+(S3995*0.05),2)</f>
        <v/>
      </c>
      <c r="U3995">
        <f>IF(T3995&gt;=4.25,"Critical",IF(T3995&gt;=3.5,"High",IF(T3995&gt;=2,"Medium","Low")))</f>
        <v/>
      </c>
    </row>
    <row r="3996">
      <c r="R3996">
        <f>IFERROR(XLOOKUP(XLOOKUP(D3996,tblReleaseChanges[Change_ID],tblReleaseChanges[Oracle_Severity],""),tblSeverityMap[Severity_Text],tblSeverityMap[Score],0),0)</f>
        <v/>
      </c>
      <c r="T3996">
        <f>ROUND((M3996*0.25)+(N3996*0.20)+(O3996*0.15)+(P3996*0.15)+(Q3996*0.10)+(R3996*0.10)+(S3996*0.05),2)</f>
        <v/>
      </c>
      <c r="U3996">
        <f>IF(T3996&gt;=4.25,"Critical",IF(T3996&gt;=3.5,"High",IF(T3996&gt;=2,"Medium","Low")))</f>
        <v/>
      </c>
    </row>
    <row r="3997">
      <c r="R3997">
        <f>IFERROR(XLOOKUP(XLOOKUP(D3997,tblReleaseChanges[Change_ID],tblReleaseChanges[Oracle_Severity],""),tblSeverityMap[Severity_Text],tblSeverityMap[Score],0),0)</f>
        <v/>
      </c>
      <c r="T3997">
        <f>ROUND((M3997*0.25)+(N3997*0.20)+(O3997*0.15)+(P3997*0.15)+(Q3997*0.10)+(R3997*0.10)+(S3997*0.05),2)</f>
        <v/>
      </c>
      <c r="U3997">
        <f>IF(T3997&gt;=4.25,"Critical",IF(T3997&gt;=3.5,"High",IF(T3997&gt;=2,"Medium","Low")))</f>
        <v/>
      </c>
    </row>
    <row r="3998">
      <c r="R3998">
        <f>IFERROR(XLOOKUP(XLOOKUP(D3998,tblReleaseChanges[Change_ID],tblReleaseChanges[Oracle_Severity],""),tblSeverityMap[Severity_Text],tblSeverityMap[Score],0),0)</f>
        <v/>
      </c>
      <c r="T3998">
        <f>ROUND((M3998*0.25)+(N3998*0.20)+(O3998*0.15)+(P3998*0.15)+(Q3998*0.10)+(R3998*0.10)+(S3998*0.05),2)</f>
        <v/>
      </c>
      <c r="U3998">
        <f>IF(T3998&gt;=4.25,"Critical",IF(T3998&gt;=3.5,"High",IF(T3998&gt;=2,"Medium","Low")))</f>
        <v/>
      </c>
    </row>
    <row r="3999">
      <c r="R3999">
        <f>IFERROR(XLOOKUP(XLOOKUP(D3999,tblReleaseChanges[Change_ID],tblReleaseChanges[Oracle_Severity],""),tblSeverityMap[Severity_Text],tblSeverityMap[Score],0),0)</f>
        <v/>
      </c>
      <c r="T3999">
        <f>ROUND((M3999*0.25)+(N3999*0.20)+(O3999*0.15)+(P3999*0.15)+(Q3999*0.10)+(R3999*0.10)+(S3999*0.05),2)</f>
        <v/>
      </c>
      <c r="U3999">
        <f>IF(T3999&gt;=4.25,"Critical",IF(T3999&gt;=3.5,"High",IF(T3999&gt;=2,"Medium","Low")))</f>
        <v/>
      </c>
    </row>
    <row r="4000">
      <c r="R4000">
        <f>IFERROR(XLOOKUP(XLOOKUP(D4000,tblReleaseChanges[Change_ID],tblReleaseChanges[Oracle_Severity],""),tblSeverityMap[Severity_Text],tblSeverityMap[Score],0),0)</f>
        <v/>
      </c>
      <c r="T4000">
        <f>ROUND((M4000*0.25)+(N4000*0.20)+(O4000*0.15)+(P4000*0.15)+(Q4000*0.10)+(R4000*0.10)+(S4000*0.05),2)</f>
        <v/>
      </c>
      <c r="U4000">
        <f>IF(T4000&gt;=4.25,"Critical",IF(T4000&gt;=3.5,"High",IF(T4000&gt;=2,"Medium","Low")))</f>
        <v/>
      </c>
    </row>
    <row r="4001">
      <c r="R4001">
        <f>IFERROR(XLOOKUP(XLOOKUP(D4001,tblReleaseChanges[Change_ID],tblReleaseChanges[Oracle_Severity],""),tblSeverityMap[Severity_Text],tblSeverityMap[Score],0),0)</f>
        <v/>
      </c>
      <c r="T4001">
        <f>ROUND((M4001*0.25)+(N4001*0.20)+(O4001*0.15)+(P4001*0.15)+(Q4001*0.10)+(R4001*0.10)+(S4001*0.05),2)</f>
        <v/>
      </c>
      <c r="U4001">
        <f>IF(T4001&gt;=4.25,"Critical",IF(T4001&gt;=3.5,"High",IF(T4001&gt;=2,"Medium","Low")))</f>
        <v/>
      </c>
    </row>
    <row r="4002">
      <c r="R4002">
        <f>IFERROR(XLOOKUP(XLOOKUP(D4002,tblReleaseChanges[Change_ID],tblReleaseChanges[Oracle_Severity],""),tblSeverityMap[Severity_Text],tblSeverityMap[Score],0),0)</f>
        <v/>
      </c>
      <c r="T4002">
        <f>ROUND((M4002*0.25)+(N4002*0.20)+(O4002*0.15)+(P4002*0.15)+(Q4002*0.10)+(R4002*0.10)+(S4002*0.05),2)</f>
        <v/>
      </c>
      <c r="U4002">
        <f>IF(T4002&gt;=4.25,"Critical",IF(T4002&gt;=3.5,"High",IF(T4002&gt;=2,"Medium","Low")))</f>
        <v/>
      </c>
    </row>
    <row r="4003">
      <c r="R4003">
        <f>IFERROR(XLOOKUP(XLOOKUP(D4003,tblReleaseChanges[Change_ID],tblReleaseChanges[Oracle_Severity],""),tblSeverityMap[Severity_Text],tblSeverityMap[Score],0),0)</f>
        <v/>
      </c>
      <c r="T4003">
        <f>ROUND((M4003*0.25)+(N4003*0.20)+(O4003*0.15)+(P4003*0.15)+(Q4003*0.10)+(R4003*0.10)+(S4003*0.05),2)</f>
        <v/>
      </c>
      <c r="U4003">
        <f>IF(T4003&gt;=4.25,"Critical",IF(T4003&gt;=3.5,"High",IF(T4003&gt;=2,"Medium","Low")))</f>
        <v/>
      </c>
    </row>
    <row r="4004">
      <c r="R4004">
        <f>IFERROR(XLOOKUP(XLOOKUP(D4004,tblReleaseChanges[Change_ID],tblReleaseChanges[Oracle_Severity],""),tblSeverityMap[Severity_Text],tblSeverityMap[Score],0),0)</f>
        <v/>
      </c>
      <c r="T4004">
        <f>ROUND((M4004*0.25)+(N4004*0.20)+(O4004*0.15)+(P4004*0.15)+(Q4004*0.10)+(R4004*0.10)+(S4004*0.05),2)</f>
        <v/>
      </c>
      <c r="U4004">
        <f>IF(T4004&gt;=4.25,"Critical",IF(T4004&gt;=3.5,"High",IF(T4004&gt;=2,"Medium","Low")))</f>
        <v/>
      </c>
    </row>
    <row r="4005">
      <c r="R4005">
        <f>IFERROR(XLOOKUP(XLOOKUP(D4005,tblReleaseChanges[Change_ID],tblReleaseChanges[Oracle_Severity],""),tblSeverityMap[Severity_Text],tblSeverityMap[Score],0),0)</f>
        <v/>
      </c>
      <c r="T4005">
        <f>ROUND((M4005*0.25)+(N4005*0.20)+(O4005*0.15)+(P4005*0.15)+(Q4005*0.10)+(R4005*0.10)+(S4005*0.05),2)</f>
        <v/>
      </c>
      <c r="U4005">
        <f>IF(T4005&gt;=4.25,"Critical",IF(T4005&gt;=3.5,"High",IF(T4005&gt;=2,"Medium","Low")))</f>
        <v/>
      </c>
    </row>
    <row r="4006">
      <c r="R4006">
        <f>IFERROR(XLOOKUP(XLOOKUP(D4006,tblReleaseChanges[Change_ID],tblReleaseChanges[Oracle_Severity],""),tblSeverityMap[Severity_Text],tblSeverityMap[Score],0),0)</f>
        <v/>
      </c>
      <c r="T4006">
        <f>ROUND((M4006*0.25)+(N4006*0.20)+(O4006*0.15)+(P4006*0.15)+(Q4006*0.10)+(R4006*0.10)+(S4006*0.05),2)</f>
        <v/>
      </c>
      <c r="U4006">
        <f>IF(T4006&gt;=4.25,"Critical",IF(T4006&gt;=3.5,"High",IF(T4006&gt;=2,"Medium","Low")))</f>
        <v/>
      </c>
    </row>
    <row r="4007">
      <c r="R4007">
        <f>IFERROR(XLOOKUP(XLOOKUP(D4007,tblReleaseChanges[Change_ID],tblReleaseChanges[Oracle_Severity],""),tblSeverityMap[Severity_Text],tblSeverityMap[Score],0),0)</f>
        <v/>
      </c>
      <c r="T4007">
        <f>ROUND((M4007*0.25)+(N4007*0.20)+(O4007*0.15)+(P4007*0.15)+(Q4007*0.10)+(R4007*0.10)+(S4007*0.05),2)</f>
        <v/>
      </c>
      <c r="U4007">
        <f>IF(T4007&gt;=4.25,"Critical",IF(T4007&gt;=3.5,"High",IF(T4007&gt;=2,"Medium","Low")))</f>
        <v/>
      </c>
    </row>
    <row r="4008">
      <c r="R4008">
        <f>IFERROR(XLOOKUP(XLOOKUP(D4008,tblReleaseChanges[Change_ID],tblReleaseChanges[Oracle_Severity],""),tblSeverityMap[Severity_Text],tblSeverityMap[Score],0),0)</f>
        <v/>
      </c>
      <c r="T4008">
        <f>ROUND((M4008*0.25)+(N4008*0.20)+(O4008*0.15)+(P4008*0.15)+(Q4008*0.10)+(R4008*0.10)+(S4008*0.05),2)</f>
        <v/>
      </c>
      <c r="U4008">
        <f>IF(T4008&gt;=4.25,"Critical",IF(T4008&gt;=3.5,"High",IF(T4008&gt;=2,"Medium","Low")))</f>
        <v/>
      </c>
    </row>
    <row r="4009">
      <c r="R4009">
        <f>IFERROR(XLOOKUP(XLOOKUP(D4009,tblReleaseChanges[Change_ID],tblReleaseChanges[Oracle_Severity],""),tblSeverityMap[Severity_Text],tblSeverityMap[Score],0),0)</f>
        <v/>
      </c>
      <c r="T4009">
        <f>ROUND((M4009*0.25)+(N4009*0.20)+(O4009*0.15)+(P4009*0.15)+(Q4009*0.10)+(R4009*0.10)+(S4009*0.05),2)</f>
        <v/>
      </c>
      <c r="U4009">
        <f>IF(T4009&gt;=4.25,"Critical",IF(T4009&gt;=3.5,"High",IF(T4009&gt;=2,"Medium","Low")))</f>
        <v/>
      </c>
    </row>
    <row r="4010">
      <c r="R4010">
        <f>IFERROR(XLOOKUP(XLOOKUP(D4010,tblReleaseChanges[Change_ID],tblReleaseChanges[Oracle_Severity],""),tblSeverityMap[Severity_Text],tblSeverityMap[Score],0),0)</f>
        <v/>
      </c>
      <c r="T4010">
        <f>ROUND((M4010*0.25)+(N4010*0.20)+(O4010*0.15)+(P4010*0.15)+(Q4010*0.10)+(R4010*0.10)+(S4010*0.05),2)</f>
        <v/>
      </c>
      <c r="U4010">
        <f>IF(T4010&gt;=4.25,"Critical",IF(T4010&gt;=3.5,"High",IF(T4010&gt;=2,"Medium","Low")))</f>
        <v/>
      </c>
    </row>
    <row r="4011">
      <c r="R4011">
        <f>IFERROR(XLOOKUP(XLOOKUP(D4011,tblReleaseChanges[Change_ID],tblReleaseChanges[Oracle_Severity],""),tblSeverityMap[Severity_Text],tblSeverityMap[Score],0),0)</f>
        <v/>
      </c>
      <c r="T4011">
        <f>ROUND((M4011*0.25)+(N4011*0.20)+(O4011*0.15)+(P4011*0.15)+(Q4011*0.10)+(R4011*0.10)+(S4011*0.05),2)</f>
        <v/>
      </c>
      <c r="U4011">
        <f>IF(T4011&gt;=4.25,"Critical",IF(T4011&gt;=3.5,"High",IF(T4011&gt;=2,"Medium","Low")))</f>
        <v/>
      </c>
    </row>
    <row r="4012">
      <c r="R4012">
        <f>IFERROR(XLOOKUP(XLOOKUP(D4012,tblReleaseChanges[Change_ID],tblReleaseChanges[Oracle_Severity],""),tblSeverityMap[Severity_Text],tblSeverityMap[Score],0),0)</f>
        <v/>
      </c>
      <c r="T4012">
        <f>ROUND((M4012*0.25)+(N4012*0.20)+(O4012*0.15)+(P4012*0.15)+(Q4012*0.10)+(R4012*0.10)+(S4012*0.05),2)</f>
        <v/>
      </c>
      <c r="U4012">
        <f>IF(T4012&gt;=4.25,"Critical",IF(T4012&gt;=3.5,"High",IF(T4012&gt;=2,"Medium","Low")))</f>
        <v/>
      </c>
    </row>
    <row r="4013">
      <c r="R4013">
        <f>IFERROR(XLOOKUP(XLOOKUP(D4013,tblReleaseChanges[Change_ID],tblReleaseChanges[Oracle_Severity],""),tblSeverityMap[Severity_Text],tblSeverityMap[Score],0),0)</f>
        <v/>
      </c>
      <c r="T4013">
        <f>ROUND((M4013*0.25)+(N4013*0.20)+(O4013*0.15)+(P4013*0.15)+(Q4013*0.10)+(R4013*0.10)+(S4013*0.05),2)</f>
        <v/>
      </c>
      <c r="U4013">
        <f>IF(T4013&gt;=4.25,"Critical",IF(T4013&gt;=3.5,"High",IF(T4013&gt;=2,"Medium","Low")))</f>
        <v/>
      </c>
    </row>
    <row r="4014">
      <c r="R4014">
        <f>IFERROR(XLOOKUP(XLOOKUP(D4014,tblReleaseChanges[Change_ID],tblReleaseChanges[Oracle_Severity],""),tblSeverityMap[Severity_Text],tblSeverityMap[Score],0),0)</f>
        <v/>
      </c>
      <c r="T4014">
        <f>ROUND((M4014*0.25)+(N4014*0.20)+(O4014*0.15)+(P4014*0.15)+(Q4014*0.10)+(R4014*0.10)+(S4014*0.05),2)</f>
        <v/>
      </c>
      <c r="U4014">
        <f>IF(T4014&gt;=4.25,"Critical",IF(T4014&gt;=3.5,"High",IF(T4014&gt;=2,"Medium","Low")))</f>
        <v/>
      </c>
    </row>
    <row r="4015">
      <c r="R4015">
        <f>IFERROR(XLOOKUP(XLOOKUP(D4015,tblReleaseChanges[Change_ID],tblReleaseChanges[Oracle_Severity],""),tblSeverityMap[Severity_Text],tblSeverityMap[Score],0),0)</f>
        <v/>
      </c>
      <c r="T4015">
        <f>ROUND((M4015*0.25)+(N4015*0.20)+(O4015*0.15)+(P4015*0.15)+(Q4015*0.10)+(R4015*0.10)+(S4015*0.05),2)</f>
        <v/>
      </c>
      <c r="U4015">
        <f>IF(T4015&gt;=4.25,"Critical",IF(T4015&gt;=3.5,"High",IF(T4015&gt;=2,"Medium","Low")))</f>
        <v/>
      </c>
    </row>
    <row r="4016">
      <c r="R4016">
        <f>IFERROR(XLOOKUP(XLOOKUP(D4016,tblReleaseChanges[Change_ID],tblReleaseChanges[Oracle_Severity],""),tblSeverityMap[Severity_Text],tblSeverityMap[Score],0),0)</f>
        <v/>
      </c>
      <c r="T4016">
        <f>ROUND((M4016*0.25)+(N4016*0.20)+(O4016*0.15)+(P4016*0.15)+(Q4016*0.10)+(R4016*0.10)+(S4016*0.05),2)</f>
        <v/>
      </c>
      <c r="U4016">
        <f>IF(T4016&gt;=4.25,"Critical",IF(T4016&gt;=3.5,"High",IF(T4016&gt;=2,"Medium","Low")))</f>
        <v/>
      </c>
    </row>
    <row r="4017">
      <c r="R4017">
        <f>IFERROR(XLOOKUP(XLOOKUP(D4017,tblReleaseChanges[Change_ID],tblReleaseChanges[Oracle_Severity],""),tblSeverityMap[Severity_Text],tblSeverityMap[Score],0),0)</f>
        <v/>
      </c>
      <c r="T4017">
        <f>ROUND((M4017*0.25)+(N4017*0.20)+(O4017*0.15)+(P4017*0.15)+(Q4017*0.10)+(R4017*0.10)+(S4017*0.05),2)</f>
        <v/>
      </c>
      <c r="U4017">
        <f>IF(T4017&gt;=4.25,"Critical",IF(T4017&gt;=3.5,"High",IF(T4017&gt;=2,"Medium","Low")))</f>
        <v/>
      </c>
    </row>
    <row r="4018">
      <c r="R4018">
        <f>IFERROR(XLOOKUP(XLOOKUP(D4018,tblReleaseChanges[Change_ID],tblReleaseChanges[Oracle_Severity],""),tblSeverityMap[Severity_Text],tblSeverityMap[Score],0),0)</f>
        <v/>
      </c>
      <c r="T4018">
        <f>ROUND((M4018*0.25)+(N4018*0.20)+(O4018*0.15)+(P4018*0.15)+(Q4018*0.10)+(R4018*0.10)+(S4018*0.05),2)</f>
        <v/>
      </c>
      <c r="U4018">
        <f>IF(T4018&gt;=4.25,"Critical",IF(T4018&gt;=3.5,"High",IF(T4018&gt;=2,"Medium","Low")))</f>
        <v/>
      </c>
    </row>
    <row r="4019">
      <c r="R4019">
        <f>IFERROR(XLOOKUP(XLOOKUP(D4019,tblReleaseChanges[Change_ID],tblReleaseChanges[Oracle_Severity],""),tblSeverityMap[Severity_Text],tblSeverityMap[Score],0),0)</f>
        <v/>
      </c>
      <c r="T4019">
        <f>ROUND((M4019*0.25)+(N4019*0.20)+(O4019*0.15)+(P4019*0.15)+(Q4019*0.10)+(R4019*0.10)+(S4019*0.05),2)</f>
        <v/>
      </c>
      <c r="U4019">
        <f>IF(T4019&gt;=4.25,"Critical",IF(T4019&gt;=3.5,"High",IF(T4019&gt;=2,"Medium","Low")))</f>
        <v/>
      </c>
    </row>
    <row r="4020">
      <c r="R4020">
        <f>IFERROR(XLOOKUP(XLOOKUP(D4020,tblReleaseChanges[Change_ID],tblReleaseChanges[Oracle_Severity],""),tblSeverityMap[Severity_Text],tblSeverityMap[Score],0),0)</f>
        <v/>
      </c>
      <c r="T4020">
        <f>ROUND((M4020*0.25)+(N4020*0.20)+(O4020*0.15)+(P4020*0.15)+(Q4020*0.10)+(R4020*0.10)+(S4020*0.05),2)</f>
        <v/>
      </c>
      <c r="U4020">
        <f>IF(T4020&gt;=4.25,"Critical",IF(T4020&gt;=3.5,"High",IF(T4020&gt;=2,"Medium","Low")))</f>
        <v/>
      </c>
    </row>
    <row r="4021">
      <c r="R4021">
        <f>IFERROR(XLOOKUP(XLOOKUP(D4021,tblReleaseChanges[Change_ID],tblReleaseChanges[Oracle_Severity],""),tblSeverityMap[Severity_Text],tblSeverityMap[Score],0),0)</f>
        <v/>
      </c>
      <c r="T4021">
        <f>ROUND((M4021*0.25)+(N4021*0.20)+(O4021*0.15)+(P4021*0.15)+(Q4021*0.10)+(R4021*0.10)+(S4021*0.05),2)</f>
        <v/>
      </c>
      <c r="U4021">
        <f>IF(T4021&gt;=4.25,"Critical",IF(T4021&gt;=3.5,"High",IF(T4021&gt;=2,"Medium","Low")))</f>
        <v/>
      </c>
    </row>
    <row r="4022">
      <c r="R4022">
        <f>IFERROR(XLOOKUP(XLOOKUP(D4022,tblReleaseChanges[Change_ID],tblReleaseChanges[Oracle_Severity],""),tblSeverityMap[Severity_Text],tblSeverityMap[Score],0),0)</f>
        <v/>
      </c>
      <c r="T4022">
        <f>ROUND((M4022*0.25)+(N4022*0.20)+(O4022*0.15)+(P4022*0.15)+(Q4022*0.10)+(R4022*0.10)+(S4022*0.05),2)</f>
        <v/>
      </c>
      <c r="U4022">
        <f>IF(T4022&gt;=4.25,"Critical",IF(T4022&gt;=3.5,"High",IF(T4022&gt;=2,"Medium","Low")))</f>
        <v/>
      </c>
    </row>
    <row r="4023">
      <c r="R4023">
        <f>IFERROR(XLOOKUP(XLOOKUP(D4023,tblReleaseChanges[Change_ID],tblReleaseChanges[Oracle_Severity],""),tblSeverityMap[Severity_Text],tblSeverityMap[Score],0),0)</f>
        <v/>
      </c>
      <c r="T4023">
        <f>ROUND((M4023*0.25)+(N4023*0.20)+(O4023*0.15)+(P4023*0.15)+(Q4023*0.10)+(R4023*0.10)+(S4023*0.05),2)</f>
        <v/>
      </c>
      <c r="U4023">
        <f>IF(T4023&gt;=4.25,"Critical",IF(T4023&gt;=3.5,"High",IF(T4023&gt;=2,"Medium","Low")))</f>
        <v/>
      </c>
    </row>
    <row r="4024">
      <c r="R4024">
        <f>IFERROR(XLOOKUP(XLOOKUP(D4024,tblReleaseChanges[Change_ID],tblReleaseChanges[Oracle_Severity],""),tblSeverityMap[Severity_Text],tblSeverityMap[Score],0),0)</f>
        <v/>
      </c>
      <c r="T4024">
        <f>ROUND((M4024*0.25)+(N4024*0.20)+(O4024*0.15)+(P4024*0.15)+(Q4024*0.10)+(R4024*0.10)+(S4024*0.05),2)</f>
        <v/>
      </c>
      <c r="U4024">
        <f>IF(T4024&gt;=4.25,"Critical",IF(T4024&gt;=3.5,"High",IF(T4024&gt;=2,"Medium","Low")))</f>
        <v/>
      </c>
    </row>
    <row r="4025">
      <c r="R4025">
        <f>IFERROR(XLOOKUP(XLOOKUP(D4025,tblReleaseChanges[Change_ID],tblReleaseChanges[Oracle_Severity],""),tblSeverityMap[Severity_Text],tblSeverityMap[Score],0),0)</f>
        <v/>
      </c>
      <c r="T4025">
        <f>ROUND((M4025*0.25)+(N4025*0.20)+(O4025*0.15)+(P4025*0.15)+(Q4025*0.10)+(R4025*0.10)+(S4025*0.05),2)</f>
        <v/>
      </c>
      <c r="U4025">
        <f>IF(T4025&gt;=4.25,"Critical",IF(T4025&gt;=3.5,"High",IF(T4025&gt;=2,"Medium","Low")))</f>
        <v/>
      </c>
    </row>
    <row r="4026">
      <c r="R4026">
        <f>IFERROR(XLOOKUP(XLOOKUP(D4026,tblReleaseChanges[Change_ID],tblReleaseChanges[Oracle_Severity],""),tblSeverityMap[Severity_Text],tblSeverityMap[Score],0),0)</f>
        <v/>
      </c>
      <c r="T4026">
        <f>ROUND((M4026*0.25)+(N4026*0.20)+(O4026*0.15)+(P4026*0.15)+(Q4026*0.10)+(R4026*0.10)+(S4026*0.05),2)</f>
        <v/>
      </c>
      <c r="U4026">
        <f>IF(T4026&gt;=4.25,"Critical",IF(T4026&gt;=3.5,"High",IF(T4026&gt;=2,"Medium","Low")))</f>
        <v/>
      </c>
    </row>
    <row r="4027">
      <c r="R4027">
        <f>IFERROR(XLOOKUP(XLOOKUP(D4027,tblReleaseChanges[Change_ID],tblReleaseChanges[Oracle_Severity],""),tblSeverityMap[Severity_Text],tblSeverityMap[Score],0),0)</f>
        <v/>
      </c>
      <c r="T4027">
        <f>ROUND((M4027*0.25)+(N4027*0.20)+(O4027*0.15)+(P4027*0.15)+(Q4027*0.10)+(R4027*0.10)+(S4027*0.05),2)</f>
        <v/>
      </c>
      <c r="U4027">
        <f>IF(T4027&gt;=4.25,"Critical",IF(T4027&gt;=3.5,"High",IF(T4027&gt;=2,"Medium","Low")))</f>
        <v/>
      </c>
    </row>
    <row r="4028">
      <c r="R4028">
        <f>IFERROR(XLOOKUP(XLOOKUP(D4028,tblReleaseChanges[Change_ID],tblReleaseChanges[Oracle_Severity],""),tblSeverityMap[Severity_Text],tblSeverityMap[Score],0),0)</f>
        <v/>
      </c>
      <c r="T4028">
        <f>ROUND((M4028*0.25)+(N4028*0.20)+(O4028*0.15)+(P4028*0.15)+(Q4028*0.10)+(R4028*0.10)+(S4028*0.05),2)</f>
        <v/>
      </c>
      <c r="U4028">
        <f>IF(T4028&gt;=4.25,"Critical",IF(T4028&gt;=3.5,"High",IF(T4028&gt;=2,"Medium","Low")))</f>
        <v/>
      </c>
    </row>
    <row r="4029">
      <c r="R4029">
        <f>IFERROR(XLOOKUP(XLOOKUP(D4029,tblReleaseChanges[Change_ID],tblReleaseChanges[Oracle_Severity],""),tblSeverityMap[Severity_Text],tblSeverityMap[Score],0),0)</f>
        <v/>
      </c>
      <c r="T4029">
        <f>ROUND((M4029*0.25)+(N4029*0.20)+(O4029*0.15)+(P4029*0.15)+(Q4029*0.10)+(R4029*0.10)+(S4029*0.05),2)</f>
        <v/>
      </c>
      <c r="U4029">
        <f>IF(T4029&gt;=4.25,"Critical",IF(T4029&gt;=3.5,"High",IF(T4029&gt;=2,"Medium","Low")))</f>
        <v/>
      </c>
    </row>
    <row r="4030">
      <c r="R4030">
        <f>IFERROR(XLOOKUP(XLOOKUP(D4030,tblReleaseChanges[Change_ID],tblReleaseChanges[Oracle_Severity],""),tblSeverityMap[Severity_Text],tblSeverityMap[Score],0),0)</f>
        <v/>
      </c>
      <c r="T4030">
        <f>ROUND((M4030*0.25)+(N4030*0.20)+(O4030*0.15)+(P4030*0.15)+(Q4030*0.10)+(R4030*0.10)+(S4030*0.05),2)</f>
        <v/>
      </c>
      <c r="U4030">
        <f>IF(T4030&gt;=4.25,"Critical",IF(T4030&gt;=3.5,"High",IF(T4030&gt;=2,"Medium","Low")))</f>
        <v/>
      </c>
    </row>
    <row r="4031">
      <c r="R4031">
        <f>IFERROR(XLOOKUP(XLOOKUP(D4031,tblReleaseChanges[Change_ID],tblReleaseChanges[Oracle_Severity],""),tblSeverityMap[Severity_Text],tblSeverityMap[Score],0),0)</f>
        <v/>
      </c>
      <c r="T4031">
        <f>ROUND((M4031*0.25)+(N4031*0.20)+(O4031*0.15)+(P4031*0.15)+(Q4031*0.10)+(R4031*0.10)+(S4031*0.05),2)</f>
        <v/>
      </c>
      <c r="U4031">
        <f>IF(T4031&gt;=4.25,"Critical",IF(T4031&gt;=3.5,"High",IF(T4031&gt;=2,"Medium","Low")))</f>
        <v/>
      </c>
    </row>
    <row r="4032">
      <c r="R4032">
        <f>IFERROR(XLOOKUP(XLOOKUP(D4032,tblReleaseChanges[Change_ID],tblReleaseChanges[Oracle_Severity],""),tblSeverityMap[Severity_Text],tblSeverityMap[Score],0),0)</f>
        <v/>
      </c>
      <c r="T4032">
        <f>ROUND((M4032*0.25)+(N4032*0.20)+(O4032*0.15)+(P4032*0.15)+(Q4032*0.10)+(R4032*0.10)+(S4032*0.05),2)</f>
        <v/>
      </c>
      <c r="U4032">
        <f>IF(T4032&gt;=4.25,"Critical",IF(T4032&gt;=3.5,"High",IF(T4032&gt;=2,"Medium","Low")))</f>
        <v/>
      </c>
    </row>
    <row r="4033">
      <c r="R4033">
        <f>IFERROR(XLOOKUP(XLOOKUP(D4033,tblReleaseChanges[Change_ID],tblReleaseChanges[Oracle_Severity],""),tblSeverityMap[Severity_Text],tblSeverityMap[Score],0),0)</f>
        <v/>
      </c>
      <c r="T4033">
        <f>ROUND((M4033*0.25)+(N4033*0.20)+(O4033*0.15)+(P4033*0.15)+(Q4033*0.10)+(R4033*0.10)+(S4033*0.05),2)</f>
        <v/>
      </c>
      <c r="U4033">
        <f>IF(T4033&gt;=4.25,"Critical",IF(T4033&gt;=3.5,"High",IF(T4033&gt;=2,"Medium","Low")))</f>
        <v/>
      </c>
    </row>
    <row r="4034">
      <c r="R4034">
        <f>IFERROR(XLOOKUP(XLOOKUP(D4034,tblReleaseChanges[Change_ID],tblReleaseChanges[Oracle_Severity],""),tblSeverityMap[Severity_Text],tblSeverityMap[Score],0),0)</f>
        <v/>
      </c>
      <c r="T4034">
        <f>ROUND((M4034*0.25)+(N4034*0.20)+(O4034*0.15)+(P4034*0.15)+(Q4034*0.10)+(R4034*0.10)+(S4034*0.05),2)</f>
        <v/>
      </c>
      <c r="U4034">
        <f>IF(T4034&gt;=4.25,"Critical",IF(T4034&gt;=3.5,"High",IF(T4034&gt;=2,"Medium","Low")))</f>
        <v/>
      </c>
    </row>
    <row r="4035">
      <c r="R4035">
        <f>IFERROR(XLOOKUP(XLOOKUP(D4035,tblReleaseChanges[Change_ID],tblReleaseChanges[Oracle_Severity],""),tblSeverityMap[Severity_Text],tblSeverityMap[Score],0),0)</f>
        <v/>
      </c>
      <c r="T4035">
        <f>ROUND((M4035*0.25)+(N4035*0.20)+(O4035*0.15)+(P4035*0.15)+(Q4035*0.10)+(R4035*0.10)+(S4035*0.05),2)</f>
        <v/>
      </c>
      <c r="U4035">
        <f>IF(T4035&gt;=4.25,"Critical",IF(T4035&gt;=3.5,"High",IF(T4035&gt;=2,"Medium","Low")))</f>
        <v/>
      </c>
    </row>
    <row r="4036">
      <c r="R4036">
        <f>IFERROR(XLOOKUP(XLOOKUP(D4036,tblReleaseChanges[Change_ID],tblReleaseChanges[Oracle_Severity],""),tblSeverityMap[Severity_Text],tblSeverityMap[Score],0),0)</f>
        <v/>
      </c>
      <c r="T4036">
        <f>ROUND((M4036*0.25)+(N4036*0.20)+(O4036*0.15)+(P4036*0.15)+(Q4036*0.10)+(R4036*0.10)+(S4036*0.05),2)</f>
        <v/>
      </c>
      <c r="U4036">
        <f>IF(T4036&gt;=4.25,"Critical",IF(T4036&gt;=3.5,"High",IF(T4036&gt;=2,"Medium","Low")))</f>
        <v/>
      </c>
    </row>
    <row r="4037">
      <c r="R4037">
        <f>IFERROR(XLOOKUP(XLOOKUP(D4037,tblReleaseChanges[Change_ID],tblReleaseChanges[Oracle_Severity],""),tblSeverityMap[Severity_Text],tblSeverityMap[Score],0),0)</f>
        <v/>
      </c>
      <c r="T4037">
        <f>ROUND((M4037*0.25)+(N4037*0.20)+(O4037*0.15)+(P4037*0.15)+(Q4037*0.10)+(R4037*0.10)+(S4037*0.05),2)</f>
        <v/>
      </c>
      <c r="U4037">
        <f>IF(T4037&gt;=4.25,"Critical",IF(T4037&gt;=3.5,"High",IF(T4037&gt;=2,"Medium","Low")))</f>
        <v/>
      </c>
    </row>
    <row r="4038">
      <c r="R4038">
        <f>IFERROR(XLOOKUP(XLOOKUP(D4038,tblReleaseChanges[Change_ID],tblReleaseChanges[Oracle_Severity],""),tblSeverityMap[Severity_Text],tblSeverityMap[Score],0),0)</f>
        <v/>
      </c>
      <c r="T4038">
        <f>ROUND((M4038*0.25)+(N4038*0.20)+(O4038*0.15)+(P4038*0.15)+(Q4038*0.10)+(R4038*0.10)+(S4038*0.05),2)</f>
        <v/>
      </c>
      <c r="U4038">
        <f>IF(T4038&gt;=4.25,"Critical",IF(T4038&gt;=3.5,"High",IF(T4038&gt;=2,"Medium","Low")))</f>
        <v/>
      </c>
    </row>
    <row r="4039">
      <c r="R4039">
        <f>IFERROR(XLOOKUP(XLOOKUP(D4039,tblReleaseChanges[Change_ID],tblReleaseChanges[Oracle_Severity],""),tblSeverityMap[Severity_Text],tblSeverityMap[Score],0),0)</f>
        <v/>
      </c>
      <c r="T4039">
        <f>ROUND((M4039*0.25)+(N4039*0.20)+(O4039*0.15)+(P4039*0.15)+(Q4039*0.10)+(R4039*0.10)+(S4039*0.05),2)</f>
        <v/>
      </c>
      <c r="U4039">
        <f>IF(T4039&gt;=4.25,"Critical",IF(T4039&gt;=3.5,"High",IF(T4039&gt;=2,"Medium","Low")))</f>
        <v/>
      </c>
    </row>
    <row r="4040">
      <c r="R4040">
        <f>IFERROR(XLOOKUP(XLOOKUP(D4040,tblReleaseChanges[Change_ID],tblReleaseChanges[Oracle_Severity],""),tblSeverityMap[Severity_Text],tblSeverityMap[Score],0),0)</f>
        <v/>
      </c>
      <c r="T4040">
        <f>ROUND((M4040*0.25)+(N4040*0.20)+(O4040*0.15)+(P4040*0.15)+(Q4040*0.10)+(R4040*0.10)+(S4040*0.05),2)</f>
        <v/>
      </c>
      <c r="U4040">
        <f>IF(T4040&gt;=4.25,"Critical",IF(T4040&gt;=3.5,"High",IF(T4040&gt;=2,"Medium","Low")))</f>
        <v/>
      </c>
    </row>
    <row r="4041">
      <c r="R4041">
        <f>IFERROR(XLOOKUP(XLOOKUP(D4041,tblReleaseChanges[Change_ID],tblReleaseChanges[Oracle_Severity],""),tblSeverityMap[Severity_Text],tblSeverityMap[Score],0),0)</f>
        <v/>
      </c>
      <c r="T4041">
        <f>ROUND((M4041*0.25)+(N4041*0.20)+(O4041*0.15)+(P4041*0.15)+(Q4041*0.10)+(R4041*0.10)+(S4041*0.05),2)</f>
        <v/>
      </c>
      <c r="U4041">
        <f>IF(T4041&gt;=4.25,"Critical",IF(T4041&gt;=3.5,"High",IF(T4041&gt;=2,"Medium","Low")))</f>
        <v/>
      </c>
    </row>
    <row r="4042">
      <c r="R4042">
        <f>IFERROR(XLOOKUP(XLOOKUP(D4042,tblReleaseChanges[Change_ID],tblReleaseChanges[Oracle_Severity],""),tblSeverityMap[Severity_Text],tblSeverityMap[Score],0),0)</f>
        <v/>
      </c>
      <c r="T4042">
        <f>ROUND((M4042*0.25)+(N4042*0.20)+(O4042*0.15)+(P4042*0.15)+(Q4042*0.10)+(R4042*0.10)+(S4042*0.05),2)</f>
        <v/>
      </c>
      <c r="U4042">
        <f>IF(T4042&gt;=4.25,"Critical",IF(T4042&gt;=3.5,"High",IF(T4042&gt;=2,"Medium","Low")))</f>
        <v/>
      </c>
    </row>
    <row r="4043">
      <c r="R4043">
        <f>IFERROR(XLOOKUP(XLOOKUP(D4043,tblReleaseChanges[Change_ID],tblReleaseChanges[Oracle_Severity],""),tblSeverityMap[Severity_Text],tblSeverityMap[Score],0),0)</f>
        <v/>
      </c>
      <c r="T4043">
        <f>ROUND((M4043*0.25)+(N4043*0.20)+(O4043*0.15)+(P4043*0.15)+(Q4043*0.10)+(R4043*0.10)+(S4043*0.05),2)</f>
        <v/>
      </c>
      <c r="U4043">
        <f>IF(T4043&gt;=4.25,"Critical",IF(T4043&gt;=3.5,"High",IF(T4043&gt;=2,"Medium","Low")))</f>
        <v/>
      </c>
    </row>
    <row r="4044">
      <c r="R4044">
        <f>IFERROR(XLOOKUP(XLOOKUP(D4044,tblReleaseChanges[Change_ID],tblReleaseChanges[Oracle_Severity],""),tblSeverityMap[Severity_Text],tblSeverityMap[Score],0),0)</f>
        <v/>
      </c>
      <c r="T4044">
        <f>ROUND((M4044*0.25)+(N4044*0.20)+(O4044*0.15)+(P4044*0.15)+(Q4044*0.10)+(R4044*0.10)+(S4044*0.05),2)</f>
        <v/>
      </c>
      <c r="U4044">
        <f>IF(T4044&gt;=4.25,"Critical",IF(T4044&gt;=3.5,"High",IF(T4044&gt;=2,"Medium","Low")))</f>
        <v/>
      </c>
    </row>
    <row r="4045">
      <c r="R4045">
        <f>IFERROR(XLOOKUP(XLOOKUP(D4045,tblReleaseChanges[Change_ID],tblReleaseChanges[Oracle_Severity],""),tblSeverityMap[Severity_Text],tblSeverityMap[Score],0),0)</f>
        <v/>
      </c>
      <c r="T4045">
        <f>ROUND((M4045*0.25)+(N4045*0.20)+(O4045*0.15)+(P4045*0.15)+(Q4045*0.10)+(R4045*0.10)+(S4045*0.05),2)</f>
        <v/>
      </c>
      <c r="U4045">
        <f>IF(T4045&gt;=4.25,"Critical",IF(T4045&gt;=3.5,"High",IF(T4045&gt;=2,"Medium","Low")))</f>
        <v/>
      </c>
    </row>
    <row r="4046">
      <c r="R4046">
        <f>IFERROR(XLOOKUP(XLOOKUP(D4046,tblReleaseChanges[Change_ID],tblReleaseChanges[Oracle_Severity],""),tblSeverityMap[Severity_Text],tblSeverityMap[Score],0),0)</f>
        <v/>
      </c>
      <c r="T4046">
        <f>ROUND((M4046*0.25)+(N4046*0.20)+(O4046*0.15)+(P4046*0.15)+(Q4046*0.10)+(R4046*0.10)+(S4046*0.05),2)</f>
        <v/>
      </c>
      <c r="U4046">
        <f>IF(T4046&gt;=4.25,"Critical",IF(T4046&gt;=3.5,"High",IF(T4046&gt;=2,"Medium","Low")))</f>
        <v/>
      </c>
    </row>
    <row r="4047">
      <c r="R4047">
        <f>IFERROR(XLOOKUP(XLOOKUP(D4047,tblReleaseChanges[Change_ID],tblReleaseChanges[Oracle_Severity],""),tblSeverityMap[Severity_Text],tblSeverityMap[Score],0),0)</f>
        <v/>
      </c>
      <c r="T4047">
        <f>ROUND((M4047*0.25)+(N4047*0.20)+(O4047*0.15)+(P4047*0.15)+(Q4047*0.10)+(R4047*0.10)+(S4047*0.05),2)</f>
        <v/>
      </c>
      <c r="U4047">
        <f>IF(T4047&gt;=4.25,"Critical",IF(T4047&gt;=3.5,"High",IF(T4047&gt;=2,"Medium","Low")))</f>
        <v/>
      </c>
    </row>
    <row r="4048">
      <c r="R4048">
        <f>IFERROR(XLOOKUP(XLOOKUP(D4048,tblReleaseChanges[Change_ID],tblReleaseChanges[Oracle_Severity],""),tblSeverityMap[Severity_Text],tblSeverityMap[Score],0),0)</f>
        <v/>
      </c>
      <c r="T4048">
        <f>ROUND((M4048*0.25)+(N4048*0.20)+(O4048*0.15)+(P4048*0.15)+(Q4048*0.10)+(R4048*0.10)+(S4048*0.05),2)</f>
        <v/>
      </c>
      <c r="U4048">
        <f>IF(T4048&gt;=4.25,"Critical",IF(T4048&gt;=3.5,"High",IF(T4048&gt;=2,"Medium","Low")))</f>
        <v/>
      </c>
    </row>
    <row r="4049">
      <c r="R4049">
        <f>IFERROR(XLOOKUP(XLOOKUP(D4049,tblReleaseChanges[Change_ID],tblReleaseChanges[Oracle_Severity],""),tblSeverityMap[Severity_Text],tblSeverityMap[Score],0),0)</f>
        <v/>
      </c>
      <c r="T4049">
        <f>ROUND((M4049*0.25)+(N4049*0.20)+(O4049*0.15)+(P4049*0.15)+(Q4049*0.10)+(R4049*0.10)+(S4049*0.05),2)</f>
        <v/>
      </c>
      <c r="U4049">
        <f>IF(T4049&gt;=4.25,"Critical",IF(T4049&gt;=3.5,"High",IF(T4049&gt;=2,"Medium","Low")))</f>
        <v/>
      </c>
    </row>
    <row r="4050">
      <c r="R4050">
        <f>IFERROR(XLOOKUP(XLOOKUP(D4050,tblReleaseChanges[Change_ID],tblReleaseChanges[Oracle_Severity],""),tblSeverityMap[Severity_Text],tblSeverityMap[Score],0),0)</f>
        <v/>
      </c>
      <c r="T4050">
        <f>ROUND((M4050*0.25)+(N4050*0.20)+(O4050*0.15)+(P4050*0.15)+(Q4050*0.10)+(R4050*0.10)+(S4050*0.05),2)</f>
        <v/>
      </c>
      <c r="U4050">
        <f>IF(T4050&gt;=4.25,"Critical",IF(T4050&gt;=3.5,"High",IF(T4050&gt;=2,"Medium","Low")))</f>
        <v/>
      </c>
    </row>
    <row r="4051">
      <c r="R4051">
        <f>IFERROR(XLOOKUP(XLOOKUP(D4051,tblReleaseChanges[Change_ID],tblReleaseChanges[Oracle_Severity],""),tblSeverityMap[Severity_Text],tblSeverityMap[Score],0),0)</f>
        <v/>
      </c>
      <c r="T4051">
        <f>ROUND((M4051*0.25)+(N4051*0.20)+(O4051*0.15)+(P4051*0.15)+(Q4051*0.10)+(R4051*0.10)+(S4051*0.05),2)</f>
        <v/>
      </c>
      <c r="U4051">
        <f>IF(T4051&gt;=4.25,"Critical",IF(T4051&gt;=3.5,"High",IF(T4051&gt;=2,"Medium","Low")))</f>
        <v/>
      </c>
    </row>
    <row r="4052">
      <c r="R4052">
        <f>IFERROR(XLOOKUP(XLOOKUP(D4052,tblReleaseChanges[Change_ID],tblReleaseChanges[Oracle_Severity],""),tblSeverityMap[Severity_Text],tblSeverityMap[Score],0),0)</f>
        <v/>
      </c>
      <c r="T4052">
        <f>ROUND((M4052*0.25)+(N4052*0.20)+(O4052*0.15)+(P4052*0.15)+(Q4052*0.10)+(R4052*0.10)+(S4052*0.05),2)</f>
        <v/>
      </c>
      <c r="U4052">
        <f>IF(T4052&gt;=4.25,"Critical",IF(T4052&gt;=3.5,"High",IF(T4052&gt;=2,"Medium","Low")))</f>
        <v/>
      </c>
    </row>
    <row r="4053">
      <c r="R4053">
        <f>IFERROR(XLOOKUP(XLOOKUP(D4053,tblReleaseChanges[Change_ID],tblReleaseChanges[Oracle_Severity],""),tblSeverityMap[Severity_Text],tblSeverityMap[Score],0),0)</f>
        <v/>
      </c>
      <c r="T4053">
        <f>ROUND((M4053*0.25)+(N4053*0.20)+(O4053*0.15)+(P4053*0.15)+(Q4053*0.10)+(R4053*0.10)+(S4053*0.05),2)</f>
        <v/>
      </c>
      <c r="U4053">
        <f>IF(T4053&gt;=4.25,"Critical",IF(T4053&gt;=3.5,"High",IF(T4053&gt;=2,"Medium","Low")))</f>
        <v/>
      </c>
    </row>
    <row r="4054">
      <c r="R4054">
        <f>IFERROR(XLOOKUP(XLOOKUP(D4054,tblReleaseChanges[Change_ID],tblReleaseChanges[Oracle_Severity],""),tblSeverityMap[Severity_Text],tblSeverityMap[Score],0),0)</f>
        <v/>
      </c>
      <c r="T4054">
        <f>ROUND((M4054*0.25)+(N4054*0.20)+(O4054*0.15)+(P4054*0.15)+(Q4054*0.10)+(R4054*0.10)+(S4054*0.05),2)</f>
        <v/>
      </c>
      <c r="U4054">
        <f>IF(T4054&gt;=4.25,"Critical",IF(T4054&gt;=3.5,"High",IF(T4054&gt;=2,"Medium","Low")))</f>
        <v/>
      </c>
    </row>
    <row r="4055">
      <c r="R4055">
        <f>IFERROR(XLOOKUP(XLOOKUP(D4055,tblReleaseChanges[Change_ID],tblReleaseChanges[Oracle_Severity],""),tblSeverityMap[Severity_Text],tblSeverityMap[Score],0),0)</f>
        <v/>
      </c>
      <c r="T4055">
        <f>ROUND((M4055*0.25)+(N4055*0.20)+(O4055*0.15)+(P4055*0.15)+(Q4055*0.10)+(R4055*0.10)+(S4055*0.05),2)</f>
        <v/>
      </c>
      <c r="U4055">
        <f>IF(T4055&gt;=4.25,"Critical",IF(T4055&gt;=3.5,"High",IF(T4055&gt;=2,"Medium","Low")))</f>
        <v/>
      </c>
    </row>
    <row r="4056">
      <c r="R4056">
        <f>IFERROR(XLOOKUP(XLOOKUP(D4056,tblReleaseChanges[Change_ID],tblReleaseChanges[Oracle_Severity],""),tblSeverityMap[Severity_Text],tblSeverityMap[Score],0),0)</f>
        <v/>
      </c>
      <c r="T4056">
        <f>ROUND((M4056*0.25)+(N4056*0.20)+(O4056*0.15)+(P4056*0.15)+(Q4056*0.10)+(R4056*0.10)+(S4056*0.05),2)</f>
        <v/>
      </c>
      <c r="U4056">
        <f>IF(T4056&gt;=4.25,"Critical",IF(T4056&gt;=3.5,"High",IF(T4056&gt;=2,"Medium","Low")))</f>
        <v/>
      </c>
    </row>
    <row r="4057">
      <c r="R4057">
        <f>IFERROR(XLOOKUP(XLOOKUP(D4057,tblReleaseChanges[Change_ID],tblReleaseChanges[Oracle_Severity],""),tblSeverityMap[Severity_Text],tblSeverityMap[Score],0),0)</f>
        <v/>
      </c>
      <c r="T4057">
        <f>ROUND((M4057*0.25)+(N4057*0.20)+(O4057*0.15)+(P4057*0.15)+(Q4057*0.10)+(R4057*0.10)+(S4057*0.05),2)</f>
        <v/>
      </c>
      <c r="U4057">
        <f>IF(T4057&gt;=4.25,"Critical",IF(T4057&gt;=3.5,"High",IF(T4057&gt;=2,"Medium","Low")))</f>
        <v/>
      </c>
    </row>
    <row r="4058">
      <c r="R4058">
        <f>IFERROR(XLOOKUP(XLOOKUP(D4058,tblReleaseChanges[Change_ID],tblReleaseChanges[Oracle_Severity],""),tblSeverityMap[Severity_Text],tblSeverityMap[Score],0),0)</f>
        <v/>
      </c>
      <c r="T4058">
        <f>ROUND((M4058*0.25)+(N4058*0.20)+(O4058*0.15)+(P4058*0.15)+(Q4058*0.10)+(R4058*0.10)+(S4058*0.05),2)</f>
        <v/>
      </c>
      <c r="U4058">
        <f>IF(T4058&gt;=4.25,"Critical",IF(T4058&gt;=3.5,"High",IF(T4058&gt;=2,"Medium","Low")))</f>
        <v/>
      </c>
    </row>
    <row r="4059">
      <c r="R4059">
        <f>IFERROR(XLOOKUP(XLOOKUP(D4059,tblReleaseChanges[Change_ID],tblReleaseChanges[Oracle_Severity],""),tblSeverityMap[Severity_Text],tblSeverityMap[Score],0),0)</f>
        <v/>
      </c>
      <c r="T4059">
        <f>ROUND((M4059*0.25)+(N4059*0.20)+(O4059*0.15)+(P4059*0.15)+(Q4059*0.10)+(R4059*0.10)+(S4059*0.05),2)</f>
        <v/>
      </c>
      <c r="U4059">
        <f>IF(T4059&gt;=4.25,"Critical",IF(T4059&gt;=3.5,"High",IF(T4059&gt;=2,"Medium","Low")))</f>
        <v/>
      </c>
    </row>
    <row r="4060">
      <c r="R4060">
        <f>IFERROR(XLOOKUP(XLOOKUP(D4060,tblReleaseChanges[Change_ID],tblReleaseChanges[Oracle_Severity],""),tblSeverityMap[Severity_Text],tblSeverityMap[Score],0),0)</f>
        <v/>
      </c>
      <c r="T4060">
        <f>ROUND((M4060*0.25)+(N4060*0.20)+(O4060*0.15)+(P4060*0.15)+(Q4060*0.10)+(R4060*0.10)+(S4060*0.05),2)</f>
        <v/>
      </c>
      <c r="U4060">
        <f>IF(T4060&gt;=4.25,"Critical",IF(T4060&gt;=3.5,"High",IF(T4060&gt;=2,"Medium","Low")))</f>
        <v/>
      </c>
    </row>
    <row r="4061">
      <c r="R4061">
        <f>IFERROR(XLOOKUP(XLOOKUP(D4061,tblReleaseChanges[Change_ID],tblReleaseChanges[Oracle_Severity],""),tblSeverityMap[Severity_Text],tblSeverityMap[Score],0),0)</f>
        <v/>
      </c>
      <c r="T4061">
        <f>ROUND((M4061*0.25)+(N4061*0.20)+(O4061*0.15)+(P4061*0.15)+(Q4061*0.10)+(R4061*0.10)+(S4061*0.05),2)</f>
        <v/>
      </c>
      <c r="U4061">
        <f>IF(T4061&gt;=4.25,"Critical",IF(T4061&gt;=3.5,"High",IF(T4061&gt;=2,"Medium","Low")))</f>
        <v/>
      </c>
    </row>
    <row r="4062">
      <c r="R4062">
        <f>IFERROR(XLOOKUP(XLOOKUP(D4062,tblReleaseChanges[Change_ID],tblReleaseChanges[Oracle_Severity],""),tblSeverityMap[Severity_Text],tblSeverityMap[Score],0),0)</f>
        <v/>
      </c>
      <c r="T4062">
        <f>ROUND((M4062*0.25)+(N4062*0.20)+(O4062*0.15)+(P4062*0.15)+(Q4062*0.10)+(R4062*0.10)+(S4062*0.05),2)</f>
        <v/>
      </c>
      <c r="U4062">
        <f>IF(T4062&gt;=4.25,"Critical",IF(T4062&gt;=3.5,"High",IF(T4062&gt;=2,"Medium","Low")))</f>
        <v/>
      </c>
    </row>
    <row r="4063">
      <c r="R4063">
        <f>IFERROR(XLOOKUP(XLOOKUP(D4063,tblReleaseChanges[Change_ID],tblReleaseChanges[Oracle_Severity],""),tblSeverityMap[Severity_Text],tblSeverityMap[Score],0),0)</f>
        <v/>
      </c>
      <c r="T4063">
        <f>ROUND((M4063*0.25)+(N4063*0.20)+(O4063*0.15)+(P4063*0.15)+(Q4063*0.10)+(R4063*0.10)+(S4063*0.05),2)</f>
        <v/>
      </c>
      <c r="U4063">
        <f>IF(T4063&gt;=4.25,"Critical",IF(T4063&gt;=3.5,"High",IF(T4063&gt;=2,"Medium","Low")))</f>
        <v/>
      </c>
    </row>
    <row r="4064">
      <c r="R4064">
        <f>IFERROR(XLOOKUP(XLOOKUP(D4064,tblReleaseChanges[Change_ID],tblReleaseChanges[Oracle_Severity],""),tblSeverityMap[Severity_Text],tblSeverityMap[Score],0),0)</f>
        <v/>
      </c>
      <c r="T4064">
        <f>ROUND((M4064*0.25)+(N4064*0.20)+(O4064*0.15)+(P4064*0.15)+(Q4064*0.10)+(R4064*0.10)+(S4064*0.05),2)</f>
        <v/>
      </c>
      <c r="U4064">
        <f>IF(T4064&gt;=4.25,"Critical",IF(T4064&gt;=3.5,"High",IF(T4064&gt;=2,"Medium","Low")))</f>
        <v/>
      </c>
    </row>
    <row r="4065">
      <c r="R4065">
        <f>IFERROR(XLOOKUP(XLOOKUP(D4065,tblReleaseChanges[Change_ID],tblReleaseChanges[Oracle_Severity],""),tblSeverityMap[Severity_Text],tblSeverityMap[Score],0),0)</f>
        <v/>
      </c>
      <c r="T4065">
        <f>ROUND((M4065*0.25)+(N4065*0.20)+(O4065*0.15)+(P4065*0.15)+(Q4065*0.10)+(R4065*0.10)+(S4065*0.05),2)</f>
        <v/>
      </c>
      <c r="U4065">
        <f>IF(T4065&gt;=4.25,"Critical",IF(T4065&gt;=3.5,"High",IF(T4065&gt;=2,"Medium","Low")))</f>
        <v/>
      </c>
    </row>
    <row r="4066">
      <c r="R4066">
        <f>IFERROR(XLOOKUP(XLOOKUP(D4066,tblReleaseChanges[Change_ID],tblReleaseChanges[Oracle_Severity],""),tblSeverityMap[Severity_Text],tblSeverityMap[Score],0),0)</f>
        <v/>
      </c>
      <c r="T4066">
        <f>ROUND((M4066*0.25)+(N4066*0.20)+(O4066*0.15)+(P4066*0.15)+(Q4066*0.10)+(R4066*0.10)+(S4066*0.05),2)</f>
        <v/>
      </c>
      <c r="U4066">
        <f>IF(T4066&gt;=4.25,"Critical",IF(T4066&gt;=3.5,"High",IF(T4066&gt;=2,"Medium","Low")))</f>
        <v/>
      </c>
    </row>
    <row r="4067">
      <c r="R4067">
        <f>IFERROR(XLOOKUP(XLOOKUP(D4067,tblReleaseChanges[Change_ID],tblReleaseChanges[Oracle_Severity],""),tblSeverityMap[Severity_Text],tblSeverityMap[Score],0),0)</f>
        <v/>
      </c>
      <c r="T4067">
        <f>ROUND((M4067*0.25)+(N4067*0.20)+(O4067*0.15)+(P4067*0.15)+(Q4067*0.10)+(R4067*0.10)+(S4067*0.05),2)</f>
        <v/>
      </c>
      <c r="U4067">
        <f>IF(T4067&gt;=4.25,"Critical",IF(T4067&gt;=3.5,"High",IF(T4067&gt;=2,"Medium","Low")))</f>
        <v/>
      </c>
    </row>
    <row r="4068">
      <c r="R4068">
        <f>IFERROR(XLOOKUP(XLOOKUP(D4068,tblReleaseChanges[Change_ID],tblReleaseChanges[Oracle_Severity],""),tblSeverityMap[Severity_Text],tblSeverityMap[Score],0),0)</f>
        <v/>
      </c>
      <c r="T4068">
        <f>ROUND((M4068*0.25)+(N4068*0.20)+(O4068*0.15)+(P4068*0.15)+(Q4068*0.10)+(R4068*0.10)+(S4068*0.05),2)</f>
        <v/>
      </c>
      <c r="U4068">
        <f>IF(T4068&gt;=4.25,"Critical",IF(T4068&gt;=3.5,"High",IF(T4068&gt;=2,"Medium","Low")))</f>
        <v/>
      </c>
    </row>
    <row r="4069">
      <c r="R4069">
        <f>IFERROR(XLOOKUP(XLOOKUP(D4069,tblReleaseChanges[Change_ID],tblReleaseChanges[Oracle_Severity],""),tblSeverityMap[Severity_Text],tblSeverityMap[Score],0),0)</f>
        <v/>
      </c>
      <c r="T4069">
        <f>ROUND((M4069*0.25)+(N4069*0.20)+(O4069*0.15)+(P4069*0.15)+(Q4069*0.10)+(R4069*0.10)+(S4069*0.05),2)</f>
        <v/>
      </c>
      <c r="U4069">
        <f>IF(T4069&gt;=4.25,"Critical",IF(T4069&gt;=3.5,"High",IF(T4069&gt;=2,"Medium","Low")))</f>
        <v/>
      </c>
    </row>
    <row r="4070">
      <c r="R4070">
        <f>IFERROR(XLOOKUP(XLOOKUP(D4070,tblReleaseChanges[Change_ID],tblReleaseChanges[Oracle_Severity],""),tblSeverityMap[Severity_Text],tblSeverityMap[Score],0),0)</f>
        <v/>
      </c>
      <c r="T4070">
        <f>ROUND((M4070*0.25)+(N4070*0.20)+(O4070*0.15)+(P4070*0.15)+(Q4070*0.10)+(R4070*0.10)+(S4070*0.05),2)</f>
        <v/>
      </c>
      <c r="U4070">
        <f>IF(T4070&gt;=4.25,"Critical",IF(T4070&gt;=3.5,"High",IF(T4070&gt;=2,"Medium","Low")))</f>
        <v/>
      </c>
    </row>
    <row r="4071">
      <c r="R4071">
        <f>IFERROR(XLOOKUP(XLOOKUP(D4071,tblReleaseChanges[Change_ID],tblReleaseChanges[Oracle_Severity],""),tblSeverityMap[Severity_Text],tblSeverityMap[Score],0),0)</f>
        <v/>
      </c>
      <c r="T4071">
        <f>ROUND((M4071*0.25)+(N4071*0.20)+(O4071*0.15)+(P4071*0.15)+(Q4071*0.10)+(R4071*0.10)+(S4071*0.05),2)</f>
        <v/>
      </c>
      <c r="U4071">
        <f>IF(T4071&gt;=4.25,"Critical",IF(T4071&gt;=3.5,"High",IF(T4071&gt;=2,"Medium","Low")))</f>
        <v/>
      </c>
    </row>
    <row r="4072">
      <c r="R4072">
        <f>IFERROR(XLOOKUP(XLOOKUP(D4072,tblReleaseChanges[Change_ID],tblReleaseChanges[Oracle_Severity],""),tblSeverityMap[Severity_Text],tblSeverityMap[Score],0),0)</f>
        <v/>
      </c>
      <c r="T4072">
        <f>ROUND((M4072*0.25)+(N4072*0.20)+(O4072*0.15)+(P4072*0.15)+(Q4072*0.10)+(R4072*0.10)+(S4072*0.05),2)</f>
        <v/>
      </c>
      <c r="U4072">
        <f>IF(T4072&gt;=4.25,"Critical",IF(T4072&gt;=3.5,"High",IF(T4072&gt;=2,"Medium","Low")))</f>
        <v/>
      </c>
    </row>
    <row r="4073">
      <c r="R4073">
        <f>IFERROR(XLOOKUP(XLOOKUP(D4073,tblReleaseChanges[Change_ID],tblReleaseChanges[Oracle_Severity],""),tblSeverityMap[Severity_Text],tblSeverityMap[Score],0),0)</f>
        <v/>
      </c>
      <c r="T4073">
        <f>ROUND((M4073*0.25)+(N4073*0.20)+(O4073*0.15)+(P4073*0.15)+(Q4073*0.10)+(R4073*0.10)+(S4073*0.05),2)</f>
        <v/>
      </c>
      <c r="U4073">
        <f>IF(T4073&gt;=4.25,"Critical",IF(T4073&gt;=3.5,"High",IF(T4073&gt;=2,"Medium","Low")))</f>
        <v/>
      </c>
    </row>
    <row r="4074">
      <c r="R4074">
        <f>IFERROR(XLOOKUP(XLOOKUP(D4074,tblReleaseChanges[Change_ID],tblReleaseChanges[Oracle_Severity],""),tblSeverityMap[Severity_Text],tblSeverityMap[Score],0),0)</f>
        <v/>
      </c>
      <c r="T4074">
        <f>ROUND((M4074*0.25)+(N4074*0.20)+(O4074*0.15)+(P4074*0.15)+(Q4074*0.10)+(R4074*0.10)+(S4074*0.05),2)</f>
        <v/>
      </c>
      <c r="U4074">
        <f>IF(T4074&gt;=4.25,"Critical",IF(T4074&gt;=3.5,"High",IF(T4074&gt;=2,"Medium","Low")))</f>
        <v/>
      </c>
    </row>
    <row r="4075">
      <c r="R4075">
        <f>IFERROR(XLOOKUP(XLOOKUP(D4075,tblReleaseChanges[Change_ID],tblReleaseChanges[Oracle_Severity],""),tblSeverityMap[Severity_Text],tblSeverityMap[Score],0),0)</f>
        <v/>
      </c>
      <c r="T4075">
        <f>ROUND((M4075*0.25)+(N4075*0.20)+(O4075*0.15)+(P4075*0.15)+(Q4075*0.10)+(R4075*0.10)+(S4075*0.05),2)</f>
        <v/>
      </c>
      <c r="U4075">
        <f>IF(T4075&gt;=4.25,"Critical",IF(T4075&gt;=3.5,"High",IF(T4075&gt;=2,"Medium","Low")))</f>
        <v/>
      </c>
    </row>
    <row r="4076">
      <c r="R4076">
        <f>IFERROR(XLOOKUP(XLOOKUP(D4076,tblReleaseChanges[Change_ID],tblReleaseChanges[Oracle_Severity],""),tblSeverityMap[Severity_Text],tblSeverityMap[Score],0),0)</f>
        <v/>
      </c>
      <c r="T4076">
        <f>ROUND((M4076*0.25)+(N4076*0.20)+(O4076*0.15)+(P4076*0.15)+(Q4076*0.10)+(R4076*0.10)+(S4076*0.05),2)</f>
        <v/>
      </c>
      <c r="U4076">
        <f>IF(T4076&gt;=4.25,"Critical",IF(T4076&gt;=3.5,"High",IF(T4076&gt;=2,"Medium","Low")))</f>
        <v/>
      </c>
    </row>
    <row r="4077">
      <c r="R4077">
        <f>IFERROR(XLOOKUP(XLOOKUP(D4077,tblReleaseChanges[Change_ID],tblReleaseChanges[Oracle_Severity],""),tblSeverityMap[Severity_Text],tblSeverityMap[Score],0),0)</f>
        <v/>
      </c>
      <c r="T4077">
        <f>ROUND((M4077*0.25)+(N4077*0.20)+(O4077*0.15)+(P4077*0.15)+(Q4077*0.10)+(R4077*0.10)+(S4077*0.05),2)</f>
        <v/>
      </c>
      <c r="U4077">
        <f>IF(T4077&gt;=4.25,"Critical",IF(T4077&gt;=3.5,"High",IF(T4077&gt;=2,"Medium","Low")))</f>
        <v/>
      </c>
    </row>
    <row r="4078">
      <c r="R4078">
        <f>IFERROR(XLOOKUP(XLOOKUP(D4078,tblReleaseChanges[Change_ID],tblReleaseChanges[Oracle_Severity],""),tblSeverityMap[Severity_Text],tblSeverityMap[Score],0),0)</f>
        <v/>
      </c>
      <c r="T4078">
        <f>ROUND((M4078*0.25)+(N4078*0.20)+(O4078*0.15)+(P4078*0.15)+(Q4078*0.10)+(R4078*0.10)+(S4078*0.05),2)</f>
        <v/>
      </c>
      <c r="U4078">
        <f>IF(T4078&gt;=4.25,"Critical",IF(T4078&gt;=3.5,"High",IF(T4078&gt;=2,"Medium","Low")))</f>
        <v/>
      </c>
    </row>
    <row r="4079">
      <c r="R4079">
        <f>IFERROR(XLOOKUP(XLOOKUP(D4079,tblReleaseChanges[Change_ID],tblReleaseChanges[Oracle_Severity],""),tblSeverityMap[Severity_Text],tblSeverityMap[Score],0),0)</f>
        <v/>
      </c>
      <c r="T4079">
        <f>ROUND((M4079*0.25)+(N4079*0.20)+(O4079*0.15)+(P4079*0.15)+(Q4079*0.10)+(R4079*0.10)+(S4079*0.05),2)</f>
        <v/>
      </c>
      <c r="U4079">
        <f>IF(T4079&gt;=4.25,"Critical",IF(T4079&gt;=3.5,"High",IF(T4079&gt;=2,"Medium","Low")))</f>
        <v/>
      </c>
    </row>
    <row r="4080">
      <c r="R4080">
        <f>IFERROR(XLOOKUP(XLOOKUP(D4080,tblReleaseChanges[Change_ID],tblReleaseChanges[Oracle_Severity],""),tblSeverityMap[Severity_Text],tblSeverityMap[Score],0),0)</f>
        <v/>
      </c>
      <c r="T4080">
        <f>ROUND((M4080*0.25)+(N4080*0.20)+(O4080*0.15)+(P4080*0.15)+(Q4080*0.10)+(R4080*0.10)+(S4080*0.05),2)</f>
        <v/>
      </c>
      <c r="U4080">
        <f>IF(T4080&gt;=4.25,"Critical",IF(T4080&gt;=3.5,"High",IF(T4080&gt;=2,"Medium","Low")))</f>
        <v/>
      </c>
    </row>
    <row r="4081">
      <c r="R4081">
        <f>IFERROR(XLOOKUP(XLOOKUP(D4081,tblReleaseChanges[Change_ID],tblReleaseChanges[Oracle_Severity],""),tblSeverityMap[Severity_Text],tblSeverityMap[Score],0),0)</f>
        <v/>
      </c>
      <c r="T4081">
        <f>ROUND((M4081*0.25)+(N4081*0.20)+(O4081*0.15)+(P4081*0.15)+(Q4081*0.10)+(R4081*0.10)+(S4081*0.05),2)</f>
        <v/>
      </c>
      <c r="U4081">
        <f>IF(T4081&gt;=4.25,"Critical",IF(T4081&gt;=3.5,"High",IF(T4081&gt;=2,"Medium","Low")))</f>
        <v/>
      </c>
    </row>
    <row r="4082">
      <c r="R4082">
        <f>IFERROR(XLOOKUP(XLOOKUP(D4082,tblReleaseChanges[Change_ID],tblReleaseChanges[Oracle_Severity],""),tblSeverityMap[Severity_Text],tblSeverityMap[Score],0),0)</f>
        <v/>
      </c>
      <c r="T4082">
        <f>ROUND((M4082*0.25)+(N4082*0.20)+(O4082*0.15)+(P4082*0.15)+(Q4082*0.10)+(R4082*0.10)+(S4082*0.05),2)</f>
        <v/>
      </c>
      <c r="U4082">
        <f>IF(T4082&gt;=4.25,"Critical",IF(T4082&gt;=3.5,"High",IF(T4082&gt;=2,"Medium","Low")))</f>
        <v/>
      </c>
    </row>
    <row r="4083">
      <c r="R4083">
        <f>IFERROR(XLOOKUP(XLOOKUP(D4083,tblReleaseChanges[Change_ID],tblReleaseChanges[Oracle_Severity],""),tblSeverityMap[Severity_Text],tblSeverityMap[Score],0),0)</f>
        <v/>
      </c>
      <c r="T4083">
        <f>ROUND((M4083*0.25)+(N4083*0.20)+(O4083*0.15)+(P4083*0.15)+(Q4083*0.10)+(R4083*0.10)+(S4083*0.05),2)</f>
        <v/>
      </c>
      <c r="U4083">
        <f>IF(T4083&gt;=4.25,"Critical",IF(T4083&gt;=3.5,"High",IF(T4083&gt;=2,"Medium","Low")))</f>
        <v/>
      </c>
    </row>
    <row r="4084">
      <c r="R4084">
        <f>IFERROR(XLOOKUP(XLOOKUP(D4084,tblReleaseChanges[Change_ID],tblReleaseChanges[Oracle_Severity],""),tblSeverityMap[Severity_Text],tblSeverityMap[Score],0),0)</f>
        <v/>
      </c>
      <c r="T4084">
        <f>ROUND((M4084*0.25)+(N4084*0.20)+(O4084*0.15)+(P4084*0.15)+(Q4084*0.10)+(R4084*0.10)+(S4084*0.05),2)</f>
        <v/>
      </c>
      <c r="U4084">
        <f>IF(T4084&gt;=4.25,"Critical",IF(T4084&gt;=3.5,"High",IF(T4084&gt;=2,"Medium","Low")))</f>
        <v/>
      </c>
    </row>
    <row r="4085">
      <c r="R4085">
        <f>IFERROR(XLOOKUP(XLOOKUP(D4085,tblReleaseChanges[Change_ID],tblReleaseChanges[Oracle_Severity],""),tblSeverityMap[Severity_Text],tblSeverityMap[Score],0),0)</f>
        <v/>
      </c>
      <c r="T4085">
        <f>ROUND((M4085*0.25)+(N4085*0.20)+(O4085*0.15)+(P4085*0.15)+(Q4085*0.10)+(R4085*0.10)+(S4085*0.05),2)</f>
        <v/>
      </c>
      <c r="U4085">
        <f>IF(T4085&gt;=4.25,"Critical",IF(T4085&gt;=3.5,"High",IF(T4085&gt;=2,"Medium","Low")))</f>
        <v/>
      </c>
    </row>
    <row r="4086">
      <c r="R4086">
        <f>IFERROR(XLOOKUP(XLOOKUP(D4086,tblReleaseChanges[Change_ID],tblReleaseChanges[Oracle_Severity],""),tblSeverityMap[Severity_Text],tblSeverityMap[Score],0),0)</f>
        <v/>
      </c>
      <c r="T4086">
        <f>ROUND((M4086*0.25)+(N4086*0.20)+(O4086*0.15)+(P4086*0.15)+(Q4086*0.10)+(R4086*0.10)+(S4086*0.05),2)</f>
        <v/>
      </c>
      <c r="U4086">
        <f>IF(T4086&gt;=4.25,"Critical",IF(T4086&gt;=3.5,"High",IF(T4086&gt;=2,"Medium","Low")))</f>
        <v/>
      </c>
    </row>
    <row r="4087">
      <c r="R4087">
        <f>IFERROR(XLOOKUP(XLOOKUP(D4087,tblReleaseChanges[Change_ID],tblReleaseChanges[Oracle_Severity],""),tblSeverityMap[Severity_Text],tblSeverityMap[Score],0),0)</f>
        <v/>
      </c>
      <c r="T4087">
        <f>ROUND((M4087*0.25)+(N4087*0.20)+(O4087*0.15)+(P4087*0.15)+(Q4087*0.10)+(R4087*0.10)+(S4087*0.05),2)</f>
        <v/>
      </c>
      <c r="U4087">
        <f>IF(T4087&gt;=4.25,"Critical",IF(T4087&gt;=3.5,"High",IF(T4087&gt;=2,"Medium","Low")))</f>
        <v/>
      </c>
    </row>
    <row r="4088">
      <c r="R4088">
        <f>IFERROR(XLOOKUP(XLOOKUP(D4088,tblReleaseChanges[Change_ID],tblReleaseChanges[Oracle_Severity],""),tblSeverityMap[Severity_Text],tblSeverityMap[Score],0),0)</f>
        <v/>
      </c>
      <c r="T4088">
        <f>ROUND((M4088*0.25)+(N4088*0.20)+(O4088*0.15)+(P4088*0.15)+(Q4088*0.10)+(R4088*0.10)+(S4088*0.05),2)</f>
        <v/>
      </c>
      <c r="U4088">
        <f>IF(T4088&gt;=4.25,"Critical",IF(T4088&gt;=3.5,"High",IF(T4088&gt;=2,"Medium","Low")))</f>
        <v/>
      </c>
    </row>
    <row r="4089">
      <c r="R4089">
        <f>IFERROR(XLOOKUP(XLOOKUP(D4089,tblReleaseChanges[Change_ID],tblReleaseChanges[Oracle_Severity],""),tblSeverityMap[Severity_Text],tblSeverityMap[Score],0),0)</f>
        <v/>
      </c>
      <c r="T4089">
        <f>ROUND((M4089*0.25)+(N4089*0.20)+(O4089*0.15)+(P4089*0.15)+(Q4089*0.10)+(R4089*0.10)+(S4089*0.05),2)</f>
        <v/>
      </c>
      <c r="U4089">
        <f>IF(T4089&gt;=4.25,"Critical",IF(T4089&gt;=3.5,"High",IF(T4089&gt;=2,"Medium","Low")))</f>
        <v/>
      </c>
    </row>
    <row r="4090">
      <c r="R4090">
        <f>IFERROR(XLOOKUP(XLOOKUP(D4090,tblReleaseChanges[Change_ID],tblReleaseChanges[Oracle_Severity],""),tblSeverityMap[Severity_Text],tblSeverityMap[Score],0),0)</f>
        <v/>
      </c>
      <c r="T4090">
        <f>ROUND((M4090*0.25)+(N4090*0.20)+(O4090*0.15)+(P4090*0.15)+(Q4090*0.10)+(R4090*0.10)+(S4090*0.05),2)</f>
        <v/>
      </c>
      <c r="U4090">
        <f>IF(T4090&gt;=4.25,"Critical",IF(T4090&gt;=3.5,"High",IF(T4090&gt;=2,"Medium","Low")))</f>
        <v/>
      </c>
    </row>
    <row r="4091">
      <c r="R4091">
        <f>IFERROR(XLOOKUP(XLOOKUP(D4091,tblReleaseChanges[Change_ID],tblReleaseChanges[Oracle_Severity],""),tblSeverityMap[Severity_Text],tblSeverityMap[Score],0),0)</f>
        <v/>
      </c>
      <c r="T4091">
        <f>ROUND((M4091*0.25)+(N4091*0.20)+(O4091*0.15)+(P4091*0.15)+(Q4091*0.10)+(R4091*0.10)+(S4091*0.05),2)</f>
        <v/>
      </c>
      <c r="U4091">
        <f>IF(T4091&gt;=4.25,"Critical",IF(T4091&gt;=3.5,"High",IF(T4091&gt;=2,"Medium","Low")))</f>
        <v/>
      </c>
    </row>
    <row r="4092">
      <c r="R4092">
        <f>IFERROR(XLOOKUP(XLOOKUP(D4092,tblReleaseChanges[Change_ID],tblReleaseChanges[Oracle_Severity],""),tblSeverityMap[Severity_Text],tblSeverityMap[Score],0),0)</f>
        <v/>
      </c>
      <c r="T4092">
        <f>ROUND((M4092*0.25)+(N4092*0.20)+(O4092*0.15)+(P4092*0.15)+(Q4092*0.10)+(R4092*0.10)+(S4092*0.05),2)</f>
        <v/>
      </c>
      <c r="U4092">
        <f>IF(T4092&gt;=4.25,"Critical",IF(T4092&gt;=3.5,"High",IF(T4092&gt;=2,"Medium","Low")))</f>
        <v/>
      </c>
    </row>
    <row r="4093">
      <c r="R4093">
        <f>IFERROR(XLOOKUP(XLOOKUP(D4093,tblReleaseChanges[Change_ID],tblReleaseChanges[Oracle_Severity],""),tblSeverityMap[Severity_Text],tblSeverityMap[Score],0),0)</f>
        <v/>
      </c>
      <c r="T4093">
        <f>ROUND((M4093*0.25)+(N4093*0.20)+(O4093*0.15)+(P4093*0.15)+(Q4093*0.10)+(R4093*0.10)+(S4093*0.05),2)</f>
        <v/>
      </c>
      <c r="U4093">
        <f>IF(T4093&gt;=4.25,"Critical",IF(T4093&gt;=3.5,"High",IF(T4093&gt;=2,"Medium","Low")))</f>
        <v/>
      </c>
    </row>
    <row r="4094">
      <c r="R4094">
        <f>IFERROR(XLOOKUP(XLOOKUP(D4094,tblReleaseChanges[Change_ID],tblReleaseChanges[Oracle_Severity],""),tblSeverityMap[Severity_Text],tblSeverityMap[Score],0),0)</f>
        <v/>
      </c>
      <c r="T4094">
        <f>ROUND((M4094*0.25)+(N4094*0.20)+(O4094*0.15)+(P4094*0.15)+(Q4094*0.10)+(R4094*0.10)+(S4094*0.05),2)</f>
        <v/>
      </c>
      <c r="U4094">
        <f>IF(T4094&gt;=4.25,"Critical",IF(T4094&gt;=3.5,"High",IF(T4094&gt;=2,"Medium","Low")))</f>
        <v/>
      </c>
    </row>
    <row r="4095">
      <c r="R4095">
        <f>IFERROR(XLOOKUP(XLOOKUP(D4095,tblReleaseChanges[Change_ID],tblReleaseChanges[Oracle_Severity],""),tblSeverityMap[Severity_Text],tblSeverityMap[Score],0),0)</f>
        <v/>
      </c>
      <c r="T4095">
        <f>ROUND((M4095*0.25)+(N4095*0.20)+(O4095*0.15)+(P4095*0.15)+(Q4095*0.10)+(R4095*0.10)+(S4095*0.05),2)</f>
        <v/>
      </c>
      <c r="U4095">
        <f>IF(T4095&gt;=4.25,"Critical",IF(T4095&gt;=3.5,"High",IF(T4095&gt;=2,"Medium","Low")))</f>
        <v/>
      </c>
    </row>
    <row r="4096">
      <c r="R4096">
        <f>IFERROR(XLOOKUP(XLOOKUP(D4096,tblReleaseChanges[Change_ID],tblReleaseChanges[Oracle_Severity],""),tblSeverityMap[Severity_Text],tblSeverityMap[Score],0),0)</f>
        <v/>
      </c>
      <c r="T4096">
        <f>ROUND((M4096*0.25)+(N4096*0.20)+(O4096*0.15)+(P4096*0.15)+(Q4096*0.10)+(R4096*0.10)+(S4096*0.05),2)</f>
        <v/>
      </c>
      <c r="U4096">
        <f>IF(T4096&gt;=4.25,"Critical",IF(T4096&gt;=3.5,"High",IF(T4096&gt;=2,"Medium","Low")))</f>
        <v/>
      </c>
    </row>
    <row r="4097">
      <c r="R4097">
        <f>IFERROR(XLOOKUP(XLOOKUP(D4097,tblReleaseChanges[Change_ID],tblReleaseChanges[Oracle_Severity],""),tblSeverityMap[Severity_Text],tblSeverityMap[Score],0),0)</f>
        <v/>
      </c>
      <c r="T4097">
        <f>ROUND((M4097*0.25)+(N4097*0.20)+(O4097*0.15)+(P4097*0.15)+(Q4097*0.10)+(R4097*0.10)+(S4097*0.05),2)</f>
        <v/>
      </c>
      <c r="U4097">
        <f>IF(T4097&gt;=4.25,"Critical",IF(T4097&gt;=3.5,"High",IF(T4097&gt;=2,"Medium","Low")))</f>
        <v/>
      </c>
    </row>
    <row r="4098">
      <c r="R4098">
        <f>IFERROR(XLOOKUP(XLOOKUP(D4098,tblReleaseChanges[Change_ID],tblReleaseChanges[Oracle_Severity],""),tblSeverityMap[Severity_Text],tblSeverityMap[Score],0),0)</f>
        <v/>
      </c>
      <c r="T4098">
        <f>ROUND((M4098*0.25)+(N4098*0.20)+(O4098*0.15)+(P4098*0.15)+(Q4098*0.10)+(R4098*0.10)+(S4098*0.05),2)</f>
        <v/>
      </c>
      <c r="U4098">
        <f>IF(T4098&gt;=4.25,"Critical",IF(T4098&gt;=3.5,"High",IF(T4098&gt;=2,"Medium","Low")))</f>
        <v/>
      </c>
    </row>
    <row r="4099">
      <c r="R4099">
        <f>IFERROR(XLOOKUP(XLOOKUP(D4099,tblReleaseChanges[Change_ID],tblReleaseChanges[Oracle_Severity],""),tblSeverityMap[Severity_Text],tblSeverityMap[Score],0),0)</f>
        <v/>
      </c>
      <c r="T4099">
        <f>ROUND((M4099*0.25)+(N4099*0.20)+(O4099*0.15)+(P4099*0.15)+(Q4099*0.10)+(R4099*0.10)+(S4099*0.05),2)</f>
        <v/>
      </c>
      <c r="U4099">
        <f>IF(T4099&gt;=4.25,"Critical",IF(T4099&gt;=3.5,"High",IF(T4099&gt;=2,"Medium","Low")))</f>
        <v/>
      </c>
    </row>
    <row r="4100">
      <c r="R4100">
        <f>IFERROR(XLOOKUP(XLOOKUP(D4100,tblReleaseChanges[Change_ID],tblReleaseChanges[Oracle_Severity],""),tblSeverityMap[Severity_Text],tblSeverityMap[Score],0),0)</f>
        <v/>
      </c>
      <c r="T4100">
        <f>ROUND((M4100*0.25)+(N4100*0.20)+(O4100*0.15)+(P4100*0.15)+(Q4100*0.10)+(R4100*0.10)+(S4100*0.05),2)</f>
        <v/>
      </c>
      <c r="U4100">
        <f>IF(T4100&gt;=4.25,"Critical",IF(T4100&gt;=3.5,"High",IF(T4100&gt;=2,"Medium","Low")))</f>
        <v/>
      </c>
    </row>
    <row r="4101">
      <c r="R4101">
        <f>IFERROR(XLOOKUP(XLOOKUP(D4101,tblReleaseChanges[Change_ID],tblReleaseChanges[Oracle_Severity],""),tblSeverityMap[Severity_Text],tblSeverityMap[Score],0),0)</f>
        <v/>
      </c>
      <c r="T4101">
        <f>ROUND((M4101*0.25)+(N4101*0.20)+(O4101*0.15)+(P4101*0.15)+(Q4101*0.10)+(R4101*0.10)+(S4101*0.05),2)</f>
        <v/>
      </c>
      <c r="U4101">
        <f>IF(T4101&gt;=4.25,"Critical",IF(T4101&gt;=3.5,"High",IF(T4101&gt;=2,"Medium","Low")))</f>
        <v/>
      </c>
    </row>
    <row r="4102">
      <c r="R4102">
        <f>IFERROR(XLOOKUP(XLOOKUP(D4102,tblReleaseChanges[Change_ID],tblReleaseChanges[Oracle_Severity],""),tblSeverityMap[Severity_Text],tblSeverityMap[Score],0),0)</f>
        <v/>
      </c>
      <c r="T4102">
        <f>ROUND((M4102*0.25)+(N4102*0.20)+(O4102*0.15)+(P4102*0.15)+(Q4102*0.10)+(R4102*0.10)+(S4102*0.05),2)</f>
        <v/>
      </c>
      <c r="U4102">
        <f>IF(T4102&gt;=4.25,"Critical",IF(T4102&gt;=3.5,"High",IF(T4102&gt;=2,"Medium","Low")))</f>
        <v/>
      </c>
    </row>
    <row r="4103">
      <c r="R4103">
        <f>IFERROR(XLOOKUP(XLOOKUP(D4103,tblReleaseChanges[Change_ID],tblReleaseChanges[Oracle_Severity],""),tblSeverityMap[Severity_Text],tblSeverityMap[Score],0),0)</f>
        <v/>
      </c>
      <c r="T4103">
        <f>ROUND((M4103*0.25)+(N4103*0.20)+(O4103*0.15)+(P4103*0.15)+(Q4103*0.10)+(R4103*0.10)+(S4103*0.05),2)</f>
        <v/>
      </c>
      <c r="U4103">
        <f>IF(T4103&gt;=4.25,"Critical",IF(T4103&gt;=3.5,"High",IF(T4103&gt;=2,"Medium","Low")))</f>
        <v/>
      </c>
    </row>
    <row r="4104">
      <c r="R4104">
        <f>IFERROR(XLOOKUP(XLOOKUP(D4104,tblReleaseChanges[Change_ID],tblReleaseChanges[Oracle_Severity],""),tblSeverityMap[Severity_Text],tblSeverityMap[Score],0),0)</f>
        <v/>
      </c>
      <c r="T4104">
        <f>ROUND((M4104*0.25)+(N4104*0.20)+(O4104*0.15)+(P4104*0.15)+(Q4104*0.10)+(R4104*0.10)+(S4104*0.05),2)</f>
        <v/>
      </c>
      <c r="U4104">
        <f>IF(T4104&gt;=4.25,"Critical",IF(T4104&gt;=3.5,"High",IF(T4104&gt;=2,"Medium","Low")))</f>
        <v/>
      </c>
    </row>
    <row r="4105">
      <c r="R4105">
        <f>IFERROR(XLOOKUP(XLOOKUP(D4105,tblReleaseChanges[Change_ID],tblReleaseChanges[Oracle_Severity],""),tblSeverityMap[Severity_Text],tblSeverityMap[Score],0),0)</f>
        <v/>
      </c>
      <c r="T4105">
        <f>ROUND((M4105*0.25)+(N4105*0.20)+(O4105*0.15)+(P4105*0.15)+(Q4105*0.10)+(R4105*0.10)+(S4105*0.05),2)</f>
        <v/>
      </c>
      <c r="U4105">
        <f>IF(T4105&gt;=4.25,"Critical",IF(T4105&gt;=3.5,"High",IF(T4105&gt;=2,"Medium","Low")))</f>
        <v/>
      </c>
    </row>
    <row r="4106">
      <c r="R4106">
        <f>IFERROR(XLOOKUP(XLOOKUP(D4106,tblReleaseChanges[Change_ID],tblReleaseChanges[Oracle_Severity],""),tblSeverityMap[Severity_Text],tblSeverityMap[Score],0),0)</f>
        <v/>
      </c>
      <c r="T4106">
        <f>ROUND((M4106*0.25)+(N4106*0.20)+(O4106*0.15)+(P4106*0.15)+(Q4106*0.10)+(R4106*0.10)+(S4106*0.05),2)</f>
        <v/>
      </c>
      <c r="U4106">
        <f>IF(T4106&gt;=4.25,"Critical",IF(T4106&gt;=3.5,"High",IF(T4106&gt;=2,"Medium","Low")))</f>
        <v/>
      </c>
    </row>
    <row r="4107">
      <c r="R4107">
        <f>IFERROR(XLOOKUP(XLOOKUP(D4107,tblReleaseChanges[Change_ID],tblReleaseChanges[Oracle_Severity],""),tblSeverityMap[Severity_Text],tblSeverityMap[Score],0),0)</f>
        <v/>
      </c>
      <c r="T4107">
        <f>ROUND((M4107*0.25)+(N4107*0.20)+(O4107*0.15)+(P4107*0.15)+(Q4107*0.10)+(R4107*0.10)+(S4107*0.05),2)</f>
        <v/>
      </c>
      <c r="U4107">
        <f>IF(T4107&gt;=4.25,"Critical",IF(T4107&gt;=3.5,"High",IF(T4107&gt;=2,"Medium","Low")))</f>
        <v/>
      </c>
    </row>
    <row r="4108">
      <c r="R4108">
        <f>IFERROR(XLOOKUP(XLOOKUP(D4108,tblReleaseChanges[Change_ID],tblReleaseChanges[Oracle_Severity],""),tblSeverityMap[Severity_Text],tblSeverityMap[Score],0),0)</f>
        <v/>
      </c>
      <c r="T4108">
        <f>ROUND((M4108*0.25)+(N4108*0.20)+(O4108*0.15)+(P4108*0.15)+(Q4108*0.10)+(R4108*0.10)+(S4108*0.05),2)</f>
        <v/>
      </c>
      <c r="U4108">
        <f>IF(T4108&gt;=4.25,"Critical",IF(T4108&gt;=3.5,"High",IF(T4108&gt;=2,"Medium","Low")))</f>
        <v/>
      </c>
    </row>
    <row r="4109">
      <c r="R4109">
        <f>IFERROR(XLOOKUP(XLOOKUP(D4109,tblReleaseChanges[Change_ID],tblReleaseChanges[Oracle_Severity],""),tblSeverityMap[Severity_Text],tblSeverityMap[Score],0),0)</f>
        <v/>
      </c>
      <c r="T4109">
        <f>ROUND((M4109*0.25)+(N4109*0.20)+(O4109*0.15)+(P4109*0.15)+(Q4109*0.10)+(R4109*0.10)+(S4109*0.05),2)</f>
        <v/>
      </c>
      <c r="U4109">
        <f>IF(T4109&gt;=4.25,"Critical",IF(T4109&gt;=3.5,"High",IF(T4109&gt;=2,"Medium","Low")))</f>
        <v/>
      </c>
    </row>
    <row r="4110">
      <c r="R4110">
        <f>IFERROR(XLOOKUP(XLOOKUP(D4110,tblReleaseChanges[Change_ID],tblReleaseChanges[Oracle_Severity],""),tblSeverityMap[Severity_Text],tblSeverityMap[Score],0),0)</f>
        <v/>
      </c>
      <c r="T4110">
        <f>ROUND((M4110*0.25)+(N4110*0.20)+(O4110*0.15)+(P4110*0.15)+(Q4110*0.10)+(R4110*0.10)+(S4110*0.05),2)</f>
        <v/>
      </c>
      <c r="U4110">
        <f>IF(T4110&gt;=4.25,"Critical",IF(T4110&gt;=3.5,"High",IF(T4110&gt;=2,"Medium","Low")))</f>
        <v/>
      </c>
    </row>
    <row r="4111">
      <c r="R4111">
        <f>IFERROR(XLOOKUP(XLOOKUP(D4111,tblReleaseChanges[Change_ID],tblReleaseChanges[Oracle_Severity],""),tblSeverityMap[Severity_Text],tblSeverityMap[Score],0),0)</f>
        <v/>
      </c>
      <c r="T4111">
        <f>ROUND((M4111*0.25)+(N4111*0.20)+(O4111*0.15)+(P4111*0.15)+(Q4111*0.10)+(R4111*0.10)+(S4111*0.05),2)</f>
        <v/>
      </c>
      <c r="U4111">
        <f>IF(T4111&gt;=4.25,"Critical",IF(T4111&gt;=3.5,"High",IF(T4111&gt;=2,"Medium","Low")))</f>
        <v/>
      </c>
    </row>
    <row r="4112">
      <c r="R4112">
        <f>IFERROR(XLOOKUP(XLOOKUP(D4112,tblReleaseChanges[Change_ID],tblReleaseChanges[Oracle_Severity],""),tblSeverityMap[Severity_Text],tblSeverityMap[Score],0),0)</f>
        <v/>
      </c>
      <c r="T4112">
        <f>ROUND((M4112*0.25)+(N4112*0.20)+(O4112*0.15)+(P4112*0.15)+(Q4112*0.10)+(R4112*0.10)+(S4112*0.05),2)</f>
        <v/>
      </c>
      <c r="U4112">
        <f>IF(T4112&gt;=4.25,"Critical",IF(T4112&gt;=3.5,"High",IF(T4112&gt;=2,"Medium","Low")))</f>
        <v/>
      </c>
    </row>
    <row r="4113">
      <c r="R4113">
        <f>IFERROR(XLOOKUP(XLOOKUP(D4113,tblReleaseChanges[Change_ID],tblReleaseChanges[Oracle_Severity],""),tblSeverityMap[Severity_Text],tblSeverityMap[Score],0),0)</f>
        <v/>
      </c>
      <c r="T4113">
        <f>ROUND((M4113*0.25)+(N4113*0.20)+(O4113*0.15)+(P4113*0.15)+(Q4113*0.10)+(R4113*0.10)+(S4113*0.05),2)</f>
        <v/>
      </c>
      <c r="U4113">
        <f>IF(T4113&gt;=4.25,"Critical",IF(T4113&gt;=3.5,"High",IF(T4113&gt;=2,"Medium","Low")))</f>
        <v/>
      </c>
    </row>
    <row r="4114">
      <c r="R4114">
        <f>IFERROR(XLOOKUP(XLOOKUP(D4114,tblReleaseChanges[Change_ID],tblReleaseChanges[Oracle_Severity],""),tblSeverityMap[Severity_Text],tblSeverityMap[Score],0),0)</f>
        <v/>
      </c>
      <c r="T4114">
        <f>ROUND((M4114*0.25)+(N4114*0.20)+(O4114*0.15)+(P4114*0.15)+(Q4114*0.10)+(R4114*0.10)+(S4114*0.05),2)</f>
        <v/>
      </c>
      <c r="U4114">
        <f>IF(T4114&gt;=4.25,"Critical",IF(T4114&gt;=3.5,"High",IF(T4114&gt;=2,"Medium","Low")))</f>
        <v/>
      </c>
    </row>
    <row r="4115">
      <c r="R4115">
        <f>IFERROR(XLOOKUP(XLOOKUP(D4115,tblReleaseChanges[Change_ID],tblReleaseChanges[Oracle_Severity],""),tblSeverityMap[Severity_Text],tblSeverityMap[Score],0),0)</f>
        <v/>
      </c>
      <c r="T4115">
        <f>ROUND((M4115*0.25)+(N4115*0.20)+(O4115*0.15)+(P4115*0.15)+(Q4115*0.10)+(R4115*0.10)+(S4115*0.05),2)</f>
        <v/>
      </c>
      <c r="U4115">
        <f>IF(T4115&gt;=4.25,"Critical",IF(T4115&gt;=3.5,"High",IF(T4115&gt;=2,"Medium","Low")))</f>
        <v/>
      </c>
    </row>
    <row r="4116">
      <c r="R4116">
        <f>IFERROR(XLOOKUP(XLOOKUP(D4116,tblReleaseChanges[Change_ID],tblReleaseChanges[Oracle_Severity],""),tblSeverityMap[Severity_Text],tblSeverityMap[Score],0),0)</f>
        <v/>
      </c>
      <c r="T4116">
        <f>ROUND((M4116*0.25)+(N4116*0.20)+(O4116*0.15)+(P4116*0.15)+(Q4116*0.10)+(R4116*0.10)+(S4116*0.05),2)</f>
        <v/>
      </c>
      <c r="U4116">
        <f>IF(T4116&gt;=4.25,"Critical",IF(T4116&gt;=3.5,"High",IF(T4116&gt;=2,"Medium","Low")))</f>
        <v/>
      </c>
    </row>
    <row r="4117">
      <c r="R4117">
        <f>IFERROR(XLOOKUP(XLOOKUP(D4117,tblReleaseChanges[Change_ID],tblReleaseChanges[Oracle_Severity],""),tblSeverityMap[Severity_Text],tblSeverityMap[Score],0),0)</f>
        <v/>
      </c>
      <c r="T4117">
        <f>ROUND((M4117*0.25)+(N4117*0.20)+(O4117*0.15)+(P4117*0.15)+(Q4117*0.10)+(R4117*0.10)+(S4117*0.05),2)</f>
        <v/>
      </c>
      <c r="U4117">
        <f>IF(T4117&gt;=4.25,"Critical",IF(T4117&gt;=3.5,"High",IF(T4117&gt;=2,"Medium","Low")))</f>
        <v/>
      </c>
    </row>
    <row r="4118">
      <c r="R4118">
        <f>IFERROR(XLOOKUP(XLOOKUP(D4118,tblReleaseChanges[Change_ID],tblReleaseChanges[Oracle_Severity],""),tblSeverityMap[Severity_Text],tblSeverityMap[Score],0),0)</f>
        <v/>
      </c>
      <c r="T4118">
        <f>ROUND((M4118*0.25)+(N4118*0.20)+(O4118*0.15)+(P4118*0.15)+(Q4118*0.10)+(R4118*0.10)+(S4118*0.05),2)</f>
        <v/>
      </c>
      <c r="U4118">
        <f>IF(T4118&gt;=4.25,"Critical",IF(T4118&gt;=3.5,"High",IF(T4118&gt;=2,"Medium","Low")))</f>
        <v/>
      </c>
    </row>
    <row r="4119">
      <c r="R4119">
        <f>IFERROR(XLOOKUP(XLOOKUP(D4119,tblReleaseChanges[Change_ID],tblReleaseChanges[Oracle_Severity],""),tblSeverityMap[Severity_Text],tblSeverityMap[Score],0),0)</f>
        <v/>
      </c>
      <c r="T4119">
        <f>ROUND((M4119*0.25)+(N4119*0.20)+(O4119*0.15)+(P4119*0.15)+(Q4119*0.10)+(R4119*0.10)+(S4119*0.05),2)</f>
        <v/>
      </c>
      <c r="U4119">
        <f>IF(T4119&gt;=4.25,"Critical",IF(T4119&gt;=3.5,"High",IF(T4119&gt;=2,"Medium","Low")))</f>
        <v/>
      </c>
    </row>
    <row r="4120">
      <c r="R4120">
        <f>IFERROR(XLOOKUP(XLOOKUP(D4120,tblReleaseChanges[Change_ID],tblReleaseChanges[Oracle_Severity],""),tblSeverityMap[Severity_Text],tblSeverityMap[Score],0),0)</f>
        <v/>
      </c>
      <c r="T4120">
        <f>ROUND((M4120*0.25)+(N4120*0.20)+(O4120*0.15)+(P4120*0.15)+(Q4120*0.10)+(R4120*0.10)+(S4120*0.05),2)</f>
        <v/>
      </c>
      <c r="U4120">
        <f>IF(T4120&gt;=4.25,"Critical",IF(T4120&gt;=3.5,"High",IF(T4120&gt;=2,"Medium","Low")))</f>
        <v/>
      </c>
    </row>
    <row r="4121">
      <c r="R4121">
        <f>IFERROR(XLOOKUP(XLOOKUP(D4121,tblReleaseChanges[Change_ID],tblReleaseChanges[Oracle_Severity],""),tblSeverityMap[Severity_Text],tblSeverityMap[Score],0),0)</f>
        <v/>
      </c>
      <c r="T4121">
        <f>ROUND((M4121*0.25)+(N4121*0.20)+(O4121*0.15)+(P4121*0.15)+(Q4121*0.10)+(R4121*0.10)+(S4121*0.05),2)</f>
        <v/>
      </c>
      <c r="U4121">
        <f>IF(T4121&gt;=4.25,"Critical",IF(T4121&gt;=3.5,"High",IF(T4121&gt;=2,"Medium","Low")))</f>
        <v/>
      </c>
    </row>
    <row r="4122">
      <c r="R4122">
        <f>IFERROR(XLOOKUP(XLOOKUP(D4122,tblReleaseChanges[Change_ID],tblReleaseChanges[Oracle_Severity],""),tblSeverityMap[Severity_Text],tblSeverityMap[Score],0),0)</f>
        <v/>
      </c>
      <c r="T4122">
        <f>ROUND((M4122*0.25)+(N4122*0.20)+(O4122*0.15)+(P4122*0.15)+(Q4122*0.10)+(R4122*0.10)+(S4122*0.05),2)</f>
        <v/>
      </c>
      <c r="U4122">
        <f>IF(T4122&gt;=4.25,"Critical",IF(T4122&gt;=3.5,"High",IF(T4122&gt;=2,"Medium","Low")))</f>
        <v/>
      </c>
    </row>
    <row r="4123">
      <c r="R4123">
        <f>IFERROR(XLOOKUP(XLOOKUP(D4123,tblReleaseChanges[Change_ID],tblReleaseChanges[Oracle_Severity],""),tblSeverityMap[Severity_Text],tblSeverityMap[Score],0),0)</f>
        <v/>
      </c>
      <c r="T4123">
        <f>ROUND((M4123*0.25)+(N4123*0.20)+(O4123*0.15)+(P4123*0.15)+(Q4123*0.10)+(R4123*0.10)+(S4123*0.05),2)</f>
        <v/>
      </c>
      <c r="U4123">
        <f>IF(T4123&gt;=4.25,"Critical",IF(T4123&gt;=3.5,"High",IF(T4123&gt;=2,"Medium","Low")))</f>
        <v/>
      </c>
    </row>
    <row r="4124">
      <c r="R4124">
        <f>IFERROR(XLOOKUP(XLOOKUP(D4124,tblReleaseChanges[Change_ID],tblReleaseChanges[Oracle_Severity],""),tblSeverityMap[Severity_Text],tblSeverityMap[Score],0),0)</f>
        <v/>
      </c>
      <c r="T4124">
        <f>ROUND((M4124*0.25)+(N4124*0.20)+(O4124*0.15)+(P4124*0.15)+(Q4124*0.10)+(R4124*0.10)+(S4124*0.05),2)</f>
        <v/>
      </c>
      <c r="U4124">
        <f>IF(T4124&gt;=4.25,"Critical",IF(T4124&gt;=3.5,"High",IF(T4124&gt;=2,"Medium","Low")))</f>
        <v/>
      </c>
    </row>
    <row r="4125">
      <c r="R4125">
        <f>IFERROR(XLOOKUP(XLOOKUP(D4125,tblReleaseChanges[Change_ID],tblReleaseChanges[Oracle_Severity],""),tblSeverityMap[Severity_Text],tblSeverityMap[Score],0),0)</f>
        <v/>
      </c>
      <c r="T4125">
        <f>ROUND((M4125*0.25)+(N4125*0.20)+(O4125*0.15)+(P4125*0.15)+(Q4125*0.10)+(R4125*0.10)+(S4125*0.05),2)</f>
        <v/>
      </c>
      <c r="U4125">
        <f>IF(T4125&gt;=4.25,"Critical",IF(T4125&gt;=3.5,"High",IF(T4125&gt;=2,"Medium","Low")))</f>
        <v/>
      </c>
    </row>
    <row r="4126">
      <c r="R4126">
        <f>IFERROR(XLOOKUP(XLOOKUP(D4126,tblReleaseChanges[Change_ID],tblReleaseChanges[Oracle_Severity],""),tblSeverityMap[Severity_Text],tblSeverityMap[Score],0),0)</f>
        <v/>
      </c>
      <c r="T4126">
        <f>ROUND((M4126*0.25)+(N4126*0.20)+(O4126*0.15)+(P4126*0.15)+(Q4126*0.10)+(R4126*0.10)+(S4126*0.05),2)</f>
        <v/>
      </c>
      <c r="U4126">
        <f>IF(T4126&gt;=4.25,"Critical",IF(T4126&gt;=3.5,"High",IF(T4126&gt;=2,"Medium","Low")))</f>
        <v/>
      </c>
    </row>
    <row r="4127">
      <c r="R4127">
        <f>IFERROR(XLOOKUP(XLOOKUP(D4127,tblReleaseChanges[Change_ID],tblReleaseChanges[Oracle_Severity],""),tblSeverityMap[Severity_Text],tblSeverityMap[Score],0),0)</f>
        <v/>
      </c>
      <c r="T4127">
        <f>ROUND((M4127*0.25)+(N4127*0.20)+(O4127*0.15)+(P4127*0.15)+(Q4127*0.10)+(R4127*0.10)+(S4127*0.05),2)</f>
        <v/>
      </c>
      <c r="U4127">
        <f>IF(T4127&gt;=4.25,"Critical",IF(T4127&gt;=3.5,"High",IF(T4127&gt;=2,"Medium","Low")))</f>
        <v/>
      </c>
    </row>
    <row r="4128">
      <c r="R4128">
        <f>IFERROR(XLOOKUP(XLOOKUP(D4128,tblReleaseChanges[Change_ID],tblReleaseChanges[Oracle_Severity],""),tblSeverityMap[Severity_Text],tblSeverityMap[Score],0),0)</f>
        <v/>
      </c>
      <c r="T4128">
        <f>ROUND((M4128*0.25)+(N4128*0.20)+(O4128*0.15)+(P4128*0.15)+(Q4128*0.10)+(R4128*0.10)+(S4128*0.05),2)</f>
        <v/>
      </c>
      <c r="U4128">
        <f>IF(T4128&gt;=4.25,"Critical",IF(T4128&gt;=3.5,"High",IF(T4128&gt;=2,"Medium","Low")))</f>
        <v/>
      </c>
    </row>
    <row r="4129">
      <c r="R4129">
        <f>IFERROR(XLOOKUP(XLOOKUP(D4129,tblReleaseChanges[Change_ID],tblReleaseChanges[Oracle_Severity],""),tblSeverityMap[Severity_Text],tblSeverityMap[Score],0),0)</f>
        <v/>
      </c>
      <c r="T4129">
        <f>ROUND((M4129*0.25)+(N4129*0.20)+(O4129*0.15)+(P4129*0.15)+(Q4129*0.10)+(R4129*0.10)+(S4129*0.05),2)</f>
        <v/>
      </c>
      <c r="U4129">
        <f>IF(T4129&gt;=4.25,"Critical",IF(T4129&gt;=3.5,"High",IF(T4129&gt;=2,"Medium","Low")))</f>
        <v/>
      </c>
    </row>
    <row r="4130">
      <c r="R4130">
        <f>IFERROR(XLOOKUP(XLOOKUP(D4130,tblReleaseChanges[Change_ID],tblReleaseChanges[Oracle_Severity],""),tblSeverityMap[Severity_Text],tblSeverityMap[Score],0),0)</f>
        <v/>
      </c>
      <c r="T4130">
        <f>ROUND((M4130*0.25)+(N4130*0.20)+(O4130*0.15)+(P4130*0.15)+(Q4130*0.10)+(R4130*0.10)+(S4130*0.05),2)</f>
        <v/>
      </c>
      <c r="U4130">
        <f>IF(T4130&gt;=4.25,"Critical",IF(T4130&gt;=3.5,"High",IF(T4130&gt;=2,"Medium","Low")))</f>
        <v/>
      </c>
    </row>
    <row r="4131">
      <c r="R4131">
        <f>IFERROR(XLOOKUP(XLOOKUP(D4131,tblReleaseChanges[Change_ID],tblReleaseChanges[Oracle_Severity],""),tblSeverityMap[Severity_Text],tblSeverityMap[Score],0),0)</f>
        <v/>
      </c>
      <c r="T4131">
        <f>ROUND((M4131*0.25)+(N4131*0.20)+(O4131*0.15)+(P4131*0.15)+(Q4131*0.10)+(R4131*0.10)+(S4131*0.05),2)</f>
        <v/>
      </c>
      <c r="U4131">
        <f>IF(T4131&gt;=4.25,"Critical",IF(T4131&gt;=3.5,"High",IF(T4131&gt;=2,"Medium","Low")))</f>
        <v/>
      </c>
    </row>
    <row r="4132">
      <c r="R4132">
        <f>IFERROR(XLOOKUP(XLOOKUP(D4132,tblReleaseChanges[Change_ID],tblReleaseChanges[Oracle_Severity],""),tblSeverityMap[Severity_Text],tblSeverityMap[Score],0),0)</f>
        <v/>
      </c>
      <c r="T4132">
        <f>ROUND((M4132*0.25)+(N4132*0.20)+(O4132*0.15)+(P4132*0.15)+(Q4132*0.10)+(R4132*0.10)+(S4132*0.05),2)</f>
        <v/>
      </c>
      <c r="U4132">
        <f>IF(T4132&gt;=4.25,"Critical",IF(T4132&gt;=3.5,"High",IF(T4132&gt;=2,"Medium","Low")))</f>
        <v/>
      </c>
    </row>
    <row r="4133">
      <c r="R4133">
        <f>IFERROR(XLOOKUP(XLOOKUP(D4133,tblReleaseChanges[Change_ID],tblReleaseChanges[Oracle_Severity],""),tblSeverityMap[Severity_Text],tblSeverityMap[Score],0),0)</f>
        <v/>
      </c>
      <c r="T4133">
        <f>ROUND((M4133*0.25)+(N4133*0.20)+(O4133*0.15)+(P4133*0.15)+(Q4133*0.10)+(R4133*0.10)+(S4133*0.05),2)</f>
        <v/>
      </c>
      <c r="U4133">
        <f>IF(T4133&gt;=4.25,"Critical",IF(T4133&gt;=3.5,"High",IF(T4133&gt;=2,"Medium","Low")))</f>
        <v/>
      </c>
    </row>
    <row r="4134">
      <c r="R4134">
        <f>IFERROR(XLOOKUP(XLOOKUP(D4134,tblReleaseChanges[Change_ID],tblReleaseChanges[Oracle_Severity],""),tblSeverityMap[Severity_Text],tblSeverityMap[Score],0),0)</f>
        <v/>
      </c>
      <c r="T4134">
        <f>ROUND((M4134*0.25)+(N4134*0.20)+(O4134*0.15)+(P4134*0.15)+(Q4134*0.10)+(R4134*0.10)+(S4134*0.05),2)</f>
        <v/>
      </c>
      <c r="U4134">
        <f>IF(T4134&gt;=4.25,"Critical",IF(T4134&gt;=3.5,"High",IF(T4134&gt;=2,"Medium","Low")))</f>
        <v/>
      </c>
    </row>
    <row r="4135">
      <c r="R4135">
        <f>IFERROR(XLOOKUP(XLOOKUP(D4135,tblReleaseChanges[Change_ID],tblReleaseChanges[Oracle_Severity],""),tblSeverityMap[Severity_Text],tblSeverityMap[Score],0),0)</f>
        <v/>
      </c>
      <c r="T4135">
        <f>ROUND((M4135*0.25)+(N4135*0.20)+(O4135*0.15)+(P4135*0.15)+(Q4135*0.10)+(R4135*0.10)+(S4135*0.05),2)</f>
        <v/>
      </c>
      <c r="U4135">
        <f>IF(T4135&gt;=4.25,"Critical",IF(T4135&gt;=3.5,"High",IF(T4135&gt;=2,"Medium","Low")))</f>
        <v/>
      </c>
    </row>
    <row r="4136">
      <c r="R4136">
        <f>IFERROR(XLOOKUP(XLOOKUP(D4136,tblReleaseChanges[Change_ID],tblReleaseChanges[Oracle_Severity],""),tblSeverityMap[Severity_Text],tblSeverityMap[Score],0),0)</f>
        <v/>
      </c>
      <c r="T4136">
        <f>ROUND((M4136*0.25)+(N4136*0.20)+(O4136*0.15)+(P4136*0.15)+(Q4136*0.10)+(R4136*0.10)+(S4136*0.05),2)</f>
        <v/>
      </c>
      <c r="U4136">
        <f>IF(T4136&gt;=4.25,"Critical",IF(T4136&gt;=3.5,"High",IF(T4136&gt;=2,"Medium","Low")))</f>
        <v/>
      </c>
    </row>
    <row r="4137">
      <c r="R4137">
        <f>IFERROR(XLOOKUP(XLOOKUP(D4137,tblReleaseChanges[Change_ID],tblReleaseChanges[Oracle_Severity],""),tblSeverityMap[Severity_Text],tblSeverityMap[Score],0),0)</f>
        <v/>
      </c>
      <c r="T4137">
        <f>ROUND((M4137*0.25)+(N4137*0.20)+(O4137*0.15)+(P4137*0.15)+(Q4137*0.10)+(R4137*0.10)+(S4137*0.05),2)</f>
        <v/>
      </c>
      <c r="U4137">
        <f>IF(T4137&gt;=4.25,"Critical",IF(T4137&gt;=3.5,"High",IF(T4137&gt;=2,"Medium","Low")))</f>
        <v/>
      </c>
    </row>
    <row r="4138">
      <c r="R4138">
        <f>IFERROR(XLOOKUP(XLOOKUP(D4138,tblReleaseChanges[Change_ID],tblReleaseChanges[Oracle_Severity],""),tblSeverityMap[Severity_Text],tblSeverityMap[Score],0),0)</f>
        <v/>
      </c>
      <c r="T4138">
        <f>ROUND((M4138*0.25)+(N4138*0.20)+(O4138*0.15)+(P4138*0.15)+(Q4138*0.10)+(R4138*0.10)+(S4138*0.05),2)</f>
        <v/>
      </c>
      <c r="U4138">
        <f>IF(T4138&gt;=4.25,"Critical",IF(T4138&gt;=3.5,"High",IF(T4138&gt;=2,"Medium","Low")))</f>
        <v/>
      </c>
    </row>
    <row r="4139">
      <c r="R4139">
        <f>IFERROR(XLOOKUP(XLOOKUP(D4139,tblReleaseChanges[Change_ID],tblReleaseChanges[Oracle_Severity],""),tblSeverityMap[Severity_Text],tblSeverityMap[Score],0),0)</f>
        <v/>
      </c>
      <c r="T4139">
        <f>ROUND((M4139*0.25)+(N4139*0.20)+(O4139*0.15)+(P4139*0.15)+(Q4139*0.10)+(R4139*0.10)+(S4139*0.05),2)</f>
        <v/>
      </c>
      <c r="U4139">
        <f>IF(T4139&gt;=4.25,"Critical",IF(T4139&gt;=3.5,"High",IF(T4139&gt;=2,"Medium","Low")))</f>
        <v/>
      </c>
    </row>
    <row r="4140">
      <c r="R4140">
        <f>IFERROR(XLOOKUP(XLOOKUP(D4140,tblReleaseChanges[Change_ID],tblReleaseChanges[Oracle_Severity],""),tblSeverityMap[Severity_Text],tblSeverityMap[Score],0),0)</f>
        <v/>
      </c>
      <c r="T4140">
        <f>ROUND((M4140*0.25)+(N4140*0.20)+(O4140*0.15)+(P4140*0.15)+(Q4140*0.10)+(R4140*0.10)+(S4140*0.05),2)</f>
        <v/>
      </c>
      <c r="U4140">
        <f>IF(T4140&gt;=4.25,"Critical",IF(T4140&gt;=3.5,"High",IF(T4140&gt;=2,"Medium","Low")))</f>
        <v/>
      </c>
    </row>
    <row r="4141">
      <c r="R4141">
        <f>IFERROR(XLOOKUP(XLOOKUP(D4141,tblReleaseChanges[Change_ID],tblReleaseChanges[Oracle_Severity],""),tblSeverityMap[Severity_Text],tblSeverityMap[Score],0),0)</f>
        <v/>
      </c>
      <c r="T4141">
        <f>ROUND((M4141*0.25)+(N4141*0.20)+(O4141*0.15)+(P4141*0.15)+(Q4141*0.10)+(R4141*0.10)+(S4141*0.05),2)</f>
        <v/>
      </c>
      <c r="U4141">
        <f>IF(T4141&gt;=4.25,"Critical",IF(T4141&gt;=3.5,"High",IF(T4141&gt;=2,"Medium","Low")))</f>
        <v/>
      </c>
    </row>
    <row r="4142">
      <c r="R4142">
        <f>IFERROR(XLOOKUP(XLOOKUP(D4142,tblReleaseChanges[Change_ID],tblReleaseChanges[Oracle_Severity],""),tblSeverityMap[Severity_Text],tblSeverityMap[Score],0),0)</f>
        <v/>
      </c>
      <c r="T4142">
        <f>ROUND((M4142*0.25)+(N4142*0.20)+(O4142*0.15)+(P4142*0.15)+(Q4142*0.10)+(R4142*0.10)+(S4142*0.05),2)</f>
        <v/>
      </c>
      <c r="U4142">
        <f>IF(T4142&gt;=4.25,"Critical",IF(T4142&gt;=3.5,"High",IF(T4142&gt;=2,"Medium","Low")))</f>
        <v/>
      </c>
    </row>
    <row r="4143">
      <c r="R4143">
        <f>IFERROR(XLOOKUP(XLOOKUP(D4143,tblReleaseChanges[Change_ID],tblReleaseChanges[Oracle_Severity],""),tblSeverityMap[Severity_Text],tblSeverityMap[Score],0),0)</f>
        <v/>
      </c>
      <c r="T4143">
        <f>ROUND((M4143*0.25)+(N4143*0.20)+(O4143*0.15)+(P4143*0.15)+(Q4143*0.10)+(R4143*0.10)+(S4143*0.05),2)</f>
        <v/>
      </c>
      <c r="U4143">
        <f>IF(T4143&gt;=4.25,"Critical",IF(T4143&gt;=3.5,"High",IF(T4143&gt;=2,"Medium","Low")))</f>
        <v/>
      </c>
    </row>
    <row r="4144">
      <c r="R4144">
        <f>IFERROR(XLOOKUP(XLOOKUP(D4144,tblReleaseChanges[Change_ID],tblReleaseChanges[Oracle_Severity],""),tblSeverityMap[Severity_Text],tblSeverityMap[Score],0),0)</f>
        <v/>
      </c>
      <c r="T4144">
        <f>ROUND((M4144*0.25)+(N4144*0.20)+(O4144*0.15)+(P4144*0.15)+(Q4144*0.10)+(R4144*0.10)+(S4144*0.05),2)</f>
        <v/>
      </c>
      <c r="U4144">
        <f>IF(T4144&gt;=4.25,"Critical",IF(T4144&gt;=3.5,"High",IF(T4144&gt;=2,"Medium","Low")))</f>
        <v/>
      </c>
    </row>
    <row r="4145">
      <c r="R4145">
        <f>IFERROR(XLOOKUP(XLOOKUP(D4145,tblReleaseChanges[Change_ID],tblReleaseChanges[Oracle_Severity],""),tblSeverityMap[Severity_Text],tblSeverityMap[Score],0),0)</f>
        <v/>
      </c>
      <c r="T4145">
        <f>ROUND((M4145*0.25)+(N4145*0.20)+(O4145*0.15)+(P4145*0.15)+(Q4145*0.10)+(R4145*0.10)+(S4145*0.05),2)</f>
        <v/>
      </c>
      <c r="U4145">
        <f>IF(T4145&gt;=4.25,"Critical",IF(T4145&gt;=3.5,"High",IF(T4145&gt;=2,"Medium","Low")))</f>
        <v/>
      </c>
    </row>
    <row r="4146">
      <c r="R4146">
        <f>IFERROR(XLOOKUP(XLOOKUP(D4146,tblReleaseChanges[Change_ID],tblReleaseChanges[Oracle_Severity],""),tblSeverityMap[Severity_Text],tblSeverityMap[Score],0),0)</f>
        <v/>
      </c>
      <c r="T4146">
        <f>ROUND((M4146*0.25)+(N4146*0.20)+(O4146*0.15)+(P4146*0.15)+(Q4146*0.10)+(R4146*0.10)+(S4146*0.05),2)</f>
        <v/>
      </c>
      <c r="U4146">
        <f>IF(T4146&gt;=4.25,"Critical",IF(T4146&gt;=3.5,"High",IF(T4146&gt;=2,"Medium","Low")))</f>
        <v/>
      </c>
    </row>
    <row r="4147">
      <c r="R4147">
        <f>IFERROR(XLOOKUP(XLOOKUP(D4147,tblReleaseChanges[Change_ID],tblReleaseChanges[Oracle_Severity],""),tblSeverityMap[Severity_Text],tblSeverityMap[Score],0),0)</f>
        <v/>
      </c>
      <c r="T4147">
        <f>ROUND((M4147*0.25)+(N4147*0.20)+(O4147*0.15)+(P4147*0.15)+(Q4147*0.10)+(R4147*0.10)+(S4147*0.05),2)</f>
        <v/>
      </c>
      <c r="U4147">
        <f>IF(T4147&gt;=4.25,"Critical",IF(T4147&gt;=3.5,"High",IF(T4147&gt;=2,"Medium","Low")))</f>
        <v/>
      </c>
    </row>
    <row r="4148">
      <c r="R4148">
        <f>IFERROR(XLOOKUP(XLOOKUP(D4148,tblReleaseChanges[Change_ID],tblReleaseChanges[Oracle_Severity],""),tblSeverityMap[Severity_Text],tblSeverityMap[Score],0),0)</f>
        <v/>
      </c>
      <c r="T4148">
        <f>ROUND((M4148*0.25)+(N4148*0.20)+(O4148*0.15)+(P4148*0.15)+(Q4148*0.10)+(R4148*0.10)+(S4148*0.05),2)</f>
        <v/>
      </c>
      <c r="U4148">
        <f>IF(T4148&gt;=4.25,"Critical",IF(T4148&gt;=3.5,"High",IF(T4148&gt;=2,"Medium","Low")))</f>
        <v/>
      </c>
    </row>
    <row r="4149">
      <c r="R4149">
        <f>IFERROR(XLOOKUP(XLOOKUP(D4149,tblReleaseChanges[Change_ID],tblReleaseChanges[Oracle_Severity],""),tblSeverityMap[Severity_Text],tblSeverityMap[Score],0),0)</f>
        <v/>
      </c>
      <c r="T4149">
        <f>ROUND((M4149*0.25)+(N4149*0.20)+(O4149*0.15)+(P4149*0.15)+(Q4149*0.10)+(R4149*0.10)+(S4149*0.05),2)</f>
        <v/>
      </c>
      <c r="U4149">
        <f>IF(T4149&gt;=4.25,"Critical",IF(T4149&gt;=3.5,"High",IF(T4149&gt;=2,"Medium","Low")))</f>
        <v/>
      </c>
    </row>
    <row r="4150">
      <c r="R4150">
        <f>IFERROR(XLOOKUP(XLOOKUP(D4150,tblReleaseChanges[Change_ID],tblReleaseChanges[Oracle_Severity],""),tblSeverityMap[Severity_Text],tblSeverityMap[Score],0),0)</f>
        <v/>
      </c>
      <c r="T4150">
        <f>ROUND((M4150*0.25)+(N4150*0.20)+(O4150*0.15)+(P4150*0.15)+(Q4150*0.10)+(R4150*0.10)+(S4150*0.05),2)</f>
        <v/>
      </c>
      <c r="U4150">
        <f>IF(T4150&gt;=4.25,"Critical",IF(T4150&gt;=3.5,"High",IF(T4150&gt;=2,"Medium","Low")))</f>
        <v/>
      </c>
    </row>
    <row r="4151">
      <c r="R4151">
        <f>IFERROR(XLOOKUP(XLOOKUP(D4151,tblReleaseChanges[Change_ID],tblReleaseChanges[Oracle_Severity],""),tblSeverityMap[Severity_Text],tblSeverityMap[Score],0),0)</f>
        <v/>
      </c>
      <c r="T4151">
        <f>ROUND((M4151*0.25)+(N4151*0.20)+(O4151*0.15)+(P4151*0.15)+(Q4151*0.10)+(R4151*0.10)+(S4151*0.05),2)</f>
        <v/>
      </c>
      <c r="U4151">
        <f>IF(T4151&gt;=4.25,"Critical",IF(T4151&gt;=3.5,"High",IF(T4151&gt;=2,"Medium","Low")))</f>
        <v/>
      </c>
    </row>
    <row r="4152">
      <c r="R4152">
        <f>IFERROR(XLOOKUP(XLOOKUP(D4152,tblReleaseChanges[Change_ID],tblReleaseChanges[Oracle_Severity],""),tblSeverityMap[Severity_Text],tblSeverityMap[Score],0),0)</f>
        <v/>
      </c>
      <c r="T4152">
        <f>ROUND((M4152*0.25)+(N4152*0.20)+(O4152*0.15)+(P4152*0.15)+(Q4152*0.10)+(R4152*0.10)+(S4152*0.05),2)</f>
        <v/>
      </c>
      <c r="U4152">
        <f>IF(T4152&gt;=4.25,"Critical",IF(T4152&gt;=3.5,"High",IF(T4152&gt;=2,"Medium","Low")))</f>
        <v/>
      </c>
    </row>
    <row r="4153">
      <c r="R4153">
        <f>IFERROR(XLOOKUP(XLOOKUP(D4153,tblReleaseChanges[Change_ID],tblReleaseChanges[Oracle_Severity],""),tblSeverityMap[Severity_Text],tblSeverityMap[Score],0),0)</f>
        <v/>
      </c>
      <c r="T4153">
        <f>ROUND((M4153*0.25)+(N4153*0.20)+(O4153*0.15)+(P4153*0.15)+(Q4153*0.10)+(R4153*0.10)+(S4153*0.05),2)</f>
        <v/>
      </c>
      <c r="U4153">
        <f>IF(T4153&gt;=4.25,"Critical",IF(T4153&gt;=3.5,"High",IF(T4153&gt;=2,"Medium","Low")))</f>
        <v/>
      </c>
    </row>
    <row r="4154">
      <c r="R4154">
        <f>IFERROR(XLOOKUP(XLOOKUP(D4154,tblReleaseChanges[Change_ID],tblReleaseChanges[Oracle_Severity],""),tblSeverityMap[Severity_Text],tblSeverityMap[Score],0),0)</f>
        <v/>
      </c>
      <c r="T4154">
        <f>ROUND((M4154*0.25)+(N4154*0.20)+(O4154*0.15)+(P4154*0.15)+(Q4154*0.10)+(R4154*0.10)+(S4154*0.05),2)</f>
        <v/>
      </c>
      <c r="U4154">
        <f>IF(T4154&gt;=4.25,"Critical",IF(T4154&gt;=3.5,"High",IF(T4154&gt;=2,"Medium","Low")))</f>
        <v/>
      </c>
    </row>
    <row r="4155">
      <c r="R4155">
        <f>IFERROR(XLOOKUP(XLOOKUP(D4155,tblReleaseChanges[Change_ID],tblReleaseChanges[Oracle_Severity],""),tblSeverityMap[Severity_Text],tblSeverityMap[Score],0),0)</f>
        <v/>
      </c>
      <c r="T4155">
        <f>ROUND((M4155*0.25)+(N4155*0.20)+(O4155*0.15)+(P4155*0.15)+(Q4155*0.10)+(R4155*0.10)+(S4155*0.05),2)</f>
        <v/>
      </c>
      <c r="U4155">
        <f>IF(T4155&gt;=4.25,"Critical",IF(T4155&gt;=3.5,"High",IF(T4155&gt;=2,"Medium","Low")))</f>
        <v/>
      </c>
    </row>
    <row r="4156">
      <c r="R4156">
        <f>IFERROR(XLOOKUP(XLOOKUP(D4156,tblReleaseChanges[Change_ID],tblReleaseChanges[Oracle_Severity],""),tblSeverityMap[Severity_Text],tblSeverityMap[Score],0),0)</f>
        <v/>
      </c>
      <c r="T4156">
        <f>ROUND((M4156*0.25)+(N4156*0.20)+(O4156*0.15)+(P4156*0.15)+(Q4156*0.10)+(R4156*0.10)+(S4156*0.05),2)</f>
        <v/>
      </c>
      <c r="U4156">
        <f>IF(T4156&gt;=4.25,"Critical",IF(T4156&gt;=3.5,"High",IF(T4156&gt;=2,"Medium","Low")))</f>
        <v/>
      </c>
    </row>
    <row r="4157">
      <c r="R4157">
        <f>IFERROR(XLOOKUP(XLOOKUP(D4157,tblReleaseChanges[Change_ID],tblReleaseChanges[Oracle_Severity],""),tblSeverityMap[Severity_Text],tblSeverityMap[Score],0),0)</f>
        <v/>
      </c>
      <c r="T4157">
        <f>ROUND((M4157*0.25)+(N4157*0.20)+(O4157*0.15)+(P4157*0.15)+(Q4157*0.10)+(R4157*0.10)+(S4157*0.05),2)</f>
        <v/>
      </c>
      <c r="U4157">
        <f>IF(T4157&gt;=4.25,"Critical",IF(T4157&gt;=3.5,"High",IF(T4157&gt;=2,"Medium","Low")))</f>
        <v/>
      </c>
    </row>
    <row r="4158">
      <c r="R4158">
        <f>IFERROR(XLOOKUP(XLOOKUP(D4158,tblReleaseChanges[Change_ID],tblReleaseChanges[Oracle_Severity],""),tblSeverityMap[Severity_Text],tblSeverityMap[Score],0),0)</f>
        <v/>
      </c>
      <c r="T4158">
        <f>ROUND((M4158*0.25)+(N4158*0.20)+(O4158*0.15)+(P4158*0.15)+(Q4158*0.10)+(R4158*0.10)+(S4158*0.05),2)</f>
        <v/>
      </c>
      <c r="U4158">
        <f>IF(T4158&gt;=4.25,"Critical",IF(T4158&gt;=3.5,"High",IF(T4158&gt;=2,"Medium","Low")))</f>
        <v/>
      </c>
    </row>
    <row r="4159">
      <c r="R4159">
        <f>IFERROR(XLOOKUP(XLOOKUP(D4159,tblReleaseChanges[Change_ID],tblReleaseChanges[Oracle_Severity],""),tblSeverityMap[Severity_Text],tblSeverityMap[Score],0),0)</f>
        <v/>
      </c>
      <c r="T4159">
        <f>ROUND((M4159*0.25)+(N4159*0.20)+(O4159*0.15)+(P4159*0.15)+(Q4159*0.10)+(R4159*0.10)+(S4159*0.05),2)</f>
        <v/>
      </c>
      <c r="U4159">
        <f>IF(T4159&gt;=4.25,"Critical",IF(T4159&gt;=3.5,"High",IF(T4159&gt;=2,"Medium","Low")))</f>
        <v/>
      </c>
    </row>
    <row r="4160">
      <c r="R4160">
        <f>IFERROR(XLOOKUP(XLOOKUP(D4160,tblReleaseChanges[Change_ID],tblReleaseChanges[Oracle_Severity],""),tblSeverityMap[Severity_Text],tblSeverityMap[Score],0),0)</f>
        <v/>
      </c>
      <c r="T4160">
        <f>ROUND((M4160*0.25)+(N4160*0.20)+(O4160*0.15)+(P4160*0.15)+(Q4160*0.10)+(R4160*0.10)+(S4160*0.05),2)</f>
        <v/>
      </c>
      <c r="U4160">
        <f>IF(T4160&gt;=4.25,"Critical",IF(T4160&gt;=3.5,"High",IF(T4160&gt;=2,"Medium","Low")))</f>
        <v/>
      </c>
    </row>
    <row r="4161">
      <c r="R4161">
        <f>IFERROR(XLOOKUP(XLOOKUP(D4161,tblReleaseChanges[Change_ID],tblReleaseChanges[Oracle_Severity],""),tblSeverityMap[Severity_Text],tblSeverityMap[Score],0),0)</f>
        <v/>
      </c>
      <c r="T4161">
        <f>ROUND((M4161*0.25)+(N4161*0.20)+(O4161*0.15)+(P4161*0.15)+(Q4161*0.10)+(R4161*0.10)+(S4161*0.05),2)</f>
        <v/>
      </c>
      <c r="U4161">
        <f>IF(T4161&gt;=4.25,"Critical",IF(T4161&gt;=3.5,"High",IF(T4161&gt;=2,"Medium","Low")))</f>
        <v/>
      </c>
    </row>
    <row r="4162">
      <c r="R4162">
        <f>IFERROR(XLOOKUP(XLOOKUP(D4162,tblReleaseChanges[Change_ID],tblReleaseChanges[Oracle_Severity],""),tblSeverityMap[Severity_Text],tblSeverityMap[Score],0),0)</f>
        <v/>
      </c>
      <c r="T4162">
        <f>ROUND((M4162*0.25)+(N4162*0.20)+(O4162*0.15)+(P4162*0.15)+(Q4162*0.10)+(R4162*0.10)+(S4162*0.05),2)</f>
        <v/>
      </c>
      <c r="U4162">
        <f>IF(T4162&gt;=4.25,"Critical",IF(T4162&gt;=3.5,"High",IF(T4162&gt;=2,"Medium","Low")))</f>
        <v/>
      </c>
    </row>
    <row r="4163">
      <c r="R4163">
        <f>IFERROR(XLOOKUP(XLOOKUP(D4163,tblReleaseChanges[Change_ID],tblReleaseChanges[Oracle_Severity],""),tblSeverityMap[Severity_Text],tblSeverityMap[Score],0),0)</f>
        <v/>
      </c>
      <c r="T4163">
        <f>ROUND((M4163*0.25)+(N4163*0.20)+(O4163*0.15)+(P4163*0.15)+(Q4163*0.10)+(R4163*0.10)+(S4163*0.05),2)</f>
        <v/>
      </c>
      <c r="U4163">
        <f>IF(T4163&gt;=4.25,"Critical",IF(T4163&gt;=3.5,"High",IF(T4163&gt;=2,"Medium","Low")))</f>
        <v/>
      </c>
    </row>
    <row r="4164">
      <c r="R4164">
        <f>IFERROR(XLOOKUP(XLOOKUP(D4164,tblReleaseChanges[Change_ID],tblReleaseChanges[Oracle_Severity],""),tblSeverityMap[Severity_Text],tblSeverityMap[Score],0),0)</f>
        <v/>
      </c>
      <c r="T4164">
        <f>ROUND((M4164*0.25)+(N4164*0.20)+(O4164*0.15)+(P4164*0.15)+(Q4164*0.10)+(R4164*0.10)+(S4164*0.05),2)</f>
        <v/>
      </c>
      <c r="U4164">
        <f>IF(T4164&gt;=4.25,"Critical",IF(T4164&gt;=3.5,"High",IF(T4164&gt;=2,"Medium","Low")))</f>
        <v/>
      </c>
    </row>
    <row r="4165">
      <c r="R4165">
        <f>IFERROR(XLOOKUP(XLOOKUP(D4165,tblReleaseChanges[Change_ID],tblReleaseChanges[Oracle_Severity],""),tblSeverityMap[Severity_Text],tblSeverityMap[Score],0),0)</f>
        <v/>
      </c>
      <c r="T4165">
        <f>ROUND((M4165*0.25)+(N4165*0.20)+(O4165*0.15)+(P4165*0.15)+(Q4165*0.10)+(R4165*0.10)+(S4165*0.05),2)</f>
        <v/>
      </c>
      <c r="U4165">
        <f>IF(T4165&gt;=4.25,"Critical",IF(T4165&gt;=3.5,"High",IF(T4165&gt;=2,"Medium","Low")))</f>
        <v/>
      </c>
    </row>
    <row r="4166">
      <c r="R4166">
        <f>IFERROR(XLOOKUP(XLOOKUP(D4166,tblReleaseChanges[Change_ID],tblReleaseChanges[Oracle_Severity],""),tblSeverityMap[Severity_Text],tblSeverityMap[Score],0),0)</f>
        <v/>
      </c>
      <c r="T4166">
        <f>ROUND((M4166*0.25)+(N4166*0.20)+(O4166*0.15)+(P4166*0.15)+(Q4166*0.10)+(R4166*0.10)+(S4166*0.05),2)</f>
        <v/>
      </c>
      <c r="U4166">
        <f>IF(T4166&gt;=4.25,"Critical",IF(T4166&gt;=3.5,"High",IF(T4166&gt;=2,"Medium","Low")))</f>
        <v/>
      </c>
    </row>
    <row r="4167">
      <c r="R4167">
        <f>IFERROR(XLOOKUP(XLOOKUP(D4167,tblReleaseChanges[Change_ID],tblReleaseChanges[Oracle_Severity],""),tblSeverityMap[Severity_Text],tblSeverityMap[Score],0),0)</f>
        <v/>
      </c>
      <c r="T4167">
        <f>ROUND((M4167*0.25)+(N4167*0.20)+(O4167*0.15)+(P4167*0.15)+(Q4167*0.10)+(R4167*0.10)+(S4167*0.05),2)</f>
        <v/>
      </c>
      <c r="U4167">
        <f>IF(T4167&gt;=4.25,"Critical",IF(T4167&gt;=3.5,"High",IF(T4167&gt;=2,"Medium","Low")))</f>
        <v/>
      </c>
    </row>
    <row r="4168">
      <c r="R4168">
        <f>IFERROR(XLOOKUP(XLOOKUP(D4168,tblReleaseChanges[Change_ID],tblReleaseChanges[Oracle_Severity],""),tblSeverityMap[Severity_Text],tblSeverityMap[Score],0),0)</f>
        <v/>
      </c>
      <c r="T4168">
        <f>ROUND((M4168*0.25)+(N4168*0.20)+(O4168*0.15)+(P4168*0.15)+(Q4168*0.10)+(R4168*0.10)+(S4168*0.05),2)</f>
        <v/>
      </c>
      <c r="U4168">
        <f>IF(T4168&gt;=4.25,"Critical",IF(T4168&gt;=3.5,"High",IF(T4168&gt;=2,"Medium","Low")))</f>
        <v/>
      </c>
    </row>
    <row r="4169">
      <c r="R4169">
        <f>IFERROR(XLOOKUP(XLOOKUP(D4169,tblReleaseChanges[Change_ID],tblReleaseChanges[Oracle_Severity],""),tblSeverityMap[Severity_Text],tblSeverityMap[Score],0),0)</f>
        <v/>
      </c>
      <c r="T4169">
        <f>ROUND((M4169*0.25)+(N4169*0.20)+(O4169*0.15)+(P4169*0.15)+(Q4169*0.10)+(R4169*0.10)+(S4169*0.05),2)</f>
        <v/>
      </c>
      <c r="U4169">
        <f>IF(T4169&gt;=4.25,"Critical",IF(T4169&gt;=3.5,"High",IF(T4169&gt;=2,"Medium","Low")))</f>
        <v/>
      </c>
    </row>
    <row r="4170">
      <c r="R4170">
        <f>IFERROR(XLOOKUP(XLOOKUP(D4170,tblReleaseChanges[Change_ID],tblReleaseChanges[Oracle_Severity],""),tblSeverityMap[Severity_Text],tblSeverityMap[Score],0),0)</f>
        <v/>
      </c>
      <c r="T4170">
        <f>ROUND((M4170*0.25)+(N4170*0.20)+(O4170*0.15)+(P4170*0.15)+(Q4170*0.10)+(R4170*0.10)+(S4170*0.05),2)</f>
        <v/>
      </c>
      <c r="U4170">
        <f>IF(T4170&gt;=4.25,"Critical",IF(T4170&gt;=3.5,"High",IF(T4170&gt;=2,"Medium","Low")))</f>
        <v/>
      </c>
    </row>
    <row r="4171">
      <c r="R4171">
        <f>IFERROR(XLOOKUP(XLOOKUP(D4171,tblReleaseChanges[Change_ID],tblReleaseChanges[Oracle_Severity],""),tblSeverityMap[Severity_Text],tblSeverityMap[Score],0),0)</f>
        <v/>
      </c>
      <c r="T4171">
        <f>ROUND((M4171*0.25)+(N4171*0.20)+(O4171*0.15)+(P4171*0.15)+(Q4171*0.10)+(R4171*0.10)+(S4171*0.05),2)</f>
        <v/>
      </c>
      <c r="U4171">
        <f>IF(T4171&gt;=4.25,"Critical",IF(T4171&gt;=3.5,"High",IF(T4171&gt;=2,"Medium","Low")))</f>
        <v/>
      </c>
    </row>
    <row r="4172">
      <c r="R4172">
        <f>IFERROR(XLOOKUP(XLOOKUP(D4172,tblReleaseChanges[Change_ID],tblReleaseChanges[Oracle_Severity],""),tblSeverityMap[Severity_Text],tblSeverityMap[Score],0),0)</f>
        <v/>
      </c>
      <c r="T4172">
        <f>ROUND((M4172*0.25)+(N4172*0.20)+(O4172*0.15)+(P4172*0.15)+(Q4172*0.10)+(R4172*0.10)+(S4172*0.05),2)</f>
        <v/>
      </c>
      <c r="U4172">
        <f>IF(T4172&gt;=4.25,"Critical",IF(T4172&gt;=3.5,"High",IF(T4172&gt;=2,"Medium","Low")))</f>
        <v/>
      </c>
    </row>
    <row r="4173">
      <c r="R4173">
        <f>IFERROR(XLOOKUP(XLOOKUP(D4173,tblReleaseChanges[Change_ID],tblReleaseChanges[Oracle_Severity],""),tblSeverityMap[Severity_Text],tblSeverityMap[Score],0),0)</f>
        <v/>
      </c>
      <c r="T4173">
        <f>ROUND((M4173*0.25)+(N4173*0.20)+(O4173*0.15)+(P4173*0.15)+(Q4173*0.10)+(R4173*0.10)+(S4173*0.05),2)</f>
        <v/>
      </c>
      <c r="U4173">
        <f>IF(T4173&gt;=4.25,"Critical",IF(T4173&gt;=3.5,"High",IF(T4173&gt;=2,"Medium","Low")))</f>
        <v/>
      </c>
    </row>
    <row r="4174">
      <c r="R4174">
        <f>IFERROR(XLOOKUP(XLOOKUP(D4174,tblReleaseChanges[Change_ID],tblReleaseChanges[Oracle_Severity],""),tblSeverityMap[Severity_Text],tblSeverityMap[Score],0),0)</f>
        <v/>
      </c>
      <c r="T4174">
        <f>ROUND((M4174*0.25)+(N4174*0.20)+(O4174*0.15)+(P4174*0.15)+(Q4174*0.10)+(R4174*0.10)+(S4174*0.05),2)</f>
        <v/>
      </c>
      <c r="U4174">
        <f>IF(T4174&gt;=4.25,"Critical",IF(T4174&gt;=3.5,"High",IF(T4174&gt;=2,"Medium","Low")))</f>
        <v/>
      </c>
    </row>
    <row r="4175">
      <c r="R4175">
        <f>IFERROR(XLOOKUP(XLOOKUP(D4175,tblReleaseChanges[Change_ID],tblReleaseChanges[Oracle_Severity],""),tblSeverityMap[Severity_Text],tblSeverityMap[Score],0),0)</f>
        <v/>
      </c>
      <c r="T4175">
        <f>ROUND((M4175*0.25)+(N4175*0.20)+(O4175*0.15)+(P4175*0.15)+(Q4175*0.10)+(R4175*0.10)+(S4175*0.05),2)</f>
        <v/>
      </c>
      <c r="U4175">
        <f>IF(T4175&gt;=4.25,"Critical",IF(T4175&gt;=3.5,"High",IF(T4175&gt;=2,"Medium","Low")))</f>
        <v/>
      </c>
    </row>
    <row r="4176">
      <c r="R4176">
        <f>IFERROR(XLOOKUP(XLOOKUP(D4176,tblReleaseChanges[Change_ID],tblReleaseChanges[Oracle_Severity],""),tblSeverityMap[Severity_Text],tblSeverityMap[Score],0),0)</f>
        <v/>
      </c>
      <c r="T4176">
        <f>ROUND((M4176*0.25)+(N4176*0.20)+(O4176*0.15)+(P4176*0.15)+(Q4176*0.10)+(R4176*0.10)+(S4176*0.05),2)</f>
        <v/>
      </c>
      <c r="U4176">
        <f>IF(T4176&gt;=4.25,"Critical",IF(T4176&gt;=3.5,"High",IF(T4176&gt;=2,"Medium","Low")))</f>
        <v/>
      </c>
    </row>
    <row r="4177">
      <c r="R4177">
        <f>IFERROR(XLOOKUP(XLOOKUP(D4177,tblReleaseChanges[Change_ID],tblReleaseChanges[Oracle_Severity],""),tblSeverityMap[Severity_Text],tblSeverityMap[Score],0),0)</f>
        <v/>
      </c>
      <c r="T4177">
        <f>ROUND((M4177*0.25)+(N4177*0.20)+(O4177*0.15)+(P4177*0.15)+(Q4177*0.10)+(R4177*0.10)+(S4177*0.05),2)</f>
        <v/>
      </c>
      <c r="U4177">
        <f>IF(T4177&gt;=4.25,"Critical",IF(T4177&gt;=3.5,"High",IF(T4177&gt;=2,"Medium","Low")))</f>
        <v/>
      </c>
    </row>
    <row r="4178">
      <c r="R4178">
        <f>IFERROR(XLOOKUP(XLOOKUP(D4178,tblReleaseChanges[Change_ID],tblReleaseChanges[Oracle_Severity],""),tblSeverityMap[Severity_Text],tblSeverityMap[Score],0),0)</f>
        <v/>
      </c>
      <c r="T4178">
        <f>ROUND((M4178*0.25)+(N4178*0.20)+(O4178*0.15)+(P4178*0.15)+(Q4178*0.10)+(R4178*0.10)+(S4178*0.05),2)</f>
        <v/>
      </c>
      <c r="U4178">
        <f>IF(T4178&gt;=4.25,"Critical",IF(T4178&gt;=3.5,"High",IF(T4178&gt;=2,"Medium","Low")))</f>
        <v/>
      </c>
    </row>
    <row r="4179">
      <c r="R4179">
        <f>IFERROR(XLOOKUP(XLOOKUP(D4179,tblReleaseChanges[Change_ID],tblReleaseChanges[Oracle_Severity],""),tblSeverityMap[Severity_Text],tblSeverityMap[Score],0),0)</f>
        <v/>
      </c>
      <c r="T4179">
        <f>ROUND((M4179*0.25)+(N4179*0.20)+(O4179*0.15)+(P4179*0.15)+(Q4179*0.10)+(R4179*0.10)+(S4179*0.05),2)</f>
        <v/>
      </c>
      <c r="U4179">
        <f>IF(T4179&gt;=4.25,"Critical",IF(T4179&gt;=3.5,"High",IF(T4179&gt;=2,"Medium","Low")))</f>
        <v/>
      </c>
    </row>
    <row r="4180">
      <c r="R4180">
        <f>IFERROR(XLOOKUP(XLOOKUP(D4180,tblReleaseChanges[Change_ID],tblReleaseChanges[Oracle_Severity],""),tblSeverityMap[Severity_Text],tblSeverityMap[Score],0),0)</f>
        <v/>
      </c>
      <c r="T4180">
        <f>ROUND((M4180*0.25)+(N4180*0.20)+(O4180*0.15)+(P4180*0.15)+(Q4180*0.10)+(R4180*0.10)+(S4180*0.05),2)</f>
        <v/>
      </c>
      <c r="U4180">
        <f>IF(T4180&gt;=4.25,"Critical",IF(T4180&gt;=3.5,"High",IF(T4180&gt;=2,"Medium","Low")))</f>
        <v/>
      </c>
    </row>
    <row r="4181">
      <c r="R4181">
        <f>IFERROR(XLOOKUP(XLOOKUP(D4181,tblReleaseChanges[Change_ID],tblReleaseChanges[Oracle_Severity],""),tblSeverityMap[Severity_Text],tblSeverityMap[Score],0),0)</f>
        <v/>
      </c>
      <c r="T4181">
        <f>ROUND((M4181*0.25)+(N4181*0.20)+(O4181*0.15)+(P4181*0.15)+(Q4181*0.10)+(R4181*0.10)+(S4181*0.05),2)</f>
        <v/>
      </c>
      <c r="U4181">
        <f>IF(T4181&gt;=4.25,"Critical",IF(T4181&gt;=3.5,"High",IF(T4181&gt;=2,"Medium","Low")))</f>
        <v/>
      </c>
    </row>
    <row r="4182">
      <c r="R4182">
        <f>IFERROR(XLOOKUP(XLOOKUP(D4182,tblReleaseChanges[Change_ID],tblReleaseChanges[Oracle_Severity],""),tblSeverityMap[Severity_Text],tblSeverityMap[Score],0),0)</f>
        <v/>
      </c>
      <c r="T4182">
        <f>ROUND((M4182*0.25)+(N4182*0.20)+(O4182*0.15)+(P4182*0.15)+(Q4182*0.10)+(R4182*0.10)+(S4182*0.05),2)</f>
        <v/>
      </c>
      <c r="U4182">
        <f>IF(T4182&gt;=4.25,"Critical",IF(T4182&gt;=3.5,"High",IF(T4182&gt;=2,"Medium","Low")))</f>
        <v/>
      </c>
    </row>
    <row r="4183">
      <c r="R4183">
        <f>IFERROR(XLOOKUP(XLOOKUP(D4183,tblReleaseChanges[Change_ID],tblReleaseChanges[Oracle_Severity],""),tblSeverityMap[Severity_Text],tblSeverityMap[Score],0),0)</f>
        <v/>
      </c>
      <c r="T4183">
        <f>ROUND((M4183*0.25)+(N4183*0.20)+(O4183*0.15)+(P4183*0.15)+(Q4183*0.10)+(R4183*0.10)+(S4183*0.05),2)</f>
        <v/>
      </c>
      <c r="U4183">
        <f>IF(T4183&gt;=4.25,"Critical",IF(T4183&gt;=3.5,"High",IF(T4183&gt;=2,"Medium","Low")))</f>
        <v/>
      </c>
    </row>
    <row r="4184">
      <c r="R4184">
        <f>IFERROR(XLOOKUP(XLOOKUP(D4184,tblReleaseChanges[Change_ID],tblReleaseChanges[Oracle_Severity],""),tblSeverityMap[Severity_Text],tblSeverityMap[Score],0),0)</f>
        <v/>
      </c>
      <c r="T4184">
        <f>ROUND((M4184*0.25)+(N4184*0.20)+(O4184*0.15)+(P4184*0.15)+(Q4184*0.10)+(R4184*0.10)+(S4184*0.05),2)</f>
        <v/>
      </c>
      <c r="U4184">
        <f>IF(T4184&gt;=4.25,"Critical",IF(T4184&gt;=3.5,"High",IF(T4184&gt;=2,"Medium","Low")))</f>
        <v/>
      </c>
    </row>
    <row r="4185">
      <c r="R4185">
        <f>IFERROR(XLOOKUP(XLOOKUP(D4185,tblReleaseChanges[Change_ID],tblReleaseChanges[Oracle_Severity],""),tblSeverityMap[Severity_Text],tblSeverityMap[Score],0),0)</f>
        <v/>
      </c>
      <c r="T4185">
        <f>ROUND((M4185*0.25)+(N4185*0.20)+(O4185*0.15)+(P4185*0.15)+(Q4185*0.10)+(R4185*0.10)+(S4185*0.05),2)</f>
        <v/>
      </c>
      <c r="U4185">
        <f>IF(T4185&gt;=4.25,"Critical",IF(T4185&gt;=3.5,"High",IF(T4185&gt;=2,"Medium","Low")))</f>
        <v/>
      </c>
    </row>
    <row r="4186">
      <c r="R4186">
        <f>IFERROR(XLOOKUP(XLOOKUP(D4186,tblReleaseChanges[Change_ID],tblReleaseChanges[Oracle_Severity],""),tblSeverityMap[Severity_Text],tblSeverityMap[Score],0),0)</f>
        <v/>
      </c>
      <c r="T4186">
        <f>ROUND((M4186*0.25)+(N4186*0.20)+(O4186*0.15)+(P4186*0.15)+(Q4186*0.10)+(R4186*0.10)+(S4186*0.05),2)</f>
        <v/>
      </c>
      <c r="U4186">
        <f>IF(T4186&gt;=4.25,"Critical",IF(T4186&gt;=3.5,"High",IF(T4186&gt;=2,"Medium","Low")))</f>
        <v/>
      </c>
    </row>
    <row r="4187">
      <c r="R4187">
        <f>IFERROR(XLOOKUP(XLOOKUP(D4187,tblReleaseChanges[Change_ID],tblReleaseChanges[Oracle_Severity],""),tblSeverityMap[Severity_Text],tblSeverityMap[Score],0),0)</f>
        <v/>
      </c>
      <c r="T4187">
        <f>ROUND((M4187*0.25)+(N4187*0.20)+(O4187*0.15)+(P4187*0.15)+(Q4187*0.10)+(R4187*0.10)+(S4187*0.05),2)</f>
        <v/>
      </c>
      <c r="U4187">
        <f>IF(T4187&gt;=4.25,"Critical",IF(T4187&gt;=3.5,"High",IF(T4187&gt;=2,"Medium","Low")))</f>
        <v/>
      </c>
    </row>
    <row r="4188">
      <c r="R4188">
        <f>IFERROR(XLOOKUP(XLOOKUP(D4188,tblReleaseChanges[Change_ID],tblReleaseChanges[Oracle_Severity],""),tblSeverityMap[Severity_Text],tblSeverityMap[Score],0),0)</f>
        <v/>
      </c>
      <c r="T4188">
        <f>ROUND((M4188*0.25)+(N4188*0.20)+(O4188*0.15)+(P4188*0.15)+(Q4188*0.10)+(R4188*0.10)+(S4188*0.05),2)</f>
        <v/>
      </c>
      <c r="U4188">
        <f>IF(T4188&gt;=4.25,"Critical",IF(T4188&gt;=3.5,"High",IF(T4188&gt;=2,"Medium","Low")))</f>
        <v/>
      </c>
    </row>
    <row r="4189">
      <c r="R4189">
        <f>IFERROR(XLOOKUP(XLOOKUP(D4189,tblReleaseChanges[Change_ID],tblReleaseChanges[Oracle_Severity],""),tblSeverityMap[Severity_Text],tblSeverityMap[Score],0),0)</f>
        <v/>
      </c>
      <c r="T4189">
        <f>ROUND((M4189*0.25)+(N4189*0.20)+(O4189*0.15)+(P4189*0.15)+(Q4189*0.10)+(R4189*0.10)+(S4189*0.05),2)</f>
        <v/>
      </c>
      <c r="U4189">
        <f>IF(T4189&gt;=4.25,"Critical",IF(T4189&gt;=3.5,"High",IF(T4189&gt;=2,"Medium","Low")))</f>
        <v/>
      </c>
    </row>
    <row r="4190">
      <c r="R4190">
        <f>IFERROR(XLOOKUP(XLOOKUP(D4190,tblReleaseChanges[Change_ID],tblReleaseChanges[Oracle_Severity],""),tblSeverityMap[Severity_Text],tblSeverityMap[Score],0),0)</f>
        <v/>
      </c>
      <c r="T4190">
        <f>ROUND((M4190*0.25)+(N4190*0.20)+(O4190*0.15)+(P4190*0.15)+(Q4190*0.10)+(R4190*0.10)+(S4190*0.05),2)</f>
        <v/>
      </c>
      <c r="U4190">
        <f>IF(T4190&gt;=4.25,"Critical",IF(T4190&gt;=3.5,"High",IF(T4190&gt;=2,"Medium","Low")))</f>
        <v/>
      </c>
    </row>
    <row r="4191">
      <c r="R4191">
        <f>IFERROR(XLOOKUP(XLOOKUP(D4191,tblReleaseChanges[Change_ID],tblReleaseChanges[Oracle_Severity],""),tblSeverityMap[Severity_Text],tblSeverityMap[Score],0),0)</f>
        <v/>
      </c>
      <c r="T4191">
        <f>ROUND((M4191*0.25)+(N4191*0.20)+(O4191*0.15)+(P4191*0.15)+(Q4191*0.10)+(R4191*0.10)+(S4191*0.05),2)</f>
        <v/>
      </c>
      <c r="U4191">
        <f>IF(T4191&gt;=4.25,"Critical",IF(T4191&gt;=3.5,"High",IF(T4191&gt;=2,"Medium","Low")))</f>
        <v/>
      </c>
    </row>
    <row r="4192">
      <c r="R4192">
        <f>IFERROR(XLOOKUP(XLOOKUP(D4192,tblReleaseChanges[Change_ID],tblReleaseChanges[Oracle_Severity],""),tblSeverityMap[Severity_Text],tblSeverityMap[Score],0),0)</f>
        <v/>
      </c>
      <c r="T4192">
        <f>ROUND((M4192*0.25)+(N4192*0.20)+(O4192*0.15)+(P4192*0.15)+(Q4192*0.10)+(R4192*0.10)+(S4192*0.05),2)</f>
        <v/>
      </c>
      <c r="U4192">
        <f>IF(T4192&gt;=4.25,"Critical",IF(T4192&gt;=3.5,"High",IF(T4192&gt;=2,"Medium","Low")))</f>
        <v/>
      </c>
    </row>
    <row r="4193">
      <c r="R4193">
        <f>IFERROR(XLOOKUP(XLOOKUP(D4193,tblReleaseChanges[Change_ID],tblReleaseChanges[Oracle_Severity],""),tblSeverityMap[Severity_Text],tblSeverityMap[Score],0),0)</f>
        <v/>
      </c>
      <c r="T4193">
        <f>ROUND((M4193*0.25)+(N4193*0.20)+(O4193*0.15)+(P4193*0.15)+(Q4193*0.10)+(R4193*0.10)+(S4193*0.05),2)</f>
        <v/>
      </c>
      <c r="U4193">
        <f>IF(T4193&gt;=4.25,"Critical",IF(T4193&gt;=3.5,"High",IF(T4193&gt;=2,"Medium","Low")))</f>
        <v/>
      </c>
    </row>
    <row r="4194">
      <c r="R4194">
        <f>IFERROR(XLOOKUP(XLOOKUP(D4194,tblReleaseChanges[Change_ID],tblReleaseChanges[Oracle_Severity],""),tblSeverityMap[Severity_Text],tblSeverityMap[Score],0),0)</f>
        <v/>
      </c>
      <c r="T4194">
        <f>ROUND((M4194*0.25)+(N4194*0.20)+(O4194*0.15)+(P4194*0.15)+(Q4194*0.10)+(R4194*0.10)+(S4194*0.05),2)</f>
        <v/>
      </c>
      <c r="U4194">
        <f>IF(T4194&gt;=4.25,"Critical",IF(T4194&gt;=3.5,"High",IF(T4194&gt;=2,"Medium","Low")))</f>
        <v/>
      </c>
    </row>
    <row r="4195">
      <c r="R4195">
        <f>IFERROR(XLOOKUP(XLOOKUP(D4195,tblReleaseChanges[Change_ID],tblReleaseChanges[Oracle_Severity],""),tblSeverityMap[Severity_Text],tblSeverityMap[Score],0),0)</f>
        <v/>
      </c>
      <c r="T4195">
        <f>ROUND((M4195*0.25)+(N4195*0.20)+(O4195*0.15)+(P4195*0.15)+(Q4195*0.10)+(R4195*0.10)+(S4195*0.05),2)</f>
        <v/>
      </c>
      <c r="U4195">
        <f>IF(T4195&gt;=4.25,"Critical",IF(T4195&gt;=3.5,"High",IF(T4195&gt;=2,"Medium","Low")))</f>
        <v/>
      </c>
    </row>
    <row r="4196">
      <c r="R4196">
        <f>IFERROR(XLOOKUP(XLOOKUP(D4196,tblReleaseChanges[Change_ID],tblReleaseChanges[Oracle_Severity],""),tblSeverityMap[Severity_Text],tblSeverityMap[Score],0),0)</f>
        <v/>
      </c>
      <c r="T4196">
        <f>ROUND((M4196*0.25)+(N4196*0.20)+(O4196*0.15)+(P4196*0.15)+(Q4196*0.10)+(R4196*0.10)+(S4196*0.05),2)</f>
        <v/>
      </c>
      <c r="U4196">
        <f>IF(T4196&gt;=4.25,"Critical",IF(T4196&gt;=3.5,"High",IF(T4196&gt;=2,"Medium","Low")))</f>
        <v/>
      </c>
    </row>
    <row r="4197">
      <c r="R4197">
        <f>IFERROR(XLOOKUP(XLOOKUP(D4197,tblReleaseChanges[Change_ID],tblReleaseChanges[Oracle_Severity],""),tblSeverityMap[Severity_Text],tblSeverityMap[Score],0),0)</f>
        <v/>
      </c>
      <c r="T4197">
        <f>ROUND((M4197*0.25)+(N4197*0.20)+(O4197*0.15)+(P4197*0.15)+(Q4197*0.10)+(R4197*0.10)+(S4197*0.05),2)</f>
        <v/>
      </c>
      <c r="U4197">
        <f>IF(T4197&gt;=4.25,"Critical",IF(T4197&gt;=3.5,"High",IF(T4197&gt;=2,"Medium","Low")))</f>
        <v/>
      </c>
    </row>
    <row r="4198">
      <c r="R4198">
        <f>IFERROR(XLOOKUP(XLOOKUP(D4198,tblReleaseChanges[Change_ID],tblReleaseChanges[Oracle_Severity],""),tblSeverityMap[Severity_Text],tblSeverityMap[Score],0),0)</f>
        <v/>
      </c>
      <c r="T4198">
        <f>ROUND((M4198*0.25)+(N4198*0.20)+(O4198*0.15)+(P4198*0.15)+(Q4198*0.10)+(R4198*0.10)+(S4198*0.05),2)</f>
        <v/>
      </c>
      <c r="U4198">
        <f>IF(T4198&gt;=4.25,"Critical",IF(T4198&gt;=3.5,"High",IF(T4198&gt;=2,"Medium","Low")))</f>
        <v/>
      </c>
    </row>
    <row r="4199">
      <c r="R4199">
        <f>IFERROR(XLOOKUP(XLOOKUP(D4199,tblReleaseChanges[Change_ID],tblReleaseChanges[Oracle_Severity],""),tblSeverityMap[Severity_Text],tblSeverityMap[Score],0),0)</f>
        <v/>
      </c>
      <c r="T4199">
        <f>ROUND((M4199*0.25)+(N4199*0.20)+(O4199*0.15)+(P4199*0.15)+(Q4199*0.10)+(R4199*0.10)+(S4199*0.05),2)</f>
        <v/>
      </c>
      <c r="U4199">
        <f>IF(T4199&gt;=4.25,"Critical",IF(T4199&gt;=3.5,"High",IF(T4199&gt;=2,"Medium","Low")))</f>
        <v/>
      </c>
    </row>
    <row r="4200">
      <c r="R4200">
        <f>IFERROR(XLOOKUP(XLOOKUP(D4200,tblReleaseChanges[Change_ID],tblReleaseChanges[Oracle_Severity],""),tblSeverityMap[Severity_Text],tblSeverityMap[Score],0),0)</f>
        <v/>
      </c>
      <c r="T4200">
        <f>ROUND((M4200*0.25)+(N4200*0.20)+(O4200*0.15)+(P4200*0.15)+(Q4200*0.10)+(R4200*0.10)+(S4200*0.05),2)</f>
        <v/>
      </c>
      <c r="U4200">
        <f>IF(T4200&gt;=4.25,"Critical",IF(T4200&gt;=3.5,"High",IF(T4200&gt;=2,"Medium","Low")))</f>
        <v/>
      </c>
    </row>
    <row r="4201">
      <c r="R4201">
        <f>IFERROR(XLOOKUP(XLOOKUP(D4201,tblReleaseChanges[Change_ID],tblReleaseChanges[Oracle_Severity],""),tblSeverityMap[Severity_Text],tblSeverityMap[Score],0),0)</f>
        <v/>
      </c>
      <c r="T4201">
        <f>ROUND((M4201*0.25)+(N4201*0.20)+(O4201*0.15)+(P4201*0.15)+(Q4201*0.10)+(R4201*0.10)+(S4201*0.05),2)</f>
        <v/>
      </c>
      <c r="U4201">
        <f>IF(T4201&gt;=4.25,"Critical",IF(T4201&gt;=3.5,"High",IF(T4201&gt;=2,"Medium","Low")))</f>
        <v/>
      </c>
    </row>
    <row r="4202">
      <c r="R4202">
        <f>IFERROR(XLOOKUP(XLOOKUP(D4202,tblReleaseChanges[Change_ID],tblReleaseChanges[Oracle_Severity],""),tblSeverityMap[Severity_Text],tblSeverityMap[Score],0),0)</f>
        <v/>
      </c>
      <c r="T4202">
        <f>ROUND((M4202*0.25)+(N4202*0.20)+(O4202*0.15)+(P4202*0.15)+(Q4202*0.10)+(R4202*0.10)+(S4202*0.05),2)</f>
        <v/>
      </c>
      <c r="U4202">
        <f>IF(T4202&gt;=4.25,"Critical",IF(T4202&gt;=3.5,"High",IF(T4202&gt;=2,"Medium","Low")))</f>
        <v/>
      </c>
    </row>
    <row r="4203">
      <c r="R4203">
        <f>IFERROR(XLOOKUP(XLOOKUP(D4203,tblReleaseChanges[Change_ID],tblReleaseChanges[Oracle_Severity],""),tblSeverityMap[Severity_Text],tblSeverityMap[Score],0),0)</f>
        <v/>
      </c>
      <c r="T4203">
        <f>ROUND((M4203*0.25)+(N4203*0.20)+(O4203*0.15)+(P4203*0.15)+(Q4203*0.10)+(R4203*0.10)+(S4203*0.05),2)</f>
        <v/>
      </c>
      <c r="U4203">
        <f>IF(T4203&gt;=4.25,"Critical",IF(T4203&gt;=3.5,"High",IF(T4203&gt;=2,"Medium","Low")))</f>
        <v/>
      </c>
    </row>
    <row r="4204">
      <c r="R4204">
        <f>IFERROR(XLOOKUP(XLOOKUP(D4204,tblReleaseChanges[Change_ID],tblReleaseChanges[Oracle_Severity],""),tblSeverityMap[Severity_Text],tblSeverityMap[Score],0),0)</f>
        <v/>
      </c>
      <c r="T4204">
        <f>ROUND((M4204*0.25)+(N4204*0.20)+(O4204*0.15)+(P4204*0.15)+(Q4204*0.10)+(R4204*0.10)+(S4204*0.05),2)</f>
        <v/>
      </c>
      <c r="U4204">
        <f>IF(T4204&gt;=4.25,"Critical",IF(T4204&gt;=3.5,"High",IF(T4204&gt;=2,"Medium","Low")))</f>
        <v/>
      </c>
    </row>
    <row r="4205">
      <c r="R4205">
        <f>IFERROR(XLOOKUP(XLOOKUP(D4205,tblReleaseChanges[Change_ID],tblReleaseChanges[Oracle_Severity],""),tblSeverityMap[Severity_Text],tblSeverityMap[Score],0),0)</f>
        <v/>
      </c>
      <c r="T4205">
        <f>ROUND((M4205*0.25)+(N4205*0.20)+(O4205*0.15)+(P4205*0.15)+(Q4205*0.10)+(R4205*0.10)+(S4205*0.05),2)</f>
        <v/>
      </c>
      <c r="U4205">
        <f>IF(T4205&gt;=4.25,"Critical",IF(T4205&gt;=3.5,"High",IF(T4205&gt;=2,"Medium","Low")))</f>
        <v/>
      </c>
    </row>
    <row r="4206">
      <c r="R4206">
        <f>IFERROR(XLOOKUP(XLOOKUP(D4206,tblReleaseChanges[Change_ID],tblReleaseChanges[Oracle_Severity],""),tblSeverityMap[Severity_Text],tblSeverityMap[Score],0),0)</f>
        <v/>
      </c>
      <c r="T4206">
        <f>ROUND((M4206*0.25)+(N4206*0.20)+(O4206*0.15)+(P4206*0.15)+(Q4206*0.10)+(R4206*0.10)+(S4206*0.05),2)</f>
        <v/>
      </c>
      <c r="U4206">
        <f>IF(T4206&gt;=4.25,"Critical",IF(T4206&gt;=3.5,"High",IF(T4206&gt;=2,"Medium","Low")))</f>
        <v/>
      </c>
    </row>
    <row r="4207">
      <c r="R4207">
        <f>IFERROR(XLOOKUP(XLOOKUP(D4207,tblReleaseChanges[Change_ID],tblReleaseChanges[Oracle_Severity],""),tblSeverityMap[Severity_Text],tblSeverityMap[Score],0),0)</f>
        <v/>
      </c>
      <c r="T4207">
        <f>ROUND((M4207*0.25)+(N4207*0.20)+(O4207*0.15)+(P4207*0.15)+(Q4207*0.10)+(R4207*0.10)+(S4207*0.05),2)</f>
        <v/>
      </c>
      <c r="U4207">
        <f>IF(T4207&gt;=4.25,"Critical",IF(T4207&gt;=3.5,"High",IF(T4207&gt;=2,"Medium","Low")))</f>
        <v/>
      </c>
    </row>
    <row r="4208">
      <c r="R4208">
        <f>IFERROR(XLOOKUP(XLOOKUP(D4208,tblReleaseChanges[Change_ID],tblReleaseChanges[Oracle_Severity],""),tblSeverityMap[Severity_Text],tblSeverityMap[Score],0),0)</f>
        <v/>
      </c>
      <c r="T4208">
        <f>ROUND((M4208*0.25)+(N4208*0.20)+(O4208*0.15)+(P4208*0.15)+(Q4208*0.10)+(R4208*0.10)+(S4208*0.05),2)</f>
        <v/>
      </c>
      <c r="U4208">
        <f>IF(T4208&gt;=4.25,"Critical",IF(T4208&gt;=3.5,"High",IF(T4208&gt;=2,"Medium","Low")))</f>
        <v/>
      </c>
    </row>
    <row r="4209">
      <c r="R4209">
        <f>IFERROR(XLOOKUP(XLOOKUP(D4209,tblReleaseChanges[Change_ID],tblReleaseChanges[Oracle_Severity],""),tblSeverityMap[Severity_Text],tblSeverityMap[Score],0),0)</f>
        <v/>
      </c>
      <c r="T4209">
        <f>ROUND((M4209*0.25)+(N4209*0.20)+(O4209*0.15)+(P4209*0.15)+(Q4209*0.10)+(R4209*0.10)+(S4209*0.05),2)</f>
        <v/>
      </c>
      <c r="U4209">
        <f>IF(T4209&gt;=4.25,"Critical",IF(T4209&gt;=3.5,"High",IF(T4209&gt;=2,"Medium","Low")))</f>
        <v/>
      </c>
    </row>
    <row r="4210">
      <c r="R4210">
        <f>IFERROR(XLOOKUP(XLOOKUP(D4210,tblReleaseChanges[Change_ID],tblReleaseChanges[Oracle_Severity],""),tblSeverityMap[Severity_Text],tblSeverityMap[Score],0),0)</f>
        <v/>
      </c>
      <c r="T4210">
        <f>ROUND((M4210*0.25)+(N4210*0.20)+(O4210*0.15)+(P4210*0.15)+(Q4210*0.10)+(R4210*0.10)+(S4210*0.05),2)</f>
        <v/>
      </c>
      <c r="U4210">
        <f>IF(T4210&gt;=4.25,"Critical",IF(T4210&gt;=3.5,"High",IF(T4210&gt;=2,"Medium","Low")))</f>
        <v/>
      </c>
    </row>
    <row r="4211">
      <c r="R4211">
        <f>IFERROR(XLOOKUP(XLOOKUP(D4211,tblReleaseChanges[Change_ID],tblReleaseChanges[Oracle_Severity],""),tblSeverityMap[Severity_Text],tblSeverityMap[Score],0),0)</f>
        <v/>
      </c>
      <c r="T4211">
        <f>ROUND((M4211*0.25)+(N4211*0.20)+(O4211*0.15)+(P4211*0.15)+(Q4211*0.10)+(R4211*0.10)+(S4211*0.05),2)</f>
        <v/>
      </c>
      <c r="U4211">
        <f>IF(T4211&gt;=4.25,"Critical",IF(T4211&gt;=3.5,"High",IF(T4211&gt;=2,"Medium","Low")))</f>
        <v/>
      </c>
    </row>
    <row r="4212">
      <c r="R4212">
        <f>IFERROR(XLOOKUP(XLOOKUP(D4212,tblReleaseChanges[Change_ID],tblReleaseChanges[Oracle_Severity],""),tblSeverityMap[Severity_Text],tblSeverityMap[Score],0),0)</f>
        <v/>
      </c>
      <c r="T4212">
        <f>ROUND((M4212*0.25)+(N4212*0.20)+(O4212*0.15)+(P4212*0.15)+(Q4212*0.10)+(R4212*0.10)+(S4212*0.05),2)</f>
        <v/>
      </c>
      <c r="U4212">
        <f>IF(T4212&gt;=4.25,"Critical",IF(T4212&gt;=3.5,"High",IF(T4212&gt;=2,"Medium","Low")))</f>
        <v/>
      </c>
    </row>
    <row r="4213">
      <c r="R4213">
        <f>IFERROR(XLOOKUP(XLOOKUP(D4213,tblReleaseChanges[Change_ID],tblReleaseChanges[Oracle_Severity],""),tblSeverityMap[Severity_Text],tblSeverityMap[Score],0),0)</f>
        <v/>
      </c>
      <c r="T4213">
        <f>ROUND((M4213*0.25)+(N4213*0.20)+(O4213*0.15)+(P4213*0.15)+(Q4213*0.10)+(R4213*0.10)+(S4213*0.05),2)</f>
        <v/>
      </c>
      <c r="U4213">
        <f>IF(T4213&gt;=4.25,"Critical",IF(T4213&gt;=3.5,"High",IF(T4213&gt;=2,"Medium","Low")))</f>
        <v/>
      </c>
    </row>
    <row r="4214">
      <c r="R4214">
        <f>IFERROR(XLOOKUP(XLOOKUP(D4214,tblReleaseChanges[Change_ID],tblReleaseChanges[Oracle_Severity],""),tblSeverityMap[Severity_Text],tblSeverityMap[Score],0),0)</f>
        <v/>
      </c>
      <c r="T4214">
        <f>ROUND((M4214*0.25)+(N4214*0.20)+(O4214*0.15)+(P4214*0.15)+(Q4214*0.10)+(R4214*0.10)+(S4214*0.05),2)</f>
        <v/>
      </c>
      <c r="U4214">
        <f>IF(T4214&gt;=4.25,"Critical",IF(T4214&gt;=3.5,"High",IF(T4214&gt;=2,"Medium","Low")))</f>
        <v/>
      </c>
    </row>
    <row r="4215">
      <c r="R4215">
        <f>IFERROR(XLOOKUP(XLOOKUP(D4215,tblReleaseChanges[Change_ID],tblReleaseChanges[Oracle_Severity],""),tblSeverityMap[Severity_Text],tblSeverityMap[Score],0),0)</f>
        <v/>
      </c>
      <c r="T4215">
        <f>ROUND((M4215*0.25)+(N4215*0.20)+(O4215*0.15)+(P4215*0.15)+(Q4215*0.10)+(R4215*0.10)+(S4215*0.05),2)</f>
        <v/>
      </c>
      <c r="U4215">
        <f>IF(T4215&gt;=4.25,"Critical",IF(T4215&gt;=3.5,"High",IF(T4215&gt;=2,"Medium","Low")))</f>
        <v/>
      </c>
    </row>
    <row r="4216">
      <c r="R4216">
        <f>IFERROR(XLOOKUP(XLOOKUP(D4216,tblReleaseChanges[Change_ID],tblReleaseChanges[Oracle_Severity],""),tblSeverityMap[Severity_Text],tblSeverityMap[Score],0),0)</f>
        <v/>
      </c>
      <c r="T4216">
        <f>ROUND((M4216*0.25)+(N4216*0.20)+(O4216*0.15)+(P4216*0.15)+(Q4216*0.10)+(R4216*0.10)+(S4216*0.05),2)</f>
        <v/>
      </c>
      <c r="U4216">
        <f>IF(T4216&gt;=4.25,"Critical",IF(T4216&gt;=3.5,"High",IF(T4216&gt;=2,"Medium","Low")))</f>
        <v/>
      </c>
    </row>
    <row r="4217">
      <c r="R4217">
        <f>IFERROR(XLOOKUP(XLOOKUP(D4217,tblReleaseChanges[Change_ID],tblReleaseChanges[Oracle_Severity],""),tblSeverityMap[Severity_Text],tblSeverityMap[Score],0),0)</f>
        <v/>
      </c>
      <c r="T4217">
        <f>ROUND((M4217*0.25)+(N4217*0.20)+(O4217*0.15)+(P4217*0.15)+(Q4217*0.10)+(R4217*0.10)+(S4217*0.05),2)</f>
        <v/>
      </c>
      <c r="U4217">
        <f>IF(T4217&gt;=4.25,"Critical",IF(T4217&gt;=3.5,"High",IF(T4217&gt;=2,"Medium","Low")))</f>
        <v/>
      </c>
    </row>
    <row r="4218">
      <c r="R4218">
        <f>IFERROR(XLOOKUP(XLOOKUP(D4218,tblReleaseChanges[Change_ID],tblReleaseChanges[Oracle_Severity],""),tblSeverityMap[Severity_Text],tblSeverityMap[Score],0),0)</f>
        <v/>
      </c>
      <c r="T4218">
        <f>ROUND((M4218*0.25)+(N4218*0.20)+(O4218*0.15)+(P4218*0.15)+(Q4218*0.10)+(R4218*0.10)+(S4218*0.05),2)</f>
        <v/>
      </c>
      <c r="U4218">
        <f>IF(T4218&gt;=4.25,"Critical",IF(T4218&gt;=3.5,"High",IF(T4218&gt;=2,"Medium","Low")))</f>
        <v/>
      </c>
    </row>
    <row r="4219">
      <c r="R4219">
        <f>IFERROR(XLOOKUP(XLOOKUP(D4219,tblReleaseChanges[Change_ID],tblReleaseChanges[Oracle_Severity],""),tblSeverityMap[Severity_Text],tblSeverityMap[Score],0),0)</f>
        <v/>
      </c>
      <c r="T4219">
        <f>ROUND((M4219*0.25)+(N4219*0.20)+(O4219*0.15)+(P4219*0.15)+(Q4219*0.10)+(R4219*0.10)+(S4219*0.05),2)</f>
        <v/>
      </c>
      <c r="U4219">
        <f>IF(T4219&gt;=4.25,"Critical",IF(T4219&gt;=3.5,"High",IF(T4219&gt;=2,"Medium","Low")))</f>
        <v/>
      </c>
    </row>
    <row r="4220">
      <c r="R4220">
        <f>IFERROR(XLOOKUP(XLOOKUP(D4220,tblReleaseChanges[Change_ID],tblReleaseChanges[Oracle_Severity],""),tblSeverityMap[Severity_Text],tblSeverityMap[Score],0),0)</f>
        <v/>
      </c>
      <c r="T4220">
        <f>ROUND((M4220*0.25)+(N4220*0.20)+(O4220*0.15)+(P4220*0.15)+(Q4220*0.10)+(R4220*0.10)+(S4220*0.05),2)</f>
        <v/>
      </c>
      <c r="U4220">
        <f>IF(T4220&gt;=4.25,"Critical",IF(T4220&gt;=3.5,"High",IF(T4220&gt;=2,"Medium","Low")))</f>
        <v/>
      </c>
    </row>
    <row r="4221">
      <c r="R4221">
        <f>IFERROR(XLOOKUP(XLOOKUP(D4221,tblReleaseChanges[Change_ID],tblReleaseChanges[Oracle_Severity],""),tblSeverityMap[Severity_Text],tblSeverityMap[Score],0),0)</f>
        <v/>
      </c>
      <c r="T4221">
        <f>ROUND((M4221*0.25)+(N4221*0.20)+(O4221*0.15)+(P4221*0.15)+(Q4221*0.10)+(R4221*0.10)+(S4221*0.05),2)</f>
        <v/>
      </c>
      <c r="U4221">
        <f>IF(T4221&gt;=4.25,"Critical",IF(T4221&gt;=3.5,"High",IF(T4221&gt;=2,"Medium","Low")))</f>
        <v/>
      </c>
    </row>
    <row r="4222">
      <c r="R4222">
        <f>IFERROR(XLOOKUP(XLOOKUP(D4222,tblReleaseChanges[Change_ID],tblReleaseChanges[Oracle_Severity],""),tblSeverityMap[Severity_Text],tblSeverityMap[Score],0),0)</f>
        <v/>
      </c>
      <c r="T4222">
        <f>ROUND((M4222*0.25)+(N4222*0.20)+(O4222*0.15)+(P4222*0.15)+(Q4222*0.10)+(R4222*0.10)+(S4222*0.05),2)</f>
        <v/>
      </c>
      <c r="U4222">
        <f>IF(T4222&gt;=4.25,"Critical",IF(T4222&gt;=3.5,"High",IF(T4222&gt;=2,"Medium","Low")))</f>
        <v/>
      </c>
    </row>
    <row r="4223">
      <c r="R4223">
        <f>IFERROR(XLOOKUP(XLOOKUP(D4223,tblReleaseChanges[Change_ID],tblReleaseChanges[Oracle_Severity],""),tblSeverityMap[Severity_Text],tblSeverityMap[Score],0),0)</f>
        <v/>
      </c>
      <c r="T4223">
        <f>ROUND((M4223*0.25)+(N4223*0.20)+(O4223*0.15)+(P4223*0.15)+(Q4223*0.10)+(R4223*0.10)+(S4223*0.05),2)</f>
        <v/>
      </c>
      <c r="U4223">
        <f>IF(T4223&gt;=4.25,"Critical",IF(T4223&gt;=3.5,"High",IF(T4223&gt;=2,"Medium","Low")))</f>
        <v/>
      </c>
    </row>
    <row r="4224">
      <c r="R4224">
        <f>IFERROR(XLOOKUP(XLOOKUP(D4224,tblReleaseChanges[Change_ID],tblReleaseChanges[Oracle_Severity],""),tblSeverityMap[Severity_Text],tblSeverityMap[Score],0),0)</f>
        <v/>
      </c>
      <c r="T4224">
        <f>ROUND((M4224*0.25)+(N4224*0.20)+(O4224*0.15)+(P4224*0.15)+(Q4224*0.10)+(R4224*0.10)+(S4224*0.05),2)</f>
        <v/>
      </c>
      <c r="U4224">
        <f>IF(T4224&gt;=4.25,"Critical",IF(T4224&gt;=3.5,"High",IF(T4224&gt;=2,"Medium","Low")))</f>
        <v/>
      </c>
    </row>
    <row r="4225">
      <c r="R4225">
        <f>IFERROR(XLOOKUP(XLOOKUP(D4225,tblReleaseChanges[Change_ID],tblReleaseChanges[Oracle_Severity],""),tblSeverityMap[Severity_Text],tblSeverityMap[Score],0),0)</f>
        <v/>
      </c>
      <c r="T4225">
        <f>ROUND((M4225*0.25)+(N4225*0.20)+(O4225*0.15)+(P4225*0.15)+(Q4225*0.10)+(R4225*0.10)+(S4225*0.05),2)</f>
        <v/>
      </c>
      <c r="U4225">
        <f>IF(T4225&gt;=4.25,"Critical",IF(T4225&gt;=3.5,"High",IF(T4225&gt;=2,"Medium","Low")))</f>
        <v/>
      </c>
    </row>
    <row r="4226">
      <c r="R4226">
        <f>IFERROR(XLOOKUP(XLOOKUP(D4226,tblReleaseChanges[Change_ID],tblReleaseChanges[Oracle_Severity],""),tblSeverityMap[Severity_Text],tblSeverityMap[Score],0),0)</f>
        <v/>
      </c>
      <c r="T4226">
        <f>ROUND((M4226*0.25)+(N4226*0.20)+(O4226*0.15)+(P4226*0.15)+(Q4226*0.10)+(R4226*0.10)+(S4226*0.05),2)</f>
        <v/>
      </c>
      <c r="U4226">
        <f>IF(T4226&gt;=4.25,"Critical",IF(T4226&gt;=3.5,"High",IF(T4226&gt;=2,"Medium","Low")))</f>
        <v/>
      </c>
    </row>
    <row r="4227">
      <c r="R4227">
        <f>IFERROR(XLOOKUP(XLOOKUP(D4227,tblReleaseChanges[Change_ID],tblReleaseChanges[Oracle_Severity],""),tblSeverityMap[Severity_Text],tblSeverityMap[Score],0),0)</f>
        <v/>
      </c>
      <c r="T4227">
        <f>ROUND((M4227*0.25)+(N4227*0.20)+(O4227*0.15)+(P4227*0.15)+(Q4227*0.10)+(R4227*0.10)+(S4227*0.05),2)</f>
        <v/>
      </c>
      <c r="U4227">
        <f>IF(T4227&gt;=4.25,"Critical",IF(T4227&gt;=3.5,"High",IF(T4227&gt;=2,"Medium","Low")))</f>
        <v/>
      </c>
    </row>
    <row r="4228">
      <c r="R4228">
        <f>IFERROR(XLOOKUP(XLOOKUP(D4228,tblReleaseChanges[Change_ID],tblReleaseChanges[Oracle_Severity],""),tblSeverityMap[Severity_Text],tblSeverityMap[Score],0),0)</f>
        <v/>
      </c>
      <c r="T4228">
        <f>ROUND((M4228*0.25)+(N4228*0.20)+(O4228*0.15)+(P4228*0.15)+(Q4228*0.10)+(R4228*0.10)+(S4228*0.05),2)</f>
        <v/>
      </c>
      <c r="U4228">
        <f>IF(T4228&gt;=4.25,"Critical",IF(T4228&gt;=3.5,"High",IF(T4228&gt;=2,"Medium","Low")))</f>
        <v/>
      </c>
    </row>
    <row r="4229">
      <c r="R4229">
        <f>IFERROR(XLOOKUP(XLOOKUP(D4229,tblReleaseChanges[Change_ID],tblReleaseChanges[Oracle_Severity],""),tblSeverityMap[Severity_Text],tblSeverityMap[Score],0),0)</f>
        <v/>
      </c>
      <c r="T4229">
        <f>ROUND((M4229*0.25)+(N4229*0.20)+(O4229*0.15)+(P4229*0.15)+(Q4229*0.10)+(R4229*0.10)+(S4229*0.05),2)</f>
        <v/>
      </c>
      <c r="U4229">
        <f>IF(T4229&gt;=4.25,"Critical",IF(T4229&gt;=3.5,"High",IF(T4229&gt;=2,"Medium","Low")))</f>
        <v/>
      </c>
    </row>
    <row r="4230">
      <c r="R4230">
        <f>IFERROR(XLOOKUP(XLOOKUP(D4230,tblReleaseChanges[Change_ID],tblReleaseChanges[Oracle_Severity],""),tblSeverityMap[Severity_Text],tblSeverityMap[Score],0),0)</f>
        <v/>
      </c>
      <c r="T4230">
        <f>ROUND((M4230*0.25)+(N4230*0.20)+(O4230*0.15)+(P4230*0.15)+(Q4230*0.10)+(R4230*0.10)+(S4230*0.05),2)</f>
        <v/>
      </c>
      <c r="U4230">
        <f>IF(T4230&gt;=4.25,"Critical",IF(T4230&gt;=3.5,"High",IF(T4230&gt;=2,"Medium","Low")))</f>
        <v/>
      </c>
    </row>
    <row r="4231">
      <c r="R4231">
        <f>IFERROR(XLOOKUP(XLOOKUP(D4231,tblReleaseChanges[Change_ID],tblReleaseChanges[Oracle_Severity],""),tblSeverityMap[Severity_Text],tblSeverityMap[Score],0),0)</f>
        <v/>
      </c>
      <c r="T4231">
        <f>ROUND((M4231*0.25)+(N4231*0.20)+(O4231*0.15)+(P4231*0.15)+(Q4231*0.10)+(R4231*0.10)+(S4231*0.05),2)</f>
        <v/>
      </c>
      <c r="U4231">
        <f>IF(T4231&gt;=4.25,"Critical",IF(T4231&gt;=3.5,"High",IF(T4231&gt;=2,"Medium","Low")))</f>
        <v/>
      </c>
    </row>
    <row r="4232">
      <c r="R4232">
        <f>IFERROR(XLOOKUP(XLOOKUP(D4232,tblReleaseChanges[Change_ID],tblReleaseChanges[Oracle_Severity],""),tblSeverityMap[Severity_Text],tblSeverityMap[Score],0),0)</f>
        <v/>
      </c>
      <c r="T4232">
        <f>ROUND((M4232*0.25)+(N4232*0.20)+(O4232*0.15)+(P4232*0.15)+(Q4232*0.10)+(R4232*0.10)+(S4232*0.05),2)</f>
        <v/>
      </c>
      <c r="U4232">
        <f>IF(T4232&gt;=4.25,"Critical",IF(T4232&gt;=3.5,"High",IF(T4232&gt;=2,"Medium","Low")))</f>
        <v/>
      </c>
    </row>
    <row r="4233">
      <c r="R4233">
        <f>IFERROR(XLOOKUP(XLOOKUP(D4233,tblReleaseChanges[Change_ID],tblReleaseChanges[Oracle_Severity],""),tblSeverityMap[Severity_Text],tblSeverityMap[Score],0),0)</f>
        <v/>
      </c>
      <c r="T4233">
        <f>ROUND((M4233*0.25)+(N4233*0.20)+(O4233*0.15)+(P4233*0.15)+(Q4233*0.10)+(R4233*0.10)+(S4233*0.05),2)</f>
        <v/>
      </c>
      <c r="U4233">
        <f>IF(T4233&gt;=4.25,"Critical",IF(T4233&gt;=3.5,"High",IF(T4233&gt;=2,"Medium","Low")))</f>
        <v/>
      </c>
    </row>
    <row r="4234">
      <c r="R4234">
        <f>IFERROR(XLOOKUP(XLOOKUP(D4234,tblReleaseChanges[Change_ID],tblReleaseChanges[Oracle_Severity],""),tblSeverityMap[Severity_Text],tblSeverityMap[Score],0),0)</f>
        <v/>
      </c>
      <c r="T4234">
        <f>ROUND((M4234*0.25)+(N4234*0.20)+(O4234*0.15)+(P4234*0.15)+(Q4234*0.10)+(R4234*0.10)+(S4234*0.05),2)</f>
        <v/>
      </c>
      <c r="U4234">
        <f>IF(T4234&gt;=4.25,"Critical",IF(T4234&gt;=3.5,"High",IF(T4234&gt;=2,"Medium","Low")))</f>
        <v/>
      </c>
    </row>
    <row r="4235">
      <c r="R4235">
        <f>IFERROR(XLOOKUP(XLOOKUP(D4235,tblReleaseChanges[Change_ID],tblReleaseChanges[Oracle_Severity],""),tblSeverityMap[Severity_Text],tblSeverityMap[Score],0),0)</f>
        <v/>
      </c>
      <c r="T4235">
        <f>ROUND((M4235*0.25)+(N4235*0.20)+(O4235*0.15)+(P4235*0.15)+(Q4235*0.10)+(R4235*0.10)+(S4235*0.05),2)</f>
        <v/>
      </c>
      <c r="U4235">
        <f>IF(T4235&gt;=4.25,"Critical",IF(T4235&gt;=3.5,"High",IF(T4235&gt;=2,"Medium","Low")))</f>
        <v/>
      </c>
    </row>
    <row r="4236">
      <c r="R4236">
        <f>IFERROR(XLOOKUP(XLOOKUP(D4236,tblReleaseChanges[Change_ID],tblReleaseChanges[Oracle_Severity],""),tblSeverityMap[Severity_Text],tblSeverityMap[Score],0),0)</f>
        <v/>
      </c>
      <c r="T4236">
        <f>ROUND((M4236*0.25)+(N4236*0.20)+(O4236*0.15)+(P4236*0.15)+(Q4236*0.10)+(R4236*0.10)+(S4236*0.05),2)</f>
        <v/>
      </c>
      <c r="U4236">
        <f>IF(T4236&gt;=4.25,"Critical",IF(T4236&gt;=3.5,"High",IF(T4236&gt;=2,"Medium","Low")))</f>
        <v/>
      </c>
    </row>
    <row r="4237">
      <c r="R4237">
        <f>IFERROR(XLOOKUP(XLOOKUP(D4237,tblReleaseChanges[Change_ID],tblReleaseChanges[Oracle_Severity],""),tblSeverityMap[Severity_Text],tblSeverityMap[Score],0),0)</f>
        <v/>
      </c>
      <c r="T4237">
        <f>ROUND((M4237*0.25)+(N4237*0.20)+(O4237*0.15)+(P4237*0.15)+(Q4237*0.10)+(R4237*0.10)+(S4237*0.05),2)</f>
        <v/>
      </c>
      <c r="U4237">
        <f>IF(T4237&gt;=4.25,"Critical",IF(T4237&gt;=3.5,"High",IF(T4237&gt;=2,"Medium","Low")))</f>
        <v/>
      </c>
    </row>
    <row r="4238">
      <c r="R4238">
        <f>IFERROR(XLOOKUP(XLOOKUP(D4238,tblReleaseChanges[Change_ID],tblReleaseChanges[Oracle_Severity],""),tblSeverityMap[Severity_Text],tblSeverityMap[Score],0),0)</f>
        <v/>
      </c>
      <c r="T4238">
        <f>ROUND((M4238*0.25)+(N4238*0.20)+(O4238*0.15)+(P4238*0.15)+(Q4238*0.10)+(R4238*0.10)+(S4238*0.05),2)</f>
        <v/>
      </c>
      <c r="U4238">
        <f>IF(T4238&gt;=4.25,"Critical",IF(T4238&gt;=3.5,"High",IF(T4238&gt;=2,"Medium","Low")))</f>
        <v/>
      </c>
    </row>
    <row r="4239">
      <c r="R4239">
        <f>IFERROR(XLOOKUP(XLOOKUP(D4239,tblReleaseChanges[Change_ID],tblReleaseChanges[Oracle_Severity],""),tblSeverityMap[Severity_Text],tblSeverityMap[Score],0),0)</f>
        <v/>
      </c>
      <c r="T4239">
        <f>ROUND((M4239*0.25)+(N4239*0.20)+(O4239*0.15)+(P4239*0.15)+(Q4239*0.10)+(R4239*0.10)+(S4239*0.05),2)</f>
        <v/>
      </c>
      <c r="U4239">
        <f>IF(T4239&gt;=4.25,"Critical",IF(T4239&gt;=3.5,"High",IF(T4239&gt;=2,"Medium","Low")))</f>
        <v/>
      </c>
    </row>
    <row r="4240">
      <c r="R4240">
        <f>IFERROR(XLOOKUP(XLOOKUP(D4240,tblReleaseChanges[Change_ID],tblReleaseChanges[Oracle_Severity],""),tblSeverityMap[Severity_Text],tblSeverityMap[Score],0),0)</f>
        <v/>
      </c>
      <c r="T4240">
        <f>ROUND((M4240*0.25)+(N4240*0.20)+(O4240*0.15)+(P4240*0.15)+(Q4240*0.10)+(R4240*0.10)+(S4240*0.05),2)</f>
        <v/>
      </c>
      <c r="U4240">
        <f>IF(T4240&gt;=4.25,"Critical",IF(T4240&gt;=3.5,"High",IF(T4240&gt;=2,"Medium","Low")))</f>
        <v/>
      </c>
    </row>
    <row r="4241">
      <c r="R4241">
        <f>IFERROR(XLOOKUP(XLOOKUP(D4241,tblReleaseChanges[Change_ID],tblReleaseChanges[Oracle_Severity],""),tblSeverityMap[Severity_Text],tblSeverityMap[Score],0),0)</f>
        <v/>
      </c>
      <c r="T4241">
        <f>ROUND((M4241*0.25)+(N4241*0.20)+(O4241*0.15)+(P4241*0.15)+(Q4241*0.10)+(R4241*0.10)+(S4241*0.05),2)</f>
        <v/>
      </c>
      <c r="U4241">
        <f>IF(T4241&gt;=4.25,"Critical",IF(T4241&gt;=3.5,"High",IF(T4241&gt;=2,"Medium","Low")))</f>
        <v/>
      </c>
    </row>
    <row r="4242">
      <c r="R4242">
        <f>IFERROR(XLOOKUP(XLOOKUP(D4242,tblReleaseChanges[Change_ID],tblReleaseChanges[Oracle_Severity],""),tblSeverityMap[Severity_Text],tblSeverityMap[Score],0),0)</f>
        <v/>
      </c>
      <c r="T4242">
        <f>ROUND((M4242*0.25)+(N4242*0.20)+(O4242*0.15)+(P4242*0.15)+(Q4242*0.10)+(R4242*0.10)+(S4242*0.05),2)</f>
        <v/>
      </c>
      <c r="U4242">
        <f>IF(T4242&gt;=4.25,"Critical",IF(T4242&gt;=3.5,"High",IF(T4242&gt;=2,"Medium","Low")))</f>
        <v/>
      </c>
    </row>
    <row r="4243">
      <c r="R4243">
        <f>IFERROR(XLOOKUP(XLOOKUP(D4243,tblReleaseChanges[Change_ID],tblReleaseChanges[Oracle_Severity],""),tblSeverityMap[Severity_Text],tblSeverityMap[Score],0),0)</f>
        <v/>
      </c>
      <c r="T4243">
        <f>ROUND((M4243*0.25)+(N4243*0.20)+(O4243*0.15)+(P4243*0.15)+(Q4243*0.10)+(R4243*0.10)+(S4243*0.05),2)</f>
        <v/>
      </c>
      <c r="U4243">
        <f>IF(T4243&gt;=4.25,"Critical",IF(T4243&gt;=3.5,"High",IF(T4243&gt;=2,"Medium","Low")))</f>
        <v/>
      </c>
    </row>
    <row r="4244">
      <c r="R4244">
        <f>IFERROR(XLOOKUP(XLOOKUP(D4244,tblReleaseChanges[Change_ID],tblReleaseChanges[Oracle_Severity],""),tblSeverityMap[Severity_Text],tblSeverityMap[Score],0),0)</f>
        <v/>
      </c>
      <c r="T4244">
        <f>ROUND((M4244*0.25)+(N4244*0.20)+(O4244*0.15)+(P4244*0.15)+(Q4244*0.10)+(R4244*0.10)+(S4244*0.05),2)</f>
        <v/>
      </c>
      <c r="U4244">
        <f>IF(T4244&gt;=4.25,"Critical",IF(T4244&gt;=3.5,"High",IF(T4244&gt;=2,"Medium","Low")))</f>
        <v/>
      </c>
    </row>
    <row r="4245">
      <c r="R4245">
        <f>IFERROR(XLOOKUP(XLOOKUP(D4245,tblReleaseChanges[Change_ID],tblReleaseChanges[Oracle_Severity],""),tblSeverityMap[Severity_Text],tblSeverityMap[Score],0),0)</f>
        <v/>
      </c>
      <c r="T4245">
        <f>ROUND((M4245*0.25)+(N4245*0.20)+(O4245*0.15)+(P4245*0.15)+(Q4245*0.10)+(R4245*0.10)+(S4245*0.05),2)</f>
        <v/>
      </c>
      <c r="U4245">
        <f>IF(T4245&gt;=4.25,"Critical",IF(T4245&gt;=3.5,"High",IF(T4245&gt;=2,"Medium","Low")))</f>
        <v/>
      </c>
    </row>
    <row r="4246">
      <c r="R4246">
        <f>IFERROR(XLOOKUP(XLOOKUP(D4246,tblReleaseChanges[Change_ID],tblReleaseChanges[Oracle_Severity],""),tblSeverityMap[Severity_Text],tblSeverityMap[Score],0),0)</f>
        <v/>
      </c>
      <c r="T4246">
        <f>ROUND((M4246*0.25)+(N4246*0.20)+(O4246*0.15)+(P4246*0.15)+(Q4246*0.10)+(R4246*0.10)+(S4246*0.05),2)</f>
        <v/>
      </c>
      <c r="U4246">
        <f>IF(T4246&gt;=4.25,"Critical",IF(T4246&gt;=3.5,"High",IF(T4246&gt;=2,"Medium","Low")))</f>
        <v/>
      </c>
    </row>
    <row r="4247">
      <c r="R4247">
        <f>IFERROR(XLOOKUP(XLOOKUP(D4247,tblReleaseChanges[Change_ID],tblReleaseChanges[Oracle_Severity],""),tblSeverityMap[Severity_Text],tblSeverityMap[Score],0),0)</f>
        <v/>
      </c>
      <c r="T4247">
        <f>ROUND((M4247*0.25)+(N4247*0.20)+(O4247*0.15)+(P4247*0.15)+(Q4247*0.10)+(R4247*0.10)+(S4247*0.05),2)</f>
        <v/>
      </c>
      <c r="U4247">
        <f>IF(T4247&gt;=4.25,"Critical",IF(T4247&gt;=3.5,"High",IF(T4247&gt;=2,"Medium","Low")))</f>
        <v/>
      </c>
    </row>
    <row r="4248">
      <c r="R4248">
        <f>IFERROR(XLOOKUP(XLOOKUP(D4248,tblReleaseChanges[Change_ID],tblReleaseChanges[Oracle_Severity],""),tblSeverityMap[Severity_Text],tblSeverityMap[Score],0),0)</f>
        <v/>
      </c>
      <c r="T4248">
        <f>ROUND((M4248*0.25)+(N4248*0.20)+(O4248*0.15)+(P4248*0.15)+(Q4248*0.10)+(R4248*0.10)+(S4248*0.05),2)</f>
        <v/>
      </c>
      <c r="U4248">
        <f>IF(T4248&gt;=4.25,"Critical",IF(T4248&gt;=3.5,"High",IF(T4248&gt;=2,"Medium","Low")))</f>
        <v/>
      </c>
    </row>
    <row r="4249">
      <c r="R4249">
        <f>IFERROR(XLOOKUP(XLOOKUP(D4249,tblReleaseChanges[Change_ID],tblReleaseChanges[Oracle_Severity],""),tblSeverityMap[Severity_Text],tblSeverityMap[Score],0),0)</f>
        <v/>
      </c>
      <c r="T4249">
        <f>ROUND((M4249*0.25)+(N4249*0.20)+(O4249*0.15)+(P4249*0.15)+(Q4249*0.10)+(R4249*0.10)+(S4249*0.05),2)</f>
        <v/>
      </c>
      <c r="U4249">
        <f>IF(T4249&gt;=4.25,"Critical",IF(T4249&gt;=3.5,"High",IF(T4249&gt;=2,"Medium","Low")))</f>
        <v/>
      </c>
    </row>
    <row r="4250">
      <c r="R4250">
        <f>IFERROR(XLOOKUP(XLOOKUP(D4250,tblReleaseChanges[Change_ID],tblReleaseChanges[Oracle_Severity],""),tblSeverityMap[Severity_Text],tblSeverityMap[Score],0),0)</f>
        <v/>
      </c>
      <c r="T4250">
        <f>ROUND((M4250*0.25)+(N4250*0.20)+(O4250*0.15)+(P4250*0.15)+(Q4250*0.10)+(R4250*0.10)+(S4250*0.05),2)</f>
        <v/>
      </c>
      <c r="U4250">
        <f>IF(T4250&gt;=4.25,"Critical",IF(T4250&gt;=3.5,"High",IF(T4250&gt;=2,"Medium","Low")))</f>
        <v/>
      </c>
    </row>
    <row r="4251">
      <c r="R4251">
        <f>IFERROR(XLOOKUP(XLOOKUP(D4251,tblReleaseChanges[Change_ID],tblReleaseChanges[Oracle_Severity],""),tblSeverityMap[Severity_Text],tblSeverityMap[Score],0),0)</f>
        <v/>
      </c>
      <c r="T4251">
        <f>ROUND((M4251*0.25)+(N4251*0.20)+(O4251*0.15)+(P4251*0.15)+(Q4251*0.10)+(R4251*0.10)+(S4251*0.05),2)</f>
        <v/>
      </c>
      <c r="U4251">
        <f>IF(T4251&gt;=4.25,"Critical",IF(T4251&gt;=3.5,"High",IF(T4251&gt;=2,"Medium","Low")))</f>
        <v/>
      </c>
    </row>
    <row r="4252">
      <c r="R4252">
        <f>IFERROR(XLOOKUP(XLOOKUP(D4252,tblReleaseChanges[Change_ID],tblReleaseChanges[Oracle_Severity],""),tblSeverityMap[Severity_Text],tblSeverityMap[Score],0),0)</f>
        <v/>
      </c>
      <c r="T4252">
        <f>ROUND((M4252*0.25)+(N4252*0.20)+(O4252*0.15)+(P4252*0.15)+(Q4252*0.10)+(R4252*0.10)+(S4252*0.05),2)</f>
        <v/>
      </c>
      <c r="U4252">
        <f>IF(T4252&gt;=4.25,"Critical",IF(T4252&gt;=3.5,"High",IF(T4252&gt;=2,"Medium","Low")))</f>
        <v/>
      </c>
    </row>
    <row r="4253">
      <c r="R4253">
        <f>IFERROR(XLOOKUP(XLOOKUP(D4253,tblReleaseChanges[Change_ID],tblReleaseChanges[Oracle_Severity],""),tblSeverityMap[Severity_Text],tblSeverityMap[Score],0),0)</f>
        <v/>
      </c>
      <c r="T4253">
        <f>ROUND((M4253*0.25)+(N4253*0.20)+(O4253*0.15)+(P4253*0.15)+(Q4253*0.10)+(R4253*0.10)+(S4253*0.05),2)</f>
        <v/>
      </c>
      <c r="U4253">
        <f>IF(T4253&gt;=4.25,"Critical",IF(T4253&gt;=3.5,"High",IF(T4253&gt;=2,"Medium","Low")))</f>
        <v/>
      </c>
    </row>
    <row r="4254">
      <c r="R4254">
        <f>IFERROR(XLOOKUP(XLOOKUP(D4254,tblReleaseChanges[Change_ID],tblReleaseChanges[Oracle_Severity],""),tblSeverityMap[Severity_Text],tblSeverityMap[Score],0),0)</f>
        <v/>
      </c>
      <c r="T4254">
        <f>ROUND((M4254*0.25)+(N4254*0.20)+(O4254*0.15)+(P4254*0.15)+(Q4254*0.10)+(R4254*0.10)+(S4254*0.05),2)</f>
        <v/>
      </c>
      <c r="U4254">
        <f>IF(T4254&gt;=4.25,"Critical",IF(T4254&gt;=3.5,"High",IF(T4254&gt;=2,"Medium","Low")))</f>
        <v/>
      </c>
    </row>
    <row r="4255">
      <c r="R4255">
        <f>IFERROR(XLOOKUP(XLOOKUP(D4255,tblReleaseChanges[Change_ID],tblReleaseChanges[Oracle_Severity],""),tblSeverityMap[Severity_Text],tblSeverityMap[Score],0),0)</f>
        <v/>
      </c>
      <c r="T4255">
        <f>ROUND((M4255*0.25)+(N4255*0.20)+(O4255*0.15)+(P4255*0.15)+(Q4255*0.10)+(R4255*0.10)+(S4255*0.05),2)</f>
        <v/>
      </c>
      <c r="U4255">
        <f>IF(T4255&gt;=4.25,"Critical",IF(T4255&gt;=3.5,"High",IF(T4255&gt;=2,"Medium","Low")))</f>
        <v/>
      </c>
    </row>
    <row r="4256">
      <c r="R4256">
        <f>IFERROR(XLOOKUP(XLOOKUP(D4256,tblReleaseChanges[Change_ID],tblReleaseChanges[Oracle_Severity],""),tblSeverityMap[Severity_Text],tblSeverityMap[Score],0),0)</f>
        <v/>
      </c>
      <c r="T4256">
        <f>ROUND((M4256*0.25)+(N4256*0.20)+(O4256*0.15)+(P4256*0.15)+(Q4256*0.10)+(R4256*0.10)+(S4256*0.05),2)</f>
        <v/>
      </c>
      <c r="U4256">
        <f>IF(T4256&gt;=4.25,"Critical",IF(T4256&gt;=3.5,"High",IF(T4256&gt;=2,"Medium","Low")))</f>
        <v/>
      </c>
    </row>
    <row r="4257">
      <c r="R4257">
        <f>IFERROR(XLOOKUP(XLOOKUP(D4257,tblReleaseChanges[Change_ID],tblReleaseChanges[Oracle_Severity],""),tblSeverityMap[Severity_Text],tblSeverityMap[Score],0),0)</f>
        <v/>
      </c>
      <c r="T4257">
        <f>ROUND((M4257*0.25)+(N4257*0.20)+(O4257*0.15)+(P4257*0.15)+(Q4257*0.10)+(R4257*0.10)+(S4257*0.05),2)</f>
        <v/>
      </c>
      <c r="U4257">
        <f>IF(T4257&gt;=4.25,"Critical",IF(T4257&gt;=3.5,"High",IF(T4257&gt;=2,"Medium","Low")))</f>
        <v/>
      </c>
    </row>
    <row r="4258">
      <c r="R4258">
        <f>IFERROR(XLOOKUP(XLOOKUP(D4258,tblReleaseChanges[Change_ID],tblReleaseChanges[Oracle_Severity],""),tblSeverityMap[Severity_Text],tblSeverityMap[Score],0),0)</f>
        <v/>
      </c>
      <c r="T4258">
        <f>ROUND((M4258*0.25)+(N4258*0.20)+(O4258*0.15)+(P4258*0.15)+(Q4258*0.10)+(R4258*0.10)+(S4258*0.05),2)</f>
        <v/>
      </c>
      <c r="U4258">
        <f>IF(T4258&gt;=4.25,"Critical",IF(T4258&gt;=3.5,"High",IF(T4258&gt;=2,"Medium","Low")))</f>
        <v/>
      </c>
    </row>
    <row r="4259">
      <c r="R4259">
        <f>IFERROR(XLOOKUP(XLOOKUP(D4259,tblReleaseChanges[Change_ID],tblReleaseChanges[Oracle_Severity],""),tblSeverityMap[Severity_Text],tblSeverityMap[Score],0),0)</f>
        <v/>
      </c>
      <c r="T4259">
        <f>ROUND((M4259*0.25)+(N4259*0.20)+(O4259*0.15)+(P4259*0.15)+(Q4259*0.10)+(R4259*0.10)+(S4259*0.05),2)</f>
        <v/>
      </c>
      <c r="U4259">
        <f>IF(T4259&gt;=4.25,"Critical",IF(T4259&gt;=3.5,"High",IF(T4259&gt;=2,"Medium","Low")))</f>
        <v/>
      </c>
    </row>
    <row r="4260">
      <c r="R4260">
        <f>IFERROR(XLOOKUP(XLOOKUP(D4260,tblReleaseChanges[Change_ID],tblReleaseChanges[Oracle_Severity],""),tblSeverityMap[Severity_Text],tblSeverityMap[Score],0),0)</f>
        <v/>
      </c>
      <c r="T4260">
        <f>ROUND((M4260*0.25)+(N4260*0.20)+(O4260*0.15)+(P4260*0.15)+(Q4260*0.10)+(R4260*0.10)+(S4260*0.05),2)</f>
        <v/>
      </c>
      <c r="U4260">
        <f>IF(T4260&gt;=4.25,"Critical",IF(T4260&gt;=3.5,"High",IF(T4260&gt;=2,"Medium","Low")))</f>
        <v/>
      </c>
    </row>
    <row r="4261">
      <c r="R4261">
        <f>IFERROR(XLOOKUP(XLOOKUP(D4261,tblReleaseChanges[Change_ID],tblReleaseChanges[Oracle_Severity],""),tblSeverityMap[Severity_Text],tblSeverityMap[Score],0),0)</f>
        <v/>
      </c>
      <c r="T4261">
        <f>ROUND((M4261*0.25)+(N4261*0.20)+(O4261*0.15)+(P4261*0.15)+(Q4261*0.10)+(R4261*0.10)+(S4261*0.05),2)</f>
        <v/>
      </c>
      <c r="U4261">
        <f>IF(T4261&gt;=4.25,"Critical",IF(T4261&gt;=3.5,"High",IF(T4261&gt;=2,"Medium","Low")))</f>
        <v/>
      </c>
    </row>
    <row r="4262">
      <c r="R4262">
        <f>IFERROR(XLOOKUP(XLOOKUP(D4262,tblReleaseChanges[Change_ID],tblReleaseChanges[Oracle_Severity],""),tblSeverityMap[Severity_Text],tblSeverityMap[Score],0),0)</f>
        <v/>
      </c>
      <c r="T4262">
        <f>ROUND((M4262*0.25)+(N4262*0.20)+(O4262*0.15)+(P4262*0.15)+(Q4262*0.10)+(R4262*0.10)+(S4262*0.05),2)</f>
        <v/>
      </c>
      <c r="U4262">
        <f>IF(T4262&gt;=4.25,"Critical",IF(T4262&gt;=3.5,"High",IF(T4262&gt;=2,"Medium","Low")))</f>
        <v/>
      </c>
    </row>
    <row r="4263">
      <c r="R4263">
        <f>IFERROR(XLOOKUP(XLOOKUP(D4263,tblReleaseChanges[Change_ID],tblReleaseChanges[Oracle_Severity],""),tblSeverityMap[Severity_Text],tblSeverityMap[Score],0),0)</f>
        <v/>
      </c>
      <c r="T4263">
        <f>ROUND((M4263*0.25)+(N4263*0.20)+(O4263*0.15)+(P4263*0.15)+(Q4263*0.10)+(R4263*0.10)+(S4263*0.05),2)</f>
        <v/>
      </c>
      <c r="U4263">
        <f>IF(T4263&gt;=4.25,"Critical",IF(T4263&gt;=3.5,"High",IF(T4263&gt;=2,"Medium","Low")))</f>
        <v/>
      </c>
    </row>
    <row r="4264">
      <c r="R4264">
        <f>IFERROR(XLOOKUP(XLOOKUP(D4264,tblReleaseChanges[Change_ID],tblReleaseChanges[Oracle_Severity],""),tblSeverityMap[Severity_Text],tblSeverityMap[Score],0),0)</f>
        <v/>
      </c>
      <c r="T4264">
        <f>ROUND((M4264*0.25)+(N4264*0.20)+(O4264*0.15)+(P4264*0.15)+(Q4264*0.10)+(R4264*0.10)+(S4264*0.05),2)</f>
        <v/>
      </c>
      <c r="U4264">
        <f>IF(T4264&gt;=4.25,"Critical",IF(T4264&gt;=3.5,"High",IF(T4264&gt;=2,"Medium","Low")))</f>
        <v/>
      </c>
    </row>
    <row r="4265">
      <c r="R4265">
        <f>IFERROR(XLOOKUP(XLOOKUP(D4265,tblReleaseChanges[Change_ID],tblReleaseChanges[Oracle_Severity],""),tblSeverityMap[Severity_Text],tblSeverityMap[Score],0),0)</f>
        <v/>
      </c>
      <c r="T4265">
        <f>ROUND((M4265*0.25)+(N4265*0.20)+(O4265*0.15)+(P4265*0.15)+(Q4265*0.10)+(R4265*0.10)+(S4265*0.05),2)</f>
        <v/>
      </c>
      <c r="U4265">
        <f>IF(T4265&gt;=4.25,"Critical",IF(T4265&gt;=3.5,"High",IF(T4265&gt;=2,"Medium","Low")))</f>
        <v/>
      </c>
    </row>
    <row r="4266">
      <c r="R4266">
        <f>IFERROR(XLOOKUP(XLOOKUP(D4266,tblReleaseChanges[Change_ID],tblReleaseChanges[Oracle_Severity],""),tblSeverityMap[Severity_Text],tblSeverityMap[Score],0),0)</f>
        <v/>
      </c>
      <c r="T4266">
        <f>ROUND((M4266*0.25)+(N4266*0.20)+(O4266*0.15)+(P4266*0.15)+(Q4266*0.10)+(R4266*0.10)+(S4266*0.05),2)</f>
        <v/>
      </c>
      <c r="U4266">
        <f>IF(T4266&gt;=4.25,"Critical",IF(T4266&gt;=3.5,"High",IF(T4266&gt;=2,"Medium","Low")))</f>
        <v/>
      </c>
    </row>
    <row r="4267">
      <c r="R4267">
        <f>IFERROR(XLOOKUP(XLOOKUP(D4267,tblReleaseChanges[Change_ID],tblReleaseChanges[Oracle_Severity],""),tblSeverityMap[Severity_Text],tblSeverityMap[Score],0),0)</f>
        <v/>
      </c>
      <c r="T4267">
        <f>ROUND((M4267*0.25)+(N4267*0.20)+(O4267*0.15)+(P4267*0.15)+(Q4267*0.10)+(R4267*0.10)+(S4267*0.05),2)</f>
        <v/>
      </c>
      <c r="U4267">
        <f>IF(T4267&gt;=4.25,"Critical",IF(T4267&gt;=3.5,"High",IF(T4267&gt;=2,"Medium","Low")))</f>
        <v/>
      </c>
    </row>
    <row r="4268">
      <c r="R4268">
        <f>IFERROR(XLOOKUP(XLOOKUP(D4268,tblReleaseChanges[Change_ID],tblReleaseChanges[Oracle_Severity],""),tblSeverityMap[Severity_Text],tblSeverityMap[Score],0),0)</f>
        <v/>
      </c>
      <c r="T4268">
        <f>ROUND((M4268*0.25)+(N4268*0.20)+(O4268*0.15)+(P4268*0.15)+(Q4268*0.10)+(R4268*0.10)+(S4268*0.05),2)</f>
        <v/>
      </c>
      <c r="U4268">
        <f>IF(T4268&gt;=4.25,"Critical",IF(T4268&gt;=3.5,"High",IF(T4268&gt;=2,"Medium","Low")))</f>
        <v/>
      </c>
    </row>
    <row r="4269">
      <c r="R4269">
        <f>IFERROR(XLOOKUP(XLOOKUP(D4269,tblReleaseChanges[Change_ID],tblReleaseChanges[Oracle_Severity],""),tblSeverityMap[Severity_Text],tblSeverityMap[Score],0),0)</f>
        <v/>
      </c>
      <c r="T4269">
        <f>ROUND((M4269*0.25)+(N4269*0.20)+(O4269*0.15)+(P4269*0.15)+(Q4269*0.10)+(R4269*0.10)+(S4269*0.05),2)</f>
        <v/>
      </c>
      <c r="U4269">
        <f>IF(T4269&gt;=4.25,"Critical",IF(T4269&gt;=3.5,"High",IF(T4269&gt;=2,"Medium","Low")))</f>
        <v/>
      </c>
    </row>
    <row r="4270">
      <c r="R4270">
        <f>IFERROR(XLOOKUP(XLOOKUP(D4270,tblReleaseChanges[Change_ID],tblReleaseChanges[Oracle_Severity],""),tblSeverityMap[Severity_Text],tblSeverityMap[Score],0),0)</f>
        <v/>
      </c>
      <c r="T4270">
        <f>ROUND((M4270*0.25)+(N4270*0.20)+(O4270*0.15)+(P4270*0.15)+(Q4270*0.10)+(R4270*0.10)+(S4270*0.05),2)</f>
        <v/>
      </c>
      <c r="U4270">
        <f>IF(T4270&gt;=4.25,"Critical",IF(T4270&gt;=3.5,"High",IF(T4270&gt;=2,"Medium","Low")))</f>
        <v/>
      </c>
    </row>
    <row r="4271">
      <c r="R4271">
        <f>IFERROR(XLOOKUP(XLOOKUP(D4271,tblReleaseChanges[Change_ID],tblReleaseChanges[Oracle_Severity],""),tblSeverityMap[Severity_Text],tblSeverityMap[Score],0),0)</f>
        <v/>
      </c>
      <c r="T4271">
        <f>ROUND((M4271*0.25)+(N4271*0.20)+(O4271*0.15)+(P4271*0.15)+(Q4271*0.10)+(R4271*0.10)+(S4271*0.05),2)</f>
        <v/>
      </c>
      <c r="U4271">
        <f>IF(T4271&gt;=4.25,"Critical",IF(T4271&gt;=3.5,"High",IF(T4271&gt;=2,"Medium","Low")))</f>
        <v/>
      </c>
    </row>
    <row r="4272">
      <c r="R4272">
        <f>IFERROR(XLOOKUP(XLOOKUP(D4272,tblReleaseChanges[Change_ID],tblReleaseChanges[Oracle_Severity],""),tblSeverityMap[Severity_Text],tblSeverityMap[Score],0),0)</f>
        <v/>
      </c>
      <c r="T4272">
        <f>ROUND((M4272*0.25)+(N4272*0.20)+(O4272*0.15)+(P4272*0.15)+(Q4272*0.10)+(R4272*0.10)+(S4272*0.05),2)</f>
        <v/>
      </c>
      <c r="U4272">
        <f>IF(T4272&gt;=4.25,"Critical",IF(T4272&gt;=3.5,"High",IF(T4272&gt;=2,"Medium","Low")))</f>
        <v/>
      </c>
    </row>
    <row r="4273">
      <c r="R4273">
        <f>IFERROR(XLOOKUP(XLOOKUP(D4273,tblReleaseChanges[Change_ID],tblReleaseChanges[Oracle_Severity],""),tblSeverityMap[Severity_Text],tblSeverityMap[Score],0),0)</f>
        <v/>
      </c>
      <c r="T4273">
        <f>ROUND((M4273*0.25)+(N4273*0.20)+(O4273*0.15)+(P4273*0.15)+(Q4273*0.10)+(R4273*0.10)+(S4273*0.05),2)</f>
        <v/>
      </c>
      <c r="U4273">
        <f>IF(T4273&gt;=4.25,"Critical",IF(T4273&gt;=3.5,"High",IF(T4273&gt;=2,"Medium","Low")))</f>
        <v/>
      </c>
    </row>
    <row r="4274">
      <c r="R4274">
        <f>IFERROR(XLOOKUP(XLOOKUP(D4274,tblReleaseChanges[Change_ID],tblReleaseChanges[Oracle_Severity],""),tblSeverityMap[Severity_Text],tblSeverityMap[Score],0),0)</f>
        <v/>
      </c>
      <c r="T4274">
        <f>ROUND((M4274*0.25)+(N4274*0.20)+(O4274*0.15)+(P4274*0.15)+(Q4274*0.10)+(R4274*0.10)+(S4274*0.05),2)</f>
        <v/>
      </c>
      <c r="U4274">
        <f>IF(T4274&gt;=4.25,"Critical",IF(T4274&gt;=3.5,"High",IF(T4274&gt;=2,"Medium","Low")))</f>
        <v/>
      </c>
    </row>
    <row r="4275">
      <c r="R4275">
        <f>IFERROR(XLOOKUP(XLOOKUP(D4275,tblReleaseChanges[Change_ID],tblReleaseChanges[Oracle_Severity],""),tblSeverityMap[Severity_Text],tblSeverityMap[Score],0),0)</f>
        <v/>
      </c>
      <c r="T4275">
        <f>ROUND((M4275*0.25)+(N4275*0.20)+(O4275*0.15)+(P4275*0.15)+(Q4275*0.10)+(R4275*0.10)+(S4275*0.05),2)</f>
        <v/>
      </c>
      <c r="U4275">
        <f>IF(T4275&gt;=4.25,"Critical",IF(T4275&gt;=3.5,"High",IF(T4275&gt;=2,"Medium","Low")))</f>
        <v/>
      </c>
    </row>
    <row r="4276">
      <c r="R4276">
        <f>IFERROR(XLOOKUP(XLOOKUP(D4276,tblReleaseChanges[Change_ID],tblReleaseChanges[Oracle_Severity],""),tblSeverityMap[Severity_Text],tblSeverityMap[Score],0),0)</f>
        <v/>
      </c>
      <c r="T4276">
        <f>ROUND((M4276*0.25)+(N4276*0.20)+(O4276*0.15)+(P4276*0.15)+(Q4276*0.10)+(R4276*0.10)+(S4276*0.05),2)</f>
        <v/>
      </c>
      <c r="U4276">
        <f>IF(T4276&gt;=4.25,"Critical",IF(T4276&gt;=3.5,"High",IF(T4276&gt;=2,"Medium","Low")))</f>
        <v/>
      </c>
    </row>
    <row r="4277">
      <c r="R4277">
        <f>IFERROR(XLOOKUP(XLOOKUP(D4277,tblReleaseChanges[Change_ID],tblReleaseChanges[Oracle_Severity],""),tblSeverityMap[Severity_Text],tblSeverityMap[Score],0),0)</f>
        <v/>
      </c>
      <c r="T4277">
        <f>ROUND((M4277*0.25)+(N4277*0.20)+(O4277*0.15)+(P4277*0.15)+(Q4277*0.10)+(R4277*0.10)+(S4277*0.05),2)</f>
        <v/>
      </c>
      <c r="U4277">
        <f>IF(T4277&gt;=4.25,"Critical",IF(T4277&gt;=3.5,"High",IF(T4277&gt;=2,"Medium","Low")))</f>
        <v/>
      </c>
    </row>
    <row r="4278">
      <c r="R4278">
        <f>IFERROR(XLOOKUP(XLOOKUP(D4278,tblReleaseChanges[Change_ID],tblReleaseChanges[Oracle_Severity],""),tblSeverityMap[Severity_Text],tblSeverityMap[Score],0),0)</f>
        <v/>
      </c>
      <c r="T4278">
        <f>ROUND((M4278*0.25)+(N4278*0.20)+(O4278*0.15)+(P4278*0.15)+(Q4278*0.10)+(R4278*0.10)+(S4278*0.05),2)</f>
        <v/>
      </c>
      <c r="U4278">
        <f>IF(T4278&gt;=4.25,"Critical",IF(T4278&gt;=3.5,"High",IF(T4278&gt;=2,"Medium","Low")))</f>
        <v/>
      </c>
    </row>
    <row r="4279">
      <c r="R4279">
        <f>IFERROR(XLOOKUP(XLOOKUP(D4279,tblReleaseChanges[Change_ID],tblReleaseChanges[Oracle_Severity],""),tblSeverityMap[Severity_Text],tblSeverityMap[Score],0),0)</f>
        <v/>
      </c>
      <c r="T4279">
        <f>ROUND((M4279*0.25)+(N4279*0.20)+(O4279*0.15)+(P4279*0.15)+(Q4279*0.10)+(R4279*0.10)+(S4279*0.05),2)</f>
        <v/>
      </c>
      <c r="U4279">
        <f>IF(T4279&gt;=4.25,"Critical",IF(T4279&gt;=3.5,"High",IF(T4279&gt;=2,"Medium","Low")))</f>
        <v/>
      </c>
    </row>
    <row r="4280">
      <c r="R4280">
        <f>IFERROR(XLOOKUP(XLOOKUP(D4280,tblReleaseChanges[Change_ID],tblReleaseChanges[Oracle_Severity],""),tblSeverityMap[Severity_Text],tblSeverityMap[Score],0),0)</f>
        <v/>
      </c>
      <c r="T4280">
        <f>ROUND((M4280*0.25)+(N4280*0.20)+(O4280*0.15)+(P4280*0.15)+(Q4280*0.10)+(R4280*0.10)+(S4280*0.05),2)</f>
        <v/>
      </c>
      <c r="U4280">
        <f>IF(T4280&gt;=4.25,"Critical",IF(T4280&gt;=3.5,"High",IF(T4280&gt;=2,"Medium","Low")))</f>
        <v/>
      </c>
    </row>
    <row r="4281">
      <c r="R4281">
        <f>IFERROR(XLOOKUP(XLOOKUP(D4281,tblReleaseChanges[Change_ID],tblReleaseChanges[Oracle_Severity],""),tblSeverityMap[Severity_Text],tblSeverityMap[Score],0),0)</f>
        <v/>
      </c>
      <c r="T4281">
        <f>ROUND((M4281*0.25)+(N4281*0.20)+(O4281*0.15)+(P4281*0.15)+(Q4281*0.10)+(R4281*0.10)+(S4281*0.05),2)</f>
        <v/>
      </c>
      <c r="U4281">
        <f>IF(T4281&gt;=4.25,"Critical",IF(T4281&gt;=3.5,"High",IF(T4281&gt;=2,"Medium","Low")))</f>
        <v/>
      </c>
    </row>
    <row r="4282">
      <c r="R4282">
        <f>IFERROR(XLOOKUP(XLOOKUP(D4282,tblReleaseChanges[Change_ID],tblReleaseChanges[Oracle_Severity],""),tblSeverityMap[Severity_Text],tblSeverityMap[Score],0),0)</f>
        <v/>
      </c>
      <c r="T4282">
        <f>ROUND((M4282*0.25)+(N4282*0.20)+(O4282*0.15)+(P4282*0.15)+(Q4282*0.10)+(R4282*0.10)+(S4282*0.05),2)</f>
        <v/>
      </c>
      <c r="U4282">
        <f>IF(T4282&gt;=4.25,"Critical",IF(T4282&gt;=3.5,"High",IF(T4282&gt;=2,"Medium","Low")))</f>
        <v/>
      </c>
    </row>
    <row r="4283">
      <c r="R4283">
        <f>IFERROR(XLOOKUP(XLOOKUP(D4283,tblReleaseChanges[Change_ID],tblReleaseChanges[Oracle_Severity],""),tblSeverityMap[Severity_Text],tblSeverityMap[Score],0),0)</f>
        <v/>
      </c>
      <c r="T4283">
        <f>ROUND((M4283*0.25)+(N4283*0.20)+(O4283*0.15)+(P4283*0.15)+(Q4283*0.10)+(R4283*0.10)+(S4283*0.05),2)</f>
        <v/>
      </c>
      <c r="U4283">
        <f>IF(T4283&gt;=4.25,"Critical",IF(T4283&gt;=3.5,"High",IF(T4283&gt;=2,"Medium","Low")))</f>
        <v/>
      </c>
    </row>
    <row r="4284">
      <c r="R4284">
        <f>IFERROR(XLOOKUP(XLOOKUP(D4284,tblReleaseChanges[Change_ID],tblReleaseChanges[Oracle_Severity],""),tblSeverityMap[Severity_Text],tblSeverityMap[Score],0),0)</f>
        <v/>
      </c>
      <c r="T4284">
        <f>ROUND((M4284*0.25)+(N4284*0.20)+(O4284*0.15)+(P4284*0.15)+(Q4284*0.10)+(R4284*0.10)+(S4284*0.05),2)</f>
        <v/>
      </c>
      <c r="U4284">
        <f>IF(T4284&gt;=4.25,"Critical",IF(T4284&gt;=3.5,"High",IF(T4284&gt;=2,"Medium","Low")))</f>
        <v/>
      </c>
    </row>
    <row r="4285">
      <c r="R4285">
        <f>IFERROR(XLOOKUP(XLOOKUP(D4285,tblReleaseChanges[Change_ID],tblReleaseChanges[Oracle_Severity],""),tblSeverityMap[Severity_Text],tblSeverityMap[Score],0),0)</f>
        <v/>
      </c>
      <c r="T4285">
        <f>ROUND((M4285*0.25)+(N4285*0.20)+(O4285*0.15)+(P4285*0.15)+(Q4285*0.10)+(R4285*0.10)+(S4285*0.05),2)</f>
        <v/>
      </c>
      <c r="U4285">
        <f>IF(T4285&gt;=4.25,"Critical",IF(T4285&gt;=3.5,"High",IF(T4285&gt;=2,"Medium","Low")))</f>
        <v/>
      </c>
    </row>
    <row r="4286">
      <c r="R4286">
        <f>IFERROR(XLOOKUP(XLOOKUP(D4286,tblReleaseChanges[Change_ID],tblReleaseChanges[Oracle_Severity],""),tblSeverityMap[Severity_Text],tblSeverityMap[Score],0),0)</f>
        <v/>
      </c>
      <c r="T4286">
        <f>ROUND((M4286*0.25)+(N4286*0.20)+(O4286*0.15)+(P4286*0.15)+(Q4286*0.10)+(R4286*0.10)+(S4286*0.05),2)</f>
        <v/>
      </c>
      <c r="U4286">
        <f>IF(T4286&gt;=4.25,"Critical",IF(T4286&gt;=3.5,"High",IF(T4286&gt;=2,"Medium","Low")))</f>
        <v/>
      </c>
    </row>
    <row r="4287">
      <c r="R4287">
        <f>IFERROR(XLOOKUP(XLOOKUP(D4287,tblReleaseChanges[Change_ID],tblReleaseChanges[Oracle_Severity],""),tblSeverityMap[Severity_Text],tblSeverityMap[Score],0),0)</f>
        <v/>
      </c>
      <c r="T4287">
        <f>ROUND((M4287*0.25)+(N4287*0.20)+(O4287*0.15)+(P4287*0.15)+(Q4287*0.10)+(R4287*0.10)+(S4287*0.05),2)</f>
        <v/>
      </c>
      <c r="U4287">
        <f>IF(T4287&gt;=4.25,"Critical",IF(T4287&gt;=3.5,"High",IF(T4287&gt;=2,"Medium","Low")))</f>
        <v/>
      </c>
    </row>
    <row r="4288">
      <c r="R4288">
        <f>IFERROR(XLOOKUP(XLOOKUP(D4288,tblReleaseChanges[Change_ID],tblReleaseChanges[Oracle_Severity],""),tblSeverityMap[Severity_Text],tblSeverityMap[Score],0),0)</f>
        <v/>
      </c>
      <c r="T4288">
        <f>ROUND((M4288*0.25)+(N4288*0.20)+(O4288*0.15)+(P4288*0.15)+(Q4288*0.10)+(R4288*0.10)+(S4288*0.05),2)</f>
        <v/>
      </c>
      <c r="U4288">
        <f>IF(T4288&gt;=4.25,"Critical",IF(T4288&gt;=3.5,"High",IF(T4288&gt;=2,"Medium","Low")))</f>
        <v/>
      </c>
    </row>
    <row r="4289">
      <c r="R4289">
        <f>IFERROR(XLOOKUP(XLOOKUP(D4289,tblReleaseChanges[Change_ID],tblReleaseChanges[Oracle_Severity],""),tblSeverityMap[Severity_Text],tblSeverityMap[Score],0),0)</f>
        <v/>
      </c>
      <c r="T4289">
        <f>ROUND((M4289*0.25)+(N4289*0.20)+(O4289*0.15)+(P4289*0.15)+(Q4289*0.10)+(R4289*0.10)+(S4289*0.05),2)</f>
        <v/>
      </c>
      <c r="U4289">
        <f>IF(T4289&gt;=4.25,"Critical",IF(T4289&gt;=3.5,"High",IF(T4289&gt;=2,"Medium","Low")))</f>
        <v/>
      </c>
    </row>
    <row r="4290">
      <c r="R4290">
        <f>IFERROR(XLOOKUP(XLOOKUP(D4290,tblReleaseChanges[Change_ID],tblReleaseChanges[Oracle_Severity],""),tblSeverityMap[Severity_Text],tblSeverityMap[Score],0),0)</f>
        <v/>
      </c>
      <c r="T4290">
        <f>ROUND((M4290*0.25)+(N4290*0.20)+(O4290*0.15)+(P4290*0.15)+(Q4290*0.10)+(R4290*0.10)+(S4290*0.05),2)</f>
        <v/>
      </c>
      <c r="U4290">
        <f>IF(T4290&gt;=4.25,"Critical",IF(T4290&gt;=3.5,"High",IF(T4290&gt;=2,"Medium","Low")))</f>
        <v/>
      </c>
    </row>
    <row r="4291">
      <c r="R4291">
        <f>IFERROR(XLOOKUP(XLOOKUP(D4291,tblReleaseChanges[Change_ID],tblReleaseChanges[Oracle_Severity],""),tblSeverityMap[Severity_Text],tblSeverityMap[Score],0),0)</f>
        <v/>
      </c>
      <c r="T4291">
        <f>ROUND((M4291*0.25)+(N4291*0.20)+(O4291*0.15)+(P4291*0.15)+(Q4291*0.10)+(R4291*0.10)+(S4291*0.05),2)</f>
        <v/>
      </c>
      <c r="U4291">
        <f>IF(T4291&gt;=4.25,"Critical",IF(T4291&gt;=3.5,"High",IF(T4291&gt;=2,"Medium","Low")))</f>
        <v/>
      </c>
    </row>
    <row r="4292">
      <c r="R4292">
        <f>IFERROR(XLOOKUP(XLOOKUP(D4292,tblReleaseChanges[Change_ID],tblReleaseChanges[Oracle_Severity],""),tblSeverityMap[Severity_Text],tblSeverityMap[Score],0),0)</f>
        <v/>
      </c>
      <c r="T4292">
        <f>ROUND((M4292*0.25)+(N4292*0.20)+(O4292*0.15)+(P4292*0.15)+(Q4292*0.10)+(R4292*0.10)+(S4292*0.05),2)</f>
        <v/>
      </c>
      <c r="U4292">
        <f>IF(T4292&gt;=4.25,"Critical",IF(T4292&gt;=3.5,"High",IF(T4292&gt;=2,"Medium","Low")))</f>
        <v/>
      </c>
    </row>
    <row r="4293">
      <c r="R4293">
        <f>IFERROR(XLOOKUP(XLOOKUP(D4293,tblReleaseChanges[Change_ID],tblReleaseChanges[Oracle_Severity],""),tblSeverityMap[Severity_Text],tblSeverityMap[Score],0),0)</f>
        <v/>
      </c>
      <c r="T4293">
        <f>ROUND((M4293*0.25)+(N4293*0.20)+(O4293*0.15)+(P4293*0.15)+(Q4293*0.10)+(R4293*0.10)+(S4293*0.05),2)</f>
        <v/>
      </c>
      <c r="U4293">
        <f>IF(T4293&gt;=4.25,"Critical",IF(T4293&gt;=3.5,"High",IF(T4293&gt;=2,"Medium","Low")))</f>
        <v/>
      </c>
    </row>
    <row r="4294">
      <c r="R4294">
        <f>IFERROR(XLOOKUP(XLOOKUP(D4294,tblReleaseChanges[Change_ID],tblReleaseChanges[Oracle_Severity],""),tblSeverityMap[Severity_Text],tblSeverityMap[Score],0),0)</f>
        <v/>
      </c>
      <c r="T4294">
        <f>ROUND((M4294*0.25)+(N4294*0.20)+(O4294*0.15)+(P4294*0.15)+(Q4294*0.10)+(R4294*0.10)+(S4294*0.05),2)</f>
        <v/>
      </c>
      <c r="U4294">
        <f>IF(T4294&gt;=4.25,"Critical",IF(T4294&gt;=3.5,"High",IF(T4294&gt;=2,"Medium","Low")))</f>
        <v/>
      </c>
    </row>
    <row r="4295">
      <c r="R4295">
        <f>IFERROR(XLOOKUP(XLOOKUP(D4295,tblReleaseChanges[Change_ID],tblReleaseChanges[Oracle_Severity],""),tblSeverityMap[Severity_Text],tblSeverityMap[Score],0),0)</f>
        <v/>
      </c>
      <c r="T4295">
        <f>ROUND((M4295*0.25)+(N4295*0.20)+(O4295*0.15)+(P4295*0.15)+(Q4295*0.10)+(R4295*0.10)+(S4295*0.05),2)</f>
        <v/>
      </c>
      <c r="U4295">
        <f>IF(T4295&gt;=4.25,"Critical",IF(T4295&gt;=3.5,"High",IF(T4295&gt;=2,"Medium","Low")))</f>
        <v/>
      </c>
    </row>
    <row r="4296">
      <c r="R4296">
        <f>IFERROR(XLOOKUP(XLOOKUP(D4296,tblReleaseChanges[Change_ID],tblReleaseChanges[Oracle_Severity],""),tblSeverityMap[Severity_Text],tblSeverityMap[Score],0),0)</f>
        <v/>
      </c>
      <c r="T4296">
        <f>ROUND((M4296*0.25)+(N4296*0.20)+(O4296*0.15)+(P4296*0.15)+(Q4296*0.10)+(R4296*0.10)+(S4296*0.05),2)</f>
        <v/>
      </c>
      <c r="U4296">
        <f>IF(T4296&gt;=4.25,"Critical",IF(T4296&gt;=3.5,"High",IF(T4296&gt;=2,"Medium","Low")))</f>
        <v/>
      </c>
    </row>
    <row r="4297">
      <c r="R4297">
        <f>IFERROR(XLOOKUP(XLOOKUP(D4297,tblReleaseChanges[Change_ID],tblReleaseChanges[Oracle_Severity],""),tblSeverityMap[Severity_Text],tblSeverityMap[Score],0),0)</f>
        <v/>
      </c>
      <c r="T4297">
        <f>ROUND((M4297*0.25)+(N4297*0.20)+(O4297*0.15)+(P4297*0.15)+(Q4297*0.10)+(R4297*0.10)+(S4297*0.05),2)</f>
        <v/>
      </c>
      <c r="U4297">
        <f>IF(T4297&gt;=4.25,"Critical",IF(T4297&gt;=3.5,"High",IF(T4297&gt;=2,"Medium","Low")))</f>
        <v/>
      </c>
    </row>
    <row r="4298">
      <c r="R4298">
        <f>IFERROR(XLOOKUP(XLOOKUP(D4298,tblReleaseChanges[Change_ID],tblReleaseChanges[Oracle_Severity],""),tblSeverityMap[Severity_Text],tblSeverityMap[Score],0),0)</f>
        <v/>
      </c>
      <c r="T4298">
        <f>ROUND((M4298*0.25)+(N4298*0.20)+(O4298*0.15)+(P4298*0.15)+(Q4298*0.10)+(R4298*0.10)+(S4298*0.05),2)</f>
        <v/>
      </c>
      <c r="U4298">
        <f>IF(T4298&gt;=4.25,"Critical",IF(T4298&gt;=3.5,"High",IF(T4298&gt;=2,"Medium","Low")))</f>
        <v/>
      </c>
    </row>
    <row r="4299">
      <c r="R4299">
        <f>IFERROR(XLOOKUP(XLOOKUP(D4299,tblReleaseChanges[Change_ID],tblReleaseChanges[Oracle_Severity],""),tblSeverityMap[Severity_Text],tblSeverityMap[Score],0),0)</f>
        <v/>
      </c>
      <c r="T4299">
        <f>ROUND((M4299*0.25)+(N4299*0.20)+(O4299*0.15)+(P4299*0.15)+(Q4299*0.10)+(R4299*0.10)+(S4299*0.05),2)</f>
        <v/>
      </c>
      <c r="U4299">
        <f>IF(T4299&gt;=4.25,"Critical",IF(T4299&gt;=3.5,"High",IF(T4299&gt;=2,"Medium","Low")))</f>
        <v/>
      </c>
    </row>
    <row r="4300">
      <c r="R4300">
        <f>IFERROR(XLOOKUP(XLOOKUP(D4300,tblReleaseChanges[Change_ID],tblReleaseChanges[Oracle_Severity],""),tblSeverityMap[Severity_Text],tblSeverityMap[Score],0),0)</f>
        <v/>
      </c>
      <c r="T4300">
        <f>ROUND((M4300*0.25)+(N4300*0.20)+(O4300*0.15)+(P4300*0.15)+(Q4300*0.10)+(R4300*0.10)+(S4300*0.05),2)</f>
        <v/>
      </c>
      <c r="U4300">
        <f>IF(T4300&gt;=4.25,"Critical",IF(T4300&gt;=3.5,"High",IF(T4300&gt;=2,"Medium","Low")))</f>
        <v/>
      </c>
    </row>
    <row r="4301">
      <c r="R4301">
        <f>IFERROR(XLOOKUP(XLOOKUP(D4301,tblReleaseChanges[Change_ID],tblReleaseChanges[Oracle_Severity],""),tblSeverityMap[Severity_Text],tblSeverityMap[Score],0),0)</f>
        <v/>
      </c>
      <c r="T4301">
        <f>ROUND((M4301*0.25)+(N4301*0.20)+(O4301*0.15)+(P4301*0.15)+(Q4301*0.10)+(R4301*0.10)+(S4301*0.05),2)</f>
        <v/>
      </c>
      <c r="U4301">
        <f>IF(T4301&gt;=4.25,"Critical",IF(T4301&gt;=3.5,"High",IF(T4301&gt;=2,"Medium","Low")))</f>
        <v/>
      </c>
    </row>
    <row r="4302">
      <c r="R4302">
        <f>IFERROR(XLOOKUP(XLOOKUP(D4302,tblReleaseChanges[Change_ID],tblReleaseChanges[Oracle_Severity],""),tblSeverityMap[Severity_Text],tblSeverityMap[Score],0),0)</f>
        <v/>
      </c>
      <c r="T4302">
        <f>ROUND((M4302*0.25)+(N4302*0.20)+(O4302*0.15)+(P4302*0.15)+(Q4302*0.10)+(R4302*0.10)+(S4302*0.05),2)</f>
        <v/>
      </c>
      <c r="U4302">
        <f>IF(T4302&gt;=4.25,"Critical",IF(T4302&gt;=3.5,"High",IF(T4302&gt;=2,"Medium","Low")))</f>
        <v/>
      </c>
    </row>
    <row r="4303">
      <c r="R4303">
        <f>IFERROR(XLOOKUP(XLOOKUP(D4303,tblReleaseChanges[Change_ID],tblReleaseChanges[Oracle_Severity],""),tblSeverityMap[Severity_Text],tblSeverityMap[Score],0),0)</f>
        <v/>
      </c>
      <c r="T4303">
        <f>ROUND((M4303*0.25)+(N4303*0.20)+(O4303*0.15)+(P4303*0.15)+(Q4303*0.10)+(R4303*0.10)+(S4303*0.05),2)</f>
        <v/>
      </c>
      <c r="U4303">
        <f>IF(T4303&gt;=4.25,"Critical",IF(T4303&gt;=3.5,"High",IF(T4303&gt;=2,"Medium","Low")))</f>
        <v/>
      </c>
    </row>
    <row r="4304">
      <c r="R4304">
        <f>IFERROR(XLOOKUP(XLOOKUP(D4304,tblReleaseChanges[Change_ID],tblReleaseChanges[Oracle_Severity],""),tblSeverityMap[Severity_Text],tblSeverityMap[Score],0),0)</f>
        <v/>
      </c>
      <c r="T4304">
        <f>ROUND((M4304*0.25)+(N4304*0.20)+(O4304*0.15)+(P4304*0.15)+(Q4304*0.10)+(R4304*0.10)+(S4304*0.05),2)</f>
        <v/>
      </c>
      <c r="U4304">
        <f>IF(T4304&gt;=4.25,"Critical",IF(T4304&gt;=3.5,"High",IF(T4304&gt;=2,"Medium","Low")))</f>
        <v/>
      </c>
    </row>
    <row r="4305">
      <c r="R4305">
        <f>IFERROR(XLOOKUP(XLOOKUP(D4305,tblReleaseChanges[Change_ID],tblReleaseChanges[Oracle_Severity],""),tblSeverityMap[Severity_Text],tblSeverityMap[Score],0),0)</f>
        <v/>
      </c>
      <c r="T4305">
        <f>ROUND((M4305*0.25)+(N4305*0.20)+(O4305*0.15)+(P4305*0.15)+(Q4305*0.10)+(R4305*0.10)+(S4305*0.05),2)</f>
        <v/>
      </c>
      <c r="U4305">
        <f>IF(T4305&gt;=4.25,"Critical",IF(T4305&gt;=3.5,"High",IF(T4305&gt;=2,"Medium","Low")))</f>
        <v/>
      </c>
    </row>
    <row r="4306">
      <c r="R4306">
        <f>IFERROR(XLOOKUP(XLOOKUP(D4306,tblReleaseChanges[Change_ID],tblReleaseChanges[Oracle_Severity],""),tblSeverityMap[Severity_Text],tblSeverityMap[Score],0),0)</f>
        <v/>
      </c>
      <c r="T4306">
        <f>ROUND((M4306*0.25)+(N4306*0.20)+(O4306*0.15)+(P4306*0.15)+(Q4306*0.10)+(R4306*0.10)+(S4306*0.05),2)</f>
        <v/>
      </c>
      <c r="U4306">
        <f>IF(T4306&gt;=4.25,"Critical",IF(T4306&gt;=3.5,"High",IF(T4306&gt;=2,"Medium","Low")))</f>
        <v/>
      </c>
    </row>
    <row r="4307">
      <c r="R4307">
        <f>IFERROR(XLOOKUP(XLOOKUP(D4307,tblReleaseChanges[Change_ID],tblReleaseChanges[Oracle_Severity],""),tblSeverityMap[Severity_Text],tblSeverityMap[Score],0),0)</f>
        <v/>
      </c>
      <c r="T4307">
        <f>ROUND((M4307*0.25)+(N4307*0.20)+(O4307*0.15)+(P4307*0.15)+(Q4307*0.10)+(R4307*0.10)+(S4307*0.05),2)</f>
        <v/>
      </c>
      <c r="U4307">
        <f>IF(T4307&gt;=4.25,"Critical",IF(T4307&gt;=3.5,"High",IF(T4307&gt;=2,"Medium","Low")))</f>
        <v/>
      </c>
    </row>
    <row r="4308">
      <c r="R4308">
        <f>IFERROR(XLOOKUP(XLOOKUP(D4308,tblReleaseChanges[Change_ID],tblReleaseChanges[Oracle_Severity],""),tblSeverityMap[Severity_Text],tblSeverityMap[Score],0),0)</f>
        <v/>
      </c>
      <c r="T4308">
        <f>ROUND((M4308*0.25)+(N4308*0.20)+(O4308*0.15)+(P4308*0.15)+(Q4308*0.10)+(R4308*0.10)+(S4308*0.05),2)</f>
        <v/>
      </c>
      <c r="U4308">
        <f>IF(T4308&gt;=4.25,"Critical",IF(T4308&gt;=3.5,"High",IF(T4308&gt;=2,"Medium","Low")))</f>
        <v/>
      </c>
    </row>
    <row r="4309">
      <c r="R4309">
        <f>IFERROR(XLOOKUP(XLOOKUP(D4309,tblReleaseChanges[Change_ID],tblReleaseChanges[Oracle_Severity],""),tblSeverityMap[Severity_Text],tblSeverityMap[Score],0),0)</f>
        <v/>
      </c>
      <c r="T4309">
        <f>ROUND((M4309*0.25)+(N4309*0.20)+(O4309*0.15)+(P4309*0.15)+(Q4309*0.10)+(R4309*0.10)+(S4309*0.05),2)</f>
        <v/>
      </c>
      <c r="U4309">
        <f>IF(T4309&gt;=4.25,"Critical",IF(T4309&gt;=3.5,"High",IF(T4309&gt;=2,"Medium","Low")))</f>
        <v/>
      </c>
    </row>
    <row r="4310">
      <c r="R4310">
        <f>IFERROR(XLOOKUP(XLOOKUP(D4310,tblReleaseChanges[Change_ID],tblReleaseChanges[Oracle_Severity],""),tblSeverityMap[Severity_Text],tblSeverityMap[Score],0),0)</f>
        <v/>
      </c>
      <c r="T4310">
        <f>ROUND((M4310*0.25)+(N4310*0.20)+(O4310*0.15)+(P4310*0.15)+(Q4310*0.10)+(R4310*0.10)+(S4310*0.05),2)</f>
        <v/>
      </c>
      <c r="U4310">
        <f>IF(T4310&gt;=4.25,"Critical",IF(T4310&gt;=3.5,"High",IF(T4310&gt;=2,"Medium","Low")))</f>
        <v/>
      </c>
    </row>
    <row r="4311">
      <c r="R4311">
        <f>IFERROR(XLOOKUP(XLOOKUP(D4311,tblReleaseChanges[Change_ID],tblReleaseChanges[Oracle_Severity],""),tblSeverityMap[Severity_Text],tblSeverityMap[Score],0),0)</f>
        <v/>
      </c>
      <c r="T4311">
        <f>ROUND((M4311*0.25)+(N4311*0.20)+(O4311*0.15)+(P4311*0.15)+(Q4311*0.10)+(R4311*0.10)+(S4311*0.05),2)</f>
        <v/>
      </c>
      <c r="U4311">
        <f>IF(T4311&gt;=4.25,"Critical",IF(T4311&gt;=3.5,"High",IF(T4311&gt;=2,"Medium","Low")))</f>
        <v/>
      </c>
    </row>
    <row r="4312">
      <c r="R4312">
        <f>IFERROR(XLOOKUP(XLOOKUP(D4312,tblReleaseChanges[Change_ID],tblReleaseChanges[Oracle_Severity],""),tblSeverityMap[Severity_Text],tblSeverityMap[Score],0),0)</f>
        <v/>
      </c>
      <c r="T4312">
        <f>ROUND((M4312*0.25)+(N4312*0.20)+(O4312*0.15)+(P4312*0.15)+(Q4312*0.10)+(R4312*0.10)+(S4312*0.05),2)</f>
        <v/>
      </c>
      <c r="U4312">
        <f>IF(T4312&gt;=4.25,"Critical",IF(T4312&gt;=3.5,"High",IF(T4312&gt;=2,"Medium","Low")))</f>
        <v/>
      </c>
    </row>
    <row r="4313">
      <c r="R4313">
        <f>IFERROR(XLOOKUP(XLOOKUP(D4313,tblReleaseChanges[Change_ID],tblReleaseChanges[Oracle_Severity],""),tblSeverityMap[Severity_Text],tblSeverityMap[Score],0),0)</f>
        <v/>
      </c>
      <c r="T4313">
        <f>ROUND((M4313*0.25)+(N4313*0.20)+(O4313*0.15)+(P4313*0.15)+(Q4313*0.10)+(R4313*0.10)+(S4313*0.05),2)</f>
        <v/>
      </c>
      <c r="U4313">
        <f>IF(T4313&gt;=4.25,"Critical",IF(T4313&gt;=3.5,"High",IF(T4313&gt;=2,"Medium","Low")))</f>
        <v/>
      </c>
    </row>
    <row r="4314">
      <c r="R4314">
        <f>IFERROR(XLOOKUP(XLOOKUP(D4314,tblReleaseChanges[Change_ID],tblReleaseChanges[Oracle_Severity],""),tblSeverityMap[Severity_Text],tblSeverityMap[Score],0),0)</f>
        <v/>
      </c>
      <c r="T4314">
        <f>ROUND((M4314*0.25)+(N4314*0.20)+(O4314*0.15)+(P4314*0.15)+(Q4314*0.10)+(R4314*0.10)+(S4314*0.05),2)</f>
        <v/>
      </c>
      <c r="U4314">
        <f>IF(T4314&gt;=4.25,"Critical",IF(T4314&gt;=3.5,"High",IF(T4314&gt;=2,"Medium","Low")))</f>
        <v/>
      </c>
    </row>
    <row r="4315">
      <c r="R4315">
        <f>IFERROR(XLOOKUP(XLOOKUP(D4315,tblReleaseChanges[Change_ID],tblReleaseChanges[Oracle_Severity],""),tblSeverityMap[Severity_Text],tblSeverityMap[Score],0),0)</f>
        <v/>
      </c>
      <c r="T4315">
        <f>ROUND((M4315*0.25)+(N4315*0.20)+(O4315*0.15)+(P4315*0.15)+(Q4315*0.10)+(R4315*0.10)+(S4315*0.05),2)</f>
        <v/>
      </c>
      <c r="U4315">
        <f>IF(T4315&gt;=4.25,"Critical",IF(T4315&gt;=3.5,"High",IF(T4315&gt;=2,"Medium","Low")))</f>
        <v/>
      </c>
    </row>
    <row r="4316">
      <c r="R4316">
        <f>IFERROR(XLOOKUP(XLOOKUP(D4316,tblReleaseChanges[Change_ID],tblReleaseChanges[Oracle_Severity],""),tblSeverityMap[Severity_Text],tblSeverityMap[Score],0),0)</f>
        <v/>
      </c>
      <c r="T4316">
        <f>ROUND((M4316*0.25)+(N4316*0.20)+(O4316*0.15)+(P4316*0.15)+(Q4316*0.10)+(R4316*0.10)+(S4316*0.05),2)</f>
        <v/>
      </c>
      <c r="U4316">
        <f>IF(T4316&gt;=4.25,"Critical",IF(T4316&gt;=3.5,"High",IF(T4316&gt;=2,"Medium","Low")))</f>
        <v/>
      </c>
    </row>
    <row r="4317">
      <c r="R4317">
        <f>IFERROR(XLOOKUP(XLOOKUP(D4317,tblReleaseChanges[Change_ID],tblReleaseChanges[Oracle_Severity],""),tblSeverityMap[Severity_Text],tblSeverityMap[Score],0),0)</f>
        <v/>
      </c>
      <c r="T4317">
        <f>ROUND((M4317*0.25)+(N4317*0.20)+(O4317*0.15)+(P4317*0.15)+(Q4317*0.10)+(R4317*0.10)+(S4317*0.05),2)</f>
        <v/>
      </c>
      <c r="U4317">
        <f>IF(T4317&gt;=4.25,"Critical",IF(T4317&gt;=3.5,"High",IF(T4317&gt;=2,"Medium","Low")))</f>
        <v/>
      </c>
    </row>
    <row r="4318">
      <c r="R4318">
        <f>IFERROR(XLOOKUP(XLOOKUP(D4318,tblReleaseChanges[Change_ID],tblReleaseChanges[Oracle_Severity],""),tblSeverityMap[Severity_Text],tblSeverityMap[Score],0),0)</f>
        <v/>
      </c>
      <c r="T4318">
        <f>ROUND((M4318*0.25)+(N4318*0.20)+(O4318*0.15)+(P4318*0.15)+(Q4318*0.10)+(R4318*0.10)+(S4318*0.05),2)</f>
        <v/>
      </c>
      <c r="U4318">
        <f>IF(T4318&gt;=4.25,"Critical",IF(T4318&gt;=3.5,"High",IF(T4318&gt;=2,"Medium","Low")))</f>
        <v/>
      </c>
    </row>
    <row r="4319">
      <c r="R4319">
        <f>IFERROR(XLOOKUP(XLOOKUP(D4319,tblReleaseChanges[Change_ID],tblReleaseChanges[Oracle_Severity],""),tblSeverityMap[Severity_Text],tblSeverityMap[Score],0),0)</f>
        <v/>
      </c>
      <c r="T4319">
        <f>ROUND((M4319*0.25)+(N4319*0.20)+(O4319*0.15)+(P4319*0.15)+(Q4319*0.10)+(R4319*0.10)+(S4319*0.05),2)</f>
        <v/>
      </c>
      <c r="U4319">
        <f>IF(T4319&gt;=4.25,"Critical",IF(T4319&gt;=3.5,"High",IF(T4319&gt;=2,"Medium","Low")))</f>
        <v/>
      </c>
    </row>
    <row r="4320">
      <c r="R4320">
        <f>IFERROR(XLOOKUP(XLOOKUP(D4320,tblReleaseChanges[Change_ID],tblReleaseChanges[Oracle_Severity],""),tblSeverityMap[Severity_Text],tblSeverityMap[Score],0),0)</f>
        <v/>
      </c>
      <c r="T4320">
        <f>ROUND((M4320*0.25)+(N4320*0.20)+(O4320*0.15)+(P4320*0.15)+(Q4320*0.10)+(R4320*0.10)+(S4320*0.05),2)</f>
        <v/>
      </c>
      <c r="U4320">
        <f>IF(T4320&gt;=4.25,"Critical",IF(T4320&gt;=3.5,"High",IF(T4320&gt;=2,"Medium","Low")))</f>
        <v/>
      </c>
    </row>
    <row r="4321">
      <c r="R4321">
        <f>IFERROR(XLOOKUP(XLOOKUP(D4321,tblReleaseChanges[Change_ID],tblReleaseChanges[Oracle_Severity],""),tblSeverityMap[Severity_Text],tblSeverityMap[Score],0),0)</f>
        <v/>
      </c>
      <c r="T4321">
        <f>ROUND((M4321*0.25)+(N4321*0.20)+(O4321*0.15)+(P4321*0.15)+(Q4321*0.10)+(R4321*0.10)+(S4321*0.05),2)</f>
        <v/>
      </c>
      <c r="U4321">
        <f>IF(T4321&gt;=4.25,"Critical",IF(T4321&gt;=3.5,"High",IF(T4321&gt;=2,"Medium","Low")))</f>
        <v/>
      </c>
    </row>
    <row r="4322">
      <c r="R4322">
        <f>IFERROR(XLOOKUP(XLOOKUP(D4322,tblReleaseChanges[Change_ID],tblReleaseChanges[Oracle_Severity],""),tblSeverityMap[Severity_Text],tblSeverityMap[Score],0),0)</f>
        <v/>
      </c>
      <c r="T4322">
        <f>ROUND((M4322*0.25)+(N4322*0.20)+(O4322*0.15)+(P4322*0.15)+(Q4322*0.10)+(R4322*0.10)+(S4322*0.05),2)</f>
        <v/>
      </c>
      <c r="U4322">
        <f>IF(T4322&gt;=4.25,"Critical",IF(T4322&gt;=3.5,"High",IF(T4322&gt;=2,"Medium","Low")))</f>
        <v/>
      </c>
    </row>
    <row r="4323">
      <c r="R4323">
        <f>IFERROR(XLOOKUP(XLOOKUP(D4323,tblReleaseChanges[Change_ID],tblReleaseChanges[Oracle_Severity],""),tblSeverityMap[Severity_Text],tblSeverityMap[Score],0),0)</f>
        <v/>
      </c>
      <c r="T4323">
        <f>ROUND((M4323*0.25)+(N4323*0.20)+(O4323*0.15)+(P4323*0.15)+(Q4323*0.10)+(R4323*0.10)+(S4323*0.05),2)</f>
        <v/>
      </c>
      <c r="U4323">
        <f>IF(T4323&gt;=4.25,"Critical",IF(T4323&gt;=3.5,"High",IF(T4323&gt;=2,"Medium","Low")))</f>
        <v/>
      </c>
    </row>
    <row r="4324">
      <c r="R4324">
        <f>IFERROR(XLOOKUP(XLOOKUP(D4324,tblReleaseChanges[Change_ID],tblReleaseChanges[Oracle_Severity],""),tblSeverityMap[Severity_Text],tblSeverityMap[Score],0),0)</f>
        <v/>
      </c>
      <c r="T4324">
        <f>ROUND((M4324*0.25)+(N4324*0.20)+(O4324*0.15)+(P4324*0.15)+(Q4324*0.10)+(R4324*0.10)+(S4324*0.05),2)</f>
        <v/>
      </c>
      <c r="U4324">
        <f>IF(T4324&gt;=4.25,"Critical",IF(T4324&gt;=3.5,"High",IF(T4324&gt;=2,"Medium","Low")))</f>
        <v/>
      </c>
    </row>
    <row r="4325">
      <c r="R4325">
        <f>IFERROR(XLOOKUP(XLOOKUP(D4325,tblReleaseChanges[Change_ID],tblReleaseChanges[Oracle_Severity],""),tblSeverityMap[Severity_Text],tblSeverityMap[Score],0),0)</f>
        <v/>
      </c>
      <c r="T4325">
        <f>ROUND((M4325*0.25)+(N4325*0.20)+(O4325*0.15)+(P4325*0.15)+(Q4325*0.10)+(R4325*0.10)+(S4325*0.05),2)</f>
        <v/>
      </c>
      <c r="U4325">
        <f>IF(T4325&gt;=4.25,"Critical",IF(T4325&gt;=3.5,"High",IF(T4325&gt;=2,"Medium","Low")))</f>
        <v/>
      </c>
    </row>
    <row r="4326">
      <c r="R4326">
        <f>IFERROR(XLOOKUP(XLOOKUP(D4326,tblReleaseChanges[Change_ID],tblReleaseChanges[Oracle_Severity],""),tblSeverityMap[Severity_Text],tblSeverityMap[Score],0),0)</f>
        <v/>
      </c>
      <c r="T4326">
        <f>ROUND((M4326*0.25)+(N4326*0.20)+(O4326*0.15)+(P4326*0.15)+(Q4326*0.10)+(R4326*0.10)+(S4326*0.05),2)</f>
        <v/>
      </c>
      <c r="U4326">
        <f>IF(T4326&gt;=4.25,"Critical",IF(T4326&gt;=3.5,"High",IF(T4326&gt;=2,"Medium","Low")))</f>
        <v/>
      </c>
    </row>
    <row r="4327">
      <c r="R4327">
        <f>IFERROR(XLOOKUP(XLOOKUP(D4327,tblReleaseChanges[Change_ID],tblReleaseChanges[Oracle_Severity],""),tblSeverityMap[Severity_Text],tblSeverityMap[Score],0),0)</f>
        <v/>
      </c>
      <c r="T4327">
        <f>ROUND((M4327*0.25)+(N4327*0.20)+(O4327*0.15)+(P4327*0.15)+(Q4327*0.10)+(R4327*0.10)+(S4327*0.05),2)</f>
        <v/>
      </c>
      <c r="U4327">
        <f>IF(T4327&gt;=4.25,"Critical",IF(T4327&gt;=3.5,"High",IF(T4327&gt;=2,"Medium","Low")))</f>
        <v/>
      </c>
    </row>
    <row r="4328">
      <c r="R4328">
        <f>IFERROR(XLOOKUP(XLOOKUP(D4328,tblReleaseChanges[Change_ID],tblReleaseChanges[Oracle_Severity],""),tblSeverityMap[Severity_Text],tblSeverityMap[Score],0),0)</f>
        <v/>
      </c>
      <c r="T4328">
        <f>ROUND((M4328*0.25)+(N4328*0.20)+(O4328*0.15)+(P4328*0.15)+(Q4328*0.10)+(R4328*0.10)+(S4328*0.05),2)</f>
        <v/>
      </c>
      <c r="U4328">
        <f>IF(T4328&gt;=4.25,"Critical",IF(T4328&gt;=3.5,"High",IF(T4328&gt;=2,"Medium","Low")))</f>
        <v/>
      </c>
    </row>
    <row r="4329">
      <c r="R4329">
        <f>IFERROR(XLOOKUP(XLOOKUP(D4329,tblReleaseChanges[Change_ID],tblReleaseChanges[Oracle_Severity],""),tblSeverityMap[Severity_Text],tblSeverityMap[Score],0),0)</f>
        <v/>
      </c>
      <c r="T4329">
        <f>ROUND((M4329*0.25)+(N4329*0.20)+(O4329*0.15)+(P4329*0.15)+(Q4329*0.10)+(R4329*0.10)+(S4329*0.05),2)</f>
        <v/>
      </c>
      <c r="U4329">
        <f>IF(T4329&gt;=4.25,"Critical",IF(T4329&gt;=3.5,"High",IF(T4329&gt;=2,"Medium","Low")))</f>
        <v/>
      </c>
    </row>
    <row r="4330">
      <c r="R4330">
        <f>IFERROR(XLOOKUP(XLOOKUP(D4330,tblReleaseChanges[Change_ID],tblReleaseChanges[Oracle_Severity],""),tblSeverityMap[Severity_Text],tblSeverityMap[Score],0),0)</f>
        <v/>
      </c>
      <c r="T4330">
        <f>ROUND((M4330*0.25)+(N4330*0.20)+(O4330*0.15)+(P4330*0.15)+(Q4330*0.10)+(R4330*0.10)+(S4330*0.05),2)</f>
        <v/>
      </c>
      <c r="U4330">
        <f>IF(T4330&gt;=4.25,"Critical",IF(T4330&gt;=3.5,"High",IF(T4330&gt;=2,"Medium","Low")))</f>
        <v/>
      </c>
    </row>
    <row r="4331">
      <c r="R4331">
        <f>IFERROR(XLOOKUP(XLOOKUP(D4331,tblReleaseChanges[Change_ID],tblReleaseChanges[Oracle_Severity],""),tblSeverityMap[Severity_Text],tblSeverityMap[Score],0),0)</f>
        <v/>
      </c>
      <c r="T4331">
        <f>ROUND((M4331*0.25)+(N4331*0.20)+(O4331*0.15)+(P4331*0.15)+(Q4331*0.10)+(R4331*0.10)+(S4331*0.05),2)</f>
        <v/>
      </c>
      <c r="U4331">
        <f>IF(T4331&gt;=4.25,"Critical",IF(T4331&gt;=3.5,"High",IF(T4331&gt;=2,"Medium","Low")))</f>
        <v/>
      </c>
    </row>
    <row r="4332">
      <c r="R4332">
        <f>IFERROR(XLOOKUP(XLOOKUP(D4332,tblReleaseChanges[Change_ID],tblReleaseChanges[Oracle_Severity],""),tblSeverityMap[Severity_Text],tblSeverityMap[Score],0),0)</f>
        <v/>
      </c>
      <c r="T4332">
        <f>ROUND((M4332*0.25)+(N4332*0.20)+(O4332*0.15)+(P4332*0.15)+(Q4332*0.10)+(R4332*0.10)+(S4332*0.05),2)</f>
        <v/>
      </c>
      <c r="U4332">
        <f>IF(T4332&gt;=4.25,"Critical",IF(T4332&gt;=3.5,"High",IF(T4332&gt;=2,"Medium","Low")))</f>
        <v/>
      </c>
    </row>
    <row r="4333">
      <c r="R4333">
        <f>IFERROR(XLOOKUP(XLOOKUP(D4333,tblReleaseChanges[Change_ID],tblReleaseChanges[Oracle_Severity],""),tblSeverityMap[Severity_Text],tblSeverityMap[Score],0),0)</f>
        <v/>
      </c>
      <c r="T4333">
        <f>ROUND((M4333*0.25)+(N4333*0.20)+(O4333*0.15)+(P4333*0.15)+(Q4333*0.10)+(R4333*0.10)+(S4333*0.05),2)</f>
        <v/>
      </c>
      <c r="U4333">
        <f>IF(T4333&gt;=4.25,"Critical",IF(T4333&gt;=3.5,"High",IF(T4333&gt;=2,"Medium","Low")))</f>
        <v/>
      </c>
    </row>
    <row r="4334">
      <c r="R4334">
        <f>IFERROR(XLOOKUP(XLOOKUP(D4334,tblReleaseChanges[Change_ID],tblReleaseChanges[Oracle_Severity],""),tblSeverityMap[Severity_Text],tblSeverityMap[Score],0),0)</f>
        <v/>
      </c>
      <c r="T4334">
        <f>ROUND((M4334*0.25)+(N4334*0.20)+(O4334*0.15)+(P4334*0.15)+(Q4334*0.10)+(R4334*0.10)+(S4334*0.05),2)</f>
        <v/>
      </c>
      <c r="U4334">
        <f>IF(T4334&gt;=4.25,"Critical",IF(T4334&gt;=3.5,"High",IF(T4334&gt;=2,"Medium","Low")))</f>
        <v/>
      </c>
    </row>
    <row r="4335">
      <c r="R4335">
        <f>IFERROR(XLOOKUP(XLOOKUP(D4335,tblReleaseChanges[Change_ID],tblReleaseChanges[Oracle_Severity],""),tblSeverityMap[Severity_Text],tblSeverityMap[Score],0),0)</f>
        <v/>
      </c>
      <c r="T4335">
        <f>ROUND((M4335*0.25)+(N4335*0.20)+(O4335*0.15)+(P4335*0.15)+(Q4335*0.10)+(R4335*0.10)+(S4335*0.05),2)</f>
        <v/>
      </c>
      <c r="U4335">
        <f>IF(T4335&gt;=4.25,"Critical",IF(T4335&gt;=3.5,"High",IF(T4335&gt;=2,"Medium","Low")))</f>
        <v/>
      </c>
    </row>
    <row r="4336">
      <c r="R4336">
        <f>IFERROR(XLOOKUP(XLOOKUP(D4336,tblReleaseChanges[Change_ID],tblReleaseChanges[Oracle_Severity],""),tblSeverityMap[Severity_Text],tblSeverityMap[Score],0),0)</f>
        <v/>
      </c>
      <c r="T4336">
        <f>ROUND((M4336*0.25)+(N4336*0.20)+(O4336*0.15)+(P4336*0.15)+(Q4336*0.10)+(R4336*0.10)+(S4336*0.05),2)</f>
        <v/>
      </c>
      <c r="U4336">
        <f>IF(T4336&gt;=4.25,"Critical",IF(T4336&gt;=3.5,"High",IF(T4336&gt;=2,"Medium","Low")))</f>
        <v/>
      </c>
    </row>
    <row r="4337">
      <c r="R4337">
        <f>IFERROR(XLOOKUP(XLOOKUP(D4337,tblReleaseChanges[Change_ID],tblReleaseChanges[Oracle_Severity],""),tblSeverityMap[Severity_Text],tblSeverityMap[Score],0),0)</f>
        <v/>
      </c>
      <c r="T4337">
        <f>ROUND((M4337*0.25)+(N4337*0.20)+(O4337*0.15)+(P4337*0.15)+(Q4337*0.10)+(R4337*0.10)+(S4337*0.05),2)</f>
        <v/>
      </c>
      <c r="U4337">
        <f>IF(T4337&gt;=4.25,"Critical",IF(T4337&gt;=3.5,"High",IF(T4337&gt;=2,"Medium","Low")))</f>
        <v/>
      </c>
    </row>
    <row r="4338">
      <c r="R4338">
        <f>IFERROR(XLOOKUP(XLOOKUP(D4338,tblReleaseChanges[Change_ID],tblReleaseChanges[Oracle_Severity],""),tblSeverityMap[Severity_Text],tblSeverityMap[Score],0),0)</f>
        <v/>
      </c>
      <c r="T4338">
        <f>ROUND((M4338*0.25)+(N4338*0.20)+(O4338*0.15)+(P4338*0.15)+(Q4338*0.10)+(R4338*0.10)+(S4338*0.05),2)</f>
        <v/>
      </c>
      <c r="U4338">
        <f>IF(T4338&gt;=4.25,"Critical",IF(T4338&gt;=3.5,"High",IF(T4338&gt;=2,"Medium","Low")))</f>
        <v/>
      </c>
    </row>
    <row r="4339">
      <c r="R4339">
        <f>IFERROR(XLOOKUP(XLOOKUP(D4339,tblReleaseChanges[Change_ID],tblReleaseChanges[Oracle_Severity],""),tblSeverityMap[Severity_Text],tblSeverityMap[Score],0),0)</f>
        <v/>
      </c>
      <c r="T4339">
        <f>ROUND((M4339*0.25)+(N4339*0.20)+(O4339*0.15)+(P4339*0.15)+(Q4339*0.10)+(R4339*0.10)+(S4339*0.05),2)</f>
        <v/>
      </c>
      <c r="U4339">
        <f>IF(T4339&gt;=4.25,"Critical",IF(T4339&gt;=3.5,"High",IF(T4339&gt;=2,"Medium","Low")))</f>
        <v/>
      </c>
    </row>
    <row r="4340">
      <c r="R4340">
        <f>IFERROR(XLOOKUP(XLOOKUP(D4340,tblReleaseChanges[Change_ID],tblReleaseChanges[Oracle_Severity],""),tblSeverityMap[Severity_Text],tblSeverityMap[Score],0),0)</f>
        <v/>
      </c>
      <c r="T4340">
        <f>ROUND((M4340*0.25)+(N4340*0.20)+(O4340*0.15)+(P4340*0.15)+(Q4340*0.10)+(R4340*0.10)+(S4340*0.05),2)</f>
        <v/>
      </c>
      <c r="U4340">
        <f>IF(T4340&gt;=4.25,"Critical",IF(T4340&gt;=3.5,"High",IF(T4340&gt;=2,"Medium","Low")))</f>
        <v/>
      </c>
    </row>
    <row r="4341">
      <c r="R4341">
        <f>IFERROR(XLOOKUP(XLOOKUP(D4341,tblReleaseChanges[Change_ID],tblReleaseChanges[Oracle_Severity],""),tblSeverityMap[Severity_Text],tblSeverityMap[Score],0),0)</f>
        <v/>
      </c>
      <c r="T4341">
        <f>ROUND((M4341*0.25)+(N4341*0.20)+(O4341*0.15)+(P4341*0.15)+(Q4341*0.10)+(R4341*0.10)+(S4341*0.05),2)</f>
        <v/>
      </c>
      <c r="U4341">
        <f>IF(T4341&gt;=4.25,"Critical",IF(T4341&gt;=3.5,"High",IF(T4341&gt;=2,"Medium","Low")))</f>
        <v/>
      </c>
    </row>
    <row r="4342">
      <c r="R4342">
        <f>IFERROR(XLOOKUP(XLOOKUP(D4342,tblReleaseChanges[Change_ID],tblReleaseChanges[Oracle_Severity],""),tblSeverityMap[Severity_Text],tblSeverityMap[Score],0),0)</f>
        <v/>
      </c>
      <c r="T4342">
        <f>ROUND((M4342*0.25)+(N4342*0.20)+(O4342*0.15)+(P4342*0.15)+(Q4342*0.10)+(R4342*0.10)+(S4342*0.05),2)</f>
        <v/>
      </c>
      <c r="U4342">
        <f>IF(T4342&gt;=4.25,"Critical",IF(T4342&gt;=3.5,"High",IF(T4342&gt;=2,"Medium","Low")))</f>
        <v/>
      </c>
    </row>
    <row r="4343">
      <c r="R4343">
        <f>IFERROR(XLOOKUP(XLOOKUP(D4343,tblReleaseChanges[Change_ID],tblReleaseChanges[Oracle_Severity],""),tblSeverityMap[Severity_Text],tblSeverityMap[Score],0),0)</f>
        <v/>
      </c>
      <c r="T4343">
        <f>ROUND((M4343*0.25)+(N4343*0.20)+(O4343*0.15)+(P4343*0.15)+(Q4343*0.10)+(R4343*0.10)+(S4343*0.05),2)</f>
        <v/>
      </c>
      <c r="U4343">
        <f>IF(T4343&gt;=4.25,"Critical",IF(T4343&gt;=3.5,"High",IF(T4343&gt;=2,"Medium","Low")))</f>
        <v/>
      </c>
    </row>
    <row r="4344">
      <c r="R4344">
        <f>IFERROR(XLOOKUP(XLOOKUP(D4344,tblReleaseChanges[Change_ID],tblReleaseChanges[Oracle_Severity],""),tblSeverityMap[Severity_Text],tblSeverityMap[Score],0),0)</f>
        <v/>
      </c>
      <c r="T4344">
        <f>ROUND((M4344*0.25)+(N4344*0.20)+(O4344*0.15)+(P4344*0.15)+(Q4344*0.10)+(R4344*0.10)+(S4344*0.05),2)</f>
        <v/>
      </c>
      <c r="U4344">
        <f>IF(T4344&gt;=4.25,"Critical",IF(T4344&gt;=3.5,"High",IF(T4344&gt;=2,"Medium","Low")))</f>
        <v/>
      </c>
    </row>
    <row r="4345">
      <c r="R4345">
        <f>IFERROR(XLOOKUP(XLOOKUP(D4345,tblReleaseChanges[Change_ID],tblReleaseChanges[Oracle_Severity],""),tblSeverityMap[Severity_Text],tblSeverityMap[Score],0),0)</f>
        <v/>
      </c>
      <c r="T4345">
        <f>ROUND((M4345*0.25)+(N4345*0.20)+(O4345*0.15)+(P4345*0.15)+(Q4345*0.10)+(R4345*0.10)+(S4345*0.05),2)</f>
        <v/>
      </c>
      <c r="U4345">
        <f>IF(T4345&gt;=4.25,"Critical",IF(T4345&gt;=3.5,"High",IF(T4345&gt;=2,"Medium","Low")))</f>
        <v/>
      </c>
    </row>
    <row r="4346">
      <c r="R4346">
        <f>IFERROR(XLOOKUP(XLOOKUP(D4346,tblReleaseChanges[Change_ID],tblReleaseChanges[Oracle_Severity],""),tblSeverityMap[Severity_Text],tblSeverityMap[Score],0),0)</f>
        <v/>
      </c>
      <c r="T4346">
        <f>ROUND((M4346*0.25)+(N4346*0.20)+(O4346*0.15)+(P4346*0.15)+(Q4346*0.10)+(R4346*0.10)+(S4346*0.05),2)</f>
        <v/>
      </c>
      <c r="U4346">
        <f>IF(T4346&gt;=4.25,"Critical",IF(T4346&gt;=3.5,"High",IF(T4346&gt;=2,"Medium","Low")))</f>
        <v/>
      </c>
    </row>
    <row r="4347">
      <c r="R4347">
        <f>IFERROR(XLOOKUP(XLOOKUP(D4347,tblReleaseChanges[Change_ID],tblReleaseChanges[Oracle_Severity],""),tblSeverityMap[Severity_Text],tblSeverityMap[Score],0),0)</f>
        <v/>
      </c>
      <c r="T4347">
        <f>ROUND((M4347*0.25)+(N4347*0.20)+(O4347*0.15)+(P4347*0.15)+(Q4347*0.10)+(R4347*0.10)+(S4347*0.05),2)</f>
        <v/>
      </c>
      <c r="U4347">
        <f>IF(T4347&gt;=4.25,"Critical",IF(T4347&gt;=3.5,"High",IF(T4347&gt;=2,"Medium","Low")))</f>
        <v/>
      </c>
    </row>
    <row r="4348">
      <c r="R4348">
        <f>IFERROR(XLOOKUP(XLOOKUP(D4348,tblReleaseChanges[Change_ID],tblReleaseChanges[Oracle_Severity],""),tblSeverityMap[Severity_Text],tblSeverityMap[Score],0),0)</f>
        <v/>
      </c>
      <c r="T4348">
        <f>ROUND((M4348*0.25)+(N4348*0.20)+(O4348*0.15)+(P4348*0.15)+(Q4348*0.10)+(R4348*0.10)+(S4348*0.05),2)</f>
        <v/>
      </c>
      <c r="U4348">
        <f>IF(T4348&gt;=4.25,"Critical",IF(T4348&gt;=3.5,"High",IF(T4348&gt;=2,"Medium","Low")))</f>
        <v/>
      </c>
    </row>
    <row r="4349">
      <c r="R4349">
        <f>IFERROR(XLOOKUP(XLOOKUP(D4349,tblReleaseChanges[Change_ID],tblReleaseChanges[Oracle_Severity],""),tblSeverityMap[Severity_Text],tblSeverityMap[Score],0),0)</f>
        <v/>
      </c>
      <c r="T4349">
        <f>ROUND((M4349*0.25)+(N4349*0.20)+(O4349*0.15)+(P4349*0.15)+(Q4349*0.10)+(R4349*0.10)+(S4349*0.05),2)</f>
        <v/>
      </c>
      <c r="U4349">
        <f>IF(T4349&gt;=4.25,"Critical",IF(T4349&gt;=3.5,"High",IF(T4349&gt;=2,"Medium","Low")))</f>
        <v/>
      </c>
    </row>
    <row r="4350">
      <c r="R4350">
        <f>IFERROR(XLOOKUP(XLOOKUP(D4350,tblReleaseChanges[Change_ID],tblReleaseChanges[Oracle_Severity],""),tblSeverityMap[Severity_Text],tblSeverityMap[Score],0),0)</f>
        <v/>
      </c>
      <c r="T4350">
        <f>ROUND((M4350*0.25)+(N4350*0.20)+(O4350*0.15)+(P4350*0.15)+(Q4350*0.10)+(R4350*0.10)+(S4350*0.05),2)</f>
        <v/>
      </c>
      <c r="U4350">
        <f>IF(T4350&gt;=4.25,"Critical",IF(T4350&gt;=3.5,"High",IF(T4350&gt;=2,"Medium","Low")))</f>
        <v/>
      </c>
    </row>
    <row r="4351">
      <c r="R4351">
        <f>IFERROR(XLOOKUP(XLOOKUP(D4351,tblReleaseChanges[Change_ID],tblReleaseChanges[Oracle_Severity],""),tblSeverityMap[Severity_Text],tblSeverityMap[Score],0),0)</f>
        <v/>
      </c>
      <c r="T4351">
        <f>ROUND((M4351*0.25)+(N4351*0.20)+(O4351*0.15)+(P4351*0.15)+(Q4351*0.10)+(R4351*0.10)+(S4351*0.05),2)</f>
        <v/>
      </c>
      <c r="U4351">
        <f>IF(T4351&gt;=4.25,"Critical",IF(T4351&gt;=3.5,"High",IF(T4351&gt;=2,"Medium","Low")))</f>
        <v/>
      </c>
    </row>
    <row r="4352">
      <c r="R4352">
        <f>IFERROR(XLOOKUP(XLOOKUP(D4352,tblReleaseChanges[Change_ID],tblReleaseChanges[Oracle_Severity],""),tblSeverityMap[Severity_Text],tblSeverityMap[Score],0),0)</f>
        <v/>
      </c>
      <c r="T4352">
        <f>ROUND((M4352*0.25)+(N4352*0.20)+(O4352*0.15)+(P4352*0.15)+(Q4352*0.10)+(R4352*0.10)+(S4352*0.05),2)</f>
        <v/>
      </c>
      <c r="U4352">
        <f>IF(T4352&gt;=4.25,"Critical",IF(T4352&gt;=3.5,"High",IF(T4352&gt;=2,"Medium","Low")))</f>
        <v/>
      </c>
    </row>
    <row r="4353">
      <c r="R4353">
        <f>IFERROR(XLOOKUP(XLOOKUP(D4353,tblReleaseChanges[Change_ID],tblReleaseChanges[Oracle_Severity],""),tblSeverityMap[Severity_Text],tblSeverityMap[Score],0),0)</f>
        <v/>
      </c>
      <c r="T4353">
        <f>ROUND((M4353*0.25)+(N4353*0.20)+(O4353*0.15)+(P4353*0.15)+(Q4353*0.10)+(R4353*0.10)+(S4353*0.05),2)</f>
        <v/>
      </c>
      <c r="U4353">
        <f>IF(T4353&gt;=4.25,"Critical",IF(T4353&gt;=3.5,"High",IF(T4353&gt;=2,"Medium","Low")))</f>
        <v/>
      </c>
    </row>
    <row r="4354">
      <c r="R4354">
        <f>IFERROR(XLOOKUP(XLOOKUP(D4354,tblReleaseChanges[Change_ID],tblReleaseChanges[Oracle_Severity],""),tblSeverityMap[Severity_Text],tblSeverityMap[Score],0),0)</f>
        <v/>
      </c>
      <c r="T4354">
        <f>ROUND((M4354*0.25)+(N4354*0.20)+(O4354*0.15)+(P4354*0.15)+(Q4354*0.10)+(R4354*0.10)+(S4354*0.05),2)</f>
        <v/>
      </c>
      <c r="U4354">
        <f>IF(T4354&gt;=4.25,"Critical",IF(T4354&gt;=3.5,"High",IF(T4354&gt;=2,"Medium","Low")))</f>
        <v/>
      </c>
    </row>
    <row r="4355">
      <c r="R4355">
        <f>IFERROR(XLOOKUP(XLOOKUP(D4355,tblReleaseChanges[Change_ID],tblReleaseChanges[Oracle_Severity],""),tblSeverityMap[Severity_Text],tblSeverityMap[Score],0),0)</f>
        <v/>
      </c>
      <c r="T4355">
        <f>ROUND((M4355*0.25)+(N4355*0.20)+(O4355*0.15)+(P4355*0.15)+(Q4355*0.10)+(R4355*0.10)+(S4355*0.05),2)</f>
        <v/>
      </c>
      <c r="U4355">
        <f>IF(T4355&gt;=4.25,"Critical",IF(T4355&gt;=3.5,"High",IF(T4355&gt;=2,"Medium","Low")))</f>
        <v/>
      </c>
    </row>
    <row r="4356">
      <c r="R4356">
        <f>IFERROR(XLOOKUP(XLOOKUP(D4356,tblReleaseChanges[Change_ID],tblReleaseChanges[Oracle_Severity],""),tblSeverityMap[Severity_Text],tblSeverityMap[Score],0),0)</f>
        <v/>
      </c>
      <c r="T4356">
        <f>ROUND((M4356*0.25)+(N4356*0.20)+(O4356*0.15)+(P4356*0.15)+(Q4356*0.10)+(R4356*0.10)+(S4356*0.05),2)</f>
        <v/>
      </c>
      <c r="U4356">
        <f>IF(T4356&gt;=4.25,"Critical",IF(T4356&gt;=3.5,"High",IF(T4356&gt;=2,"Medium","Low")))</f>
        <v/>
      </c>
    </row>
    <row r="4357">
      <c r="R4357">
        <f>IFERROR(XLOOKUP(XLOOKUP(D4357,tblReleaseChanges[Change_ID],tblReleaseChanges[Oracle_Severity],""),tblSeverityMap[Severity_Text],tblSeverityMap[Score],0),0)</f>
        <v/>
      </c>
      <c r="T4357">
        <f>ROUND((M4357*0.25)+(N4357*0.20)+(O4357*0.15)+(P4357*0.15)+(Q4357*0.10)+(R4357*0.10)+(S4357*0.05),2)</f>
        <v/>
      </c>
      <c r="U4357">
        <f>IF(T4357&gt;=4.25,"Critical",IF(T4357&gt;=3.5,"High",IF(T4357&gt;=2,"Medium","Low")))</f>
        <v/>
      </c>
    </row>
    <row r="4358">
      <c r="R4358">
        <f>IFERROR(XLOOKUP(XLOOKUP(D4358,tblReleaseChanges[Change_ID],tblReleaseChanges[Oracle_Severity],""),tblSeverityMap[Severity_Text],tblSeverityMap[Score],0),0)</f>
        <v/>
      </c>
      <c r="T4358">
        <f>ROUND((M4358*0.25)+(N4358*0.20)+(O4358*0.15)+(P4358*0.15)+(Q4358*0.10)+(R4358*0.10)+(S4358*0.05),2)</f>
        <v/>
      </c>
      <c r="U4358">
        <f>IF(T4358&gt;=4.25,"Critical",IF(T4358&gt;=3.5,"High",IF(T4358&gt;=2,"Medium","Low")))</f>
        <v/>
      </c>
    </row>
    <row r="4359">
      <c r="R4359">
        <f>IFERROR(XLOOKUP(XLOOKUP(D4359,tblReleaseChanges[Change_ID],tblReleaseChanges[Oracle_Severity],""),tblSeverityMap[Severity_Text],tblSeverityMap[Score],0),0)</f>
        <v/>
      </c>
      <c r="T4359">
        <f>ROUND((M4359*0.25)+(N4359*0.20)+(O4359*0.15)+(P4359*0.15)+(Q4359*0.10)+(R4359*0.10)+(S4359*0.05),2)</f>
        <v/>
      </c>
      <c r="U4359">
        <f>IF(T4359&gt;=4.25,"Critical",IF(T4359&gt;=3.5,"High",IF(T4359&gt;=2,"Medium","Low")))</f>
        <v/>
      </c>
    </row>
    <row r="4360">
      <c r="R4360">
        <f>IFERROR(XLOOKUP(XLOOKUP(D4360,tblReleaseChanges[Change_ID],tblReleaseChanges[Oracle_Severity],""),tblSeverityMap[Severity_Text],tblSeverityMap[Score],0),0)</f>
        <v/>
      </c>
      <c r="T4360">
        <f>ROUND((M4360*0.25)+(N4360*0.20)+(O4360*0.15)+(P4360*0.15)+(Q4360*0.10)+(R4360*0.10)+(S4360*0.05),2)</f>
        <v/>
      </c>
      <c r="U4360">
        <f>IF(T4360&gt;=4.25,"Critical",IF(T4360&gt;=3.5,"High",IF(T4360&gt;=2,"Medium","Low")))</f>
        <v/>
      </c>
    </row>
    <row r="4361">
      <c r="R4361">
        <f>IFERROR(XLOOKUP(XLOOKUP(D4361,tblReleaseChanges[Change_ID],tblReleaseChanges[Oracle_Severity],""),tblSeverityMap[Severity_Text],tblSeverityMap[Score],0),0)</f>
        <v/>
      </c>
      <c r="T4361">
        <f>ROUND((M4361*0.25)+(N4361*0.20)+(O4361*0.15)+(P4361*0.15)+(Q4361*0.10)+(R4361*0.10)+(S4361*0.05),2)</f>
        <v/>
      </c>
      <c r="U4361">
        <f>IF(T4361&gt;=4.25,"Critical",IF(T4361&gt;=3.5,"High",IF(T4361&gt;=2,"Medium","Low")))</f>
        <v/>
      </c>
    </row>
    <row r="4362">
      <c r="R4362">
        <f>IFERROR(XLOOKUP(XLOOKUP(D4362,tblReleaseChanges[Change_ID],tblReleaseChanges[Oracle_Severity],""),tblSeverityMap[Severity_Text],tblSeverityMap[Score],0),0)</f>
        <v/>
      </c>
      <c r="T4362">
        <f>ROUND((M4362*0.25)+(N4362*0.20)+(O4362*0.15)+(P4362*0.15)+(Q4362*0.10)+(R4362*0.10)+(S4362*0.05),2)</f>
        <v/>
      </c>
      <c r="U4362">
        <f>IF(T4362&gt;=4.25,"Critical",IF(T4362&gt;=3.5,"High",IF(T4362&gt;=2,"Medium","Low")))</f>
        <v/>
      </c>
    </row>
    <row r="4363">
      <c r="R4363">
        <f>IFERROR(XLOOKUP(XLOOKUP(D4363,tblReleaseChanges[Change_ID],tblReleaseChanges[Oracle_Severity],""),tblSeverityMap[Severity_Text],tblSeverityMap[Score],0),0)</f>
        <v/>
      </c>
      <c r="T4363">
        <f>ROUND((M4363*0.25)+(N4363*0.20)+(O4363*0.15)+(P4363*0.15)+(Q4363*0.10)+(R4363*0.10)+(S4363*0.05),2)</f>
        <v/>
      </c>
      <c r="U4363">
        <f>IF(T4363&gt;=4.25,"Critical",IF(T4363&gt;=3.5,"High",IF(T4363&gt;=2,"Medium","Low")))</f>
        <v/>
      </c>
    </row>
    <row r="4364">
      <c r="R4364">
        <f>IFERROR(XLOOKUP(XLOOKUP(D4364,tblReleaseChanges[Change_ID],tblReleaseChanges[Oracle_Severity],""),tblSeverityMap[Severity_Text],tblSeverityMap[Score],0),0)</f>
        <v/>
      </c>
      <c r="T4364">
        <f>ROUND((M4364*0.25)+(N4364*0.20)+(O4364*0.15)+(P4364*0.15)+(Q4364*0.10)+(R4364*0.10)+(S4364*0.05),2)</f>
        <v/>
      </c>
      <c r="U4364">
        <f>IF(T4364&gt;=4.25,"Critical",IF(T4364&gt;=3.5,"High",IF(T4364&gt;=2,"Medium","Low")))</f>
        <v/>
      </c>
    </row>
    <row r="4365">
      <c r="R4365">
        <f>IFERROR(XLOOKUP(XLOOKUP(D4365,tblReleaseChanges[Change_ID],tblReleaseChanges[Oracle_Severity],""),tblSeverityMap[Severity_Text],tblSeverityMap[Score],0),0)</f>
        <v/>
      </c>
      <c r="T4365">
        <f>ROUND((M4365*0.25)+(N4365*0.20)+(O4365*0.15)+(P4365*0.15)+(Q4365*0.10)+(R4365*0.10)+(S4365*0.05),2)</f>
        <v/>
      </c>
      <c r="U4365">
        <f>IF(T4365&gt;=4.25,"Critical",IF(T4365&gt;=3.5,"High",IF(T4365&gt;=2,"Medium","Low")))</f>
        <v/>
      </c>
    </row>
    <row r="4366">
      <c r="R4366">
        <f>IFERROR(XLOOKUP(XLOOKUP(D4366,tblReleaseChanges[Change_ID],tblReleaseChanges[Oracle_Severity],""),tblSeverityMap[Severity_Text],tblSeverityMap[Score],0),0)</f>
        <v/>
      </c>
      <c r="T4366">
        <f>ROUND((M4366*0.25)+(N4366*0.20)+(O4366*0.15)+(P4366*0.15)+(Q4366*0.10)+(R4366*0.10)+(S4366*0.05),2)</f>
        <v/>
      </c>
      <c r="U4366">
        <f>IF(T4366&gt;=4.25,"Critical",IF(T4366&gt;=3.5,"High",IF(T4366&gt;=2,"Medium","Low")))</f>
        <v/>
      </c>
    </row>
    <row r="4367">
      <c r="R4367">
        <f>IFERROR(XLOOKUP(XLOOKUP(D4367,tblReleaseChanges[Change_ID],tblReleaseChanges[Oracle_Severity],""),tblSeverityMap[Severity_Text],tblSeverityMap[Score],0),0)</f>
        <v/>
      </c>
      <c r="T4367">
        <f>ROUND((M4367*0.25)+(N4367*0.20)+(O4367*0.15)+(P4367*0.15)+(Q4367*0.10)+(R4367*0.10)+(S4367*0.05),2)</f>
        <v/>
      </c>
      <c r="U4367">
        <f>IF(T4367&gt;=4.25,"Critical",IF(T4367&gt;=3.5,"High",IF(T4367&gt;=2,"Medium","Low")))</f>
        <v/>
      </c>
    </row>
    <row r="4368">
      <c r="R4368">
        <f>IFERROR(XLOOKUP(XLOOKUP(D4368,tblReleaseChanges[Change_ID],tblReleaseChanges[Oracle_Severity],""),tblSeverityMap[Severity_Text],tblSeverityMap[Score],0),0)</f>
        <v/>
      </c>
      <c r="T4368">
        <f>ROUND((M4368*0.25)+(N4368*0.20)+(O4368*0.15)+(P4368*0.15)+(Q4368*0.10)+(R4368*0.10)+(S4368*0.05),2)</f>
        <v/>
      </c>
      <c r="U4368">
        <f>IF(T4368&gt;=4.25,"Critical",IF(T4368&gt;=3.5,"High",IF(T4368&gt;=2,"Medium","Low")))</f>
        <v/>
      </c>
    </row>
    <row r="4369">
      <c r="R4369">
        <f>IFERROR(XLOOKUP(XLOOKUP(D4369,tblReleaseChanges[Change_ID],tblReleaseChanges[Oracle_Severity],""),tblSeverityMap[Severity_Text],tblSeverityMap[Score],0),0)</f>
        <v/>
      </c>
      <c r="T4369">
        <f>ROUND((M4369*0.25)+(N4369*0.20)+(O4369*0.15)+(P4369*0.15)+(Q4369*0.10)+(R4369*0.10)+(S4369*0.05),2)</f>
        <v/>
      </c>
      <c r="U4369">
        <f>IF(T4369&gt;=4.25,"Critical",IF(T4369&gt;=3.5,"High",IF(T4369&gt;=2,"Medium","Low")))</f>
        <v/>
      </c>
    </row>
    <row r="4370">
      <c r="R4370">
        <f>IFERROR(XLOOKUP(XLOOKUP(D4370,tblReleaseChanges[Change_ID],tblReleaseChanges[Oracle_Severity],""),tblSeverityMap[Severity_Text],tblSeverityMap[Score],0),0)</f>
        <v/>
      </c>
      <c r="T4370">
        <f>ROUND((M4370*0.25)+(N4370*0.20)+(O4370*0.15)+(P4370*0.15)+(Q4370*0.10)+(R4370*0.10)+(S4370*0.05),2)</f>
        <v/>
      </c>
      <c r="U4370">
        <f>IF(T4370&gt;=4.25,"Critical",IF(T4370&gt;=3.5,"High",IF(T4370&gt;=2,"Medium","Low")))</f>
        <v/>
      </c>
    </row>
    <row r="4371">
      <c r="R4371">
        <f>IFERROR(XLOOKUP(XLOOKUP(D4371,tblReleaseChanges[Change_ID],tblReleaseChanges[Oracle_Severity],""),tblSeverityMap[Severity_Text],tblSeverityMap[Score],0),0)</f>
        <v/>
      </c>
      <c r="T4371">
        <f>ROUND((M4371*0.25)+(N4371*0.20)+(O4371*0.15)+(P4371*0.15)+(Q4371*0.10)+(R4371*0.10)+(S4371*0.05),2)</f>
        <v/>
      </c>
      <c r="U4371">
        <f>IF(T4371&gt;=4.25,"Critical",IF(T4371&gt;=3.5,"High",IF(T4371&gt;=2,"Medium","Low")))</f>
        <v/>
      </c>
    </row>
    <row r="4372">
      <c r="R4372">
        <f>IFERROR(XLOOKUP(XLOOKUP(D4372,tblReleaseChanges[Change_ID],tblReleaseChanges[Oracle_Severity],""),tblSeverityMap[Severity_Text],tblSeverityMap[Score],0),0)</f>
        <v/>
      </c>
      <c r="T4372">
        <f>ROUND((M4372*0.25)+(N4372*0.20)+(O4372*0.15)+(P4372*0.15)+(Q4372*0.10)+(R4372*0.10)+(S4372*0.05),2)</f>
        <v/>
      </c>
      <c r="U4372">
        <f>IF(T4372&gt;=4.25,"Critical",IF(T4372&gt;=3.5,"High",IF(T4372&gt;=2,"Medium","Low")))</f>
        <v/>
      </c>
    </row>
    <row r="4373">
      <c r="R4373">
        <f>IFERROR(XLOOKUP(XLOOKUP(D4373,tblReleaseChanges[Change_ID],tblReleaseChanges[Oracle_Severity],""),tblSeverityMap[Severity_Text],tblSeverityMap[Score],0),0)</f>
        <v/>
      </c>
      <c r="T4373">
        <f>ROUND((M4373*0.25)+(N4373*0.20)+(O4373*0.15)+(P4373*0.15)+(Q4373*0.10)+(R4373*0.10)+(S4373*0.05),2)</f>
        <v/>
      </c>
      <c r="U4373">
        <f>IF(T4373&gt;=4.25,"Critical",IF(T4373&gt;=3.5,"High",IF(T4373&gt;=2,"Medium","Low")))</f>
        <v/>
      </c>
    </row>
    <row r="4374">
      <c r="R4374">
        <f>IFERROR(XLOOKUP(XLOOKUP(D4374,tblReleaseChanges[Change_ID],tblReleaseChanges[Oracle_Severity],""),tblSeverityMap[Severity_Text],tblSeverityMap[Score],0),0)</f>
        <v/>
      </c>
      <c r="T4374">
        <f>ROUND((M4374*0.25)+(N4374*0.20)+(O4374*0.15)+(P4374*0.15)+(Q4374*0.10)+(R4374*0.10)+(S4374*0.05),2)</f>
        <v/>
      </c>
      <c r="U4374">
        <f>IF(T4374&gt;=4.25,"Critical",IF(T4374&gt;=3.5,"High",IF(T4374&gt;=2,"Medium","Low")))</f>
        <v/>
      </c>
    </row>
    <row r="4375">
      <c r="R4375">
        <f>IFERROR(XLOOKUP(XLOOKUP(D4375,tblReleaseChanges[Change_ID],tblReleaseChanges[Oracle_Severity],""),tblSeverityMap[Severity_Text],tblSeverityMap[Score],0),0)</f>
        <v/>
      </c>
      <c r="T4375">
        <f>ROUND((M4375*0.25)+(N4375*0.20)+(O4375*0.15)+(P4375*0.15)+(Q4375*0.10)+(R4375*0.10)+(S4375*0.05),2)</f>
        <v/>
      </c>
      <c r="U4375">
        <f>IF(T4375&gt;=4.25,"Critical",IF(T4375&gt;=3.5,"High",IF(T4375&gt;=2,"Medium","Low")))</f>
        <v/>
      </c>
    </row>
    <row r="4376">
      <c r="R4376">
        <f>IFERROR(XLOOKUP(XLOOKUP(D4376,tblReleaseChanges[Change_ID],tblReleaseChanges[Oracle_Severity],""),tblSeverityMap[Severity_Text],tblSeverityMap[Score],0),0)</f>
        <v/>
      </c>
      <c r="T4376">
        <f>ROUND((M4376*0.25)+(N4376*0.20)+(O4376*0.15)+(P4376*0.15)+(Q4376*0.10)+(R4376*0.10)+(S4376*0.05),2)</f>
        <v/>
      </c>
      <c r="U4376">
        <f>IF(T4376&gt;=4.25,"Critical",IF(T4376&gt;=3.5,"High",IF(T4376&gt;=2,"Medium","Low")))</f>
        <v/>
      </c>
    </row>
    <row r="4377">
      <c r="R4377">
        <f>IFERROR(XLOOKUP(XLOOKUP(D4377,tblReleaseChanges[Change_ID],tblReleaseChanges[Oracle_Severity],""),tblSeverityMap[Severity_Text],tblSeverityMap[Score],0),0)</f>
        <v/>
      </c>
      <c r="T4377">
        <f>ROUND((M4377*0.25)+(N4377*0.20)+(O4377*0.15)+(P4377*0.15)+(Q4377*0.10)+(R4377*0.10)+(S4377*0.05),2)</f>
        <v/>
      </c>
      <c r="U4377">
        <f>IF(T4377&gt;=4.25,"Critical",IF(T4377&gt;=3.5,"High",IF(T4377&gt;=2,"Medium","Low")))</f>
        <v/>
      </c>
    </row>
    <row r="4378">
      <c r="R4378">
        <f>IFERROR(XLOOKUP(XLOOKUP(D4378,tblReleaseChanges[Change_ID],tblReleaseChanges[Oracle_Severity],""),tblSeverityMap[Severity_Text],tblSeverityMap[Score],0),0)</f>
        <v/>
      </c>
      <c r="T4378">
        <f>ROUND((M4378*0.25)+(N4378*0.20)+(O4378*0.15)+(P4378*0.15)+(Q4378*0.10)+(R4378*0.10)+(S4378*0.05),2)</f>
        <v/>
      </c>
      <c r="U4378">
        <f>IF(T4378&gt;=4.25,"Critical",IF(T4378&gt;=3.5,"High",IF(T4378&gt;=2,"Medium","Low")))</f>
        <v/>
      </c>
    </row>
    <row r="4379">
      <c r="R4379">
        <f>IFERROR(XLOOKUP(XLOOKUP(D4379,tblReleaseChanges[Change_ID],tblReleaseChanges[Oracle_Severity],""),tblSeverityMap[Severity_Text],tblSeverityMap[Score],0),0)</f>
        <v/>
      </c>
      <c r="T4379">
        <f>ROUND((M4379*0.25)+(N4379*0.20)+(O4379*0.15)+(P4379*0.15)+(Q4379*0.10)+(R4379*0.10)+(S4379*0.05),2)</f>
        <v/>
      </c>
      <c r="U4379">
        <f>IF(T4379&gt;=4.25,"Critical",IF(T4379&gt;=3.5,"High",IF(T4379&gt;=2,"Medium","Low")))</f>
        <v/>
      </c>
    </row>
    <row r="4380">
      <c r="R4380">
        <f>IFERROR(XLOOKUP(XLOOKUP(D4380,tblReleaseChanges[Change_ID],tblReleaseChanges[Oracle_Severity],""),tblSeverityMap[Severity_Text],tblSeverityMap[Score],0),0)</f>
        <v/>
      </c>
      <c r="T4380">
        <f>ROUND((M4380*0.25)+(N4380*0.20)+(O4380*0.15)+(P4380*0.15)+(Q4380*0.10)+(R4380*0.10)+(S4380*0.05),2)</f>
        <v/>
      </c>
      <c r="U4380">
        <f>IF(T4380&gt;=4.25,"Critical",IF(T4380&gt;=3.5,"High",IF(T4380&gt;=2,"Medium","Low")))</f>
        <v/>
      </c>
    </row>
    <row r="4381">
      <c r="R4381">
        <f>IFERROR(XLOOKUP(XLOOKUP(D4381,tblReleaseChanges[Change_ID],tblReleaseChanges[Oracle_Severity],""),tblSeverityMap[Severity_Text],tblSeverityMap[Score],0),0)</f>
        <v/>
      </c>
      <c r="T4381">
        <f>ROUND((M4381*0.25)+(N4381*0.20)+(O4381*0.15)+(P4381*0.15)+(Q4381*0.10)+(R4381*0.10)+(S4381*0.05),2)</f>
        <v/>
      </c>
      <c r="U4381">
        <f>IF(T4381&gt;=4.25,"Critical",IF(T4381&gt;=3.5,"High",IF(T4381&gt;=2,"Medium","Low")))</f>
        <v/>
      </c>
    </row>
    <row r="4382">
      <c r="R4382">
        <f>IFERROR(XLOOKUP(XLOOKUP(D4382,tblReleaseChanges[Change_ID],tblReleaseChanges[Oracle_Severity],""),tblSeverityMap[Severity_Text],tblSeverityMap[Score],0),0)</f>
        <v/>
      </c>
      <c r="T4382">
        <f>ROUND((M4382*0.25)+(N4382*0.20)+(O4382*0.15)+(P4382*0.15)+(Q4382*0.10)+(R4382*0.10)+(S4382*0.05),2)</f>
        <v/>
      </c>
      <c r="U4382">
        <f>IF(T4382&gt;=4.25,"Critical",IF(T4382&gt;=3.5,"High",IF(T4382&gt;=2,"Medium","Low")))</f>
        <v/>
      </c>
    </row>
    <row r="4383">
      <c r="R4383">
        <f>IFERROR(XLOOKUP(XLOOKUP(D4383,tblReleaseChanges[Change_ID],tblReleaseChanges[Oracle_Severity],""),tblSeverityMap[Severity_Text],tblSeverityMap[Score],0),0)</f>
        <v/>
      </c>
      <c r="T4383">
        <f>ROUND((M4383*0.25)+(N4383*0.20)+(O4383*0.15)+(P4383*0.15)+(Q4383*0.10)+(R4383*0.10)+(S4383*0.05),2)</f>
        <v/>
      </c>
      <c r="U4383">
        <f>IF(T4383&gt;=4.25,"Critical",IF(T4383&gt;=3.5,"High",IF(T4383&gt;=2,"Medium","Low")))</f>
        <v/>
      </c>
    </row>
    <row r="4384">
      <c r="R4384">
        <f>IFERROR(XLOOKUP(XLOOKUP(D4384,tblReleaseChanges[Change_ID],tblReleaseChanges[Oracle_Severity],""),tblSeverityMap[Severity_Text],tblSeverityMap[Score],0),0)</f>
        <v/>
      </c>
      <c r="T4384">
        <f>ROUND((M4384*0.25)+(N4384*0.20)+(O4384*0.15)+(P4384*0.15)+(Q4384*0.10)+(R4384*0.10)+(S4384*0.05),2)</f>
        <v/>
      </c>
      <c r="U4384">
        <f>IF(T4384&gt;=4.25,"Critical",IF(T4384&gt;=3.5,"High",IF(T4384&gt;=2,"Medium","Low")))</f>
        <v/>
      </c>
    </row>
    <row r="4385">
      <c r="R4385">
        <f>IFERROR(XLOOKUP(XLOOKUP(D4385,tblReleaseChanges[Change_ID],tblReleaseChanges[Oracle_Severity],""),tblSeverityMap[Severity_Text],tblSeverityMap[Score],0),0)</f>
        <v/>
      </c>
      <c r="T4385">
        <f>ROUND((M4385*0.25)+(N4385*0.20)+(O4385*0.15)+(P4385*0.15)+(Q4385*0.10)+(R4385*0.10)+(S4385*0.05),2)</f>
        <v/>
      </c>
      <c r="U4385">
        <f>IF(T4385&gt;=4.25,"Critical",IF(T4385&gt;=3.5,"High",IF(T4385&gt;=2,"Medium","Low")))</f>
        <v/>
      </c>
    </row>
    <row r="4386">
      <c r="R4386">
        <f>IFERROR(XLOOKUP(XLOOKUP(D4386,tblReleaseChanges[Change_ID],tblReleaseChanges[Oracle_Severity],""),tblSeverityMap[Severity_Text],tblSeverityMap[Score],0),0)</f>
        <v/>
      </c>
      <c r="T4386">
        <f>ROUND((M4386*0.25)+(N4386*0.20)+(O4386*0.15)+(P4386*0.15)+(Q4386*0.10)+(R4386*0.10)+(S4386*0.05),2)</f>
        <v/>
      </c>
      <c r="U4386">
        <f>IF(T4386&gt;=4.25,"Critical",IF(T4386&gt;=3.5,"High",IF(T4386&gt;=2,"Medium","Low")))</f>
        <v/>
      </c>
    </row>
    <row r="4387">
      <c r="R4387">
        <f>IFERROR(XLOOKUP(XLOOKUP(D4387,tblReleaseChanges[Change_ID],tblReleaseChanges[Oracle_Severity],""),tblSeverityMap[Severity_Text],tblSeverityMap[Score],0),0)</f>
        <v/>
      </c>
      <c r="T4387">
        <f>ROUND((M4387*0.25)+(N4387*0.20)+(O4387*0.15)+(P4387*0.15)+(Q4387*0.10)+(R4387*0.10)+(S4387*0.05),2)</f>
        <v/>
      </c>
      <c r="U4387">
        <f>IF(T4387&gt;=4.25,"Critical",IF(T4387&gt;=3.5,"High",IF(T4387&gt;=2,"Medium","Low")))</f>
        <v/>
      </c>
    </row>
    <row r="4388">
      <c r="R4388">
        <f>IFERROR(XLOOKUP(XLOOKUP(D4388,tblReleaseChanges[Change_ID],tblReleaseChanges[Oracle_Severity],""),tblSeverityMap[Severity_Text],tblSeverityMap[Score],0),0)</f>
        <v/>
      </c>
      <c r="T4388">
        <f>ROUND((M4388*0.25)+(N4388*0.20)+(O4388*0.15)+(P4388*0.15)+(Q4388*0.10)+(R4388*0.10)+(S4388*0.05),2)</f>
        <v/>
      </c>
      <c r="U4388">
        <f>IF(T4388&gt;=4.25,"Critical",IF(T4388&gt;=3.5,"High",IF(T4388&gt;=2,"Medium","Low")))</f>
        <v/>
      </c>
    </row>
    <row r="4389">
      <c r="R4389">
        <f>IFERROR(XLOOKUP(XLOOKUP(D4389,tblReleaseChanges[Change_ID],tblReleaseChanges[Oracle_Severity],""),tblSeverityMap[Severity_Text],tblSeverityMap[Score],0),0)</f>
        <v/>
      </c>
      <c r="T4389">
        <f>ROUND((M4389*0.25)+(N4389*0.20)+(O4389*0.15)+(P4389*0.15)+(Q4389*0.10)+(R4389*0.10)+(S4389*0.05),2)</f>
        <v/>
      </c>
      <c r="U4389">
        <f>IF(T4389&gt;=4.25,"Critical",IF(T4389&gt;=3.5,"High",IF(T4389&gt;=2,"Medium","Low")))</f>
        <v/>
      </c>
    </row>
    <row r="4390">
      <c r="R4390">
        <f>IFERROR(XLOOKUP(XLOOKUP(D4390,tblReleaseChanges[Change_ID],tblReleaseChanges[Oracle_Severity],""),tblSeverityMap[Severity_Text],tblSeverityMap[Score],0),0)</f>
        <v/>
      </c>
      <c r="T4390">
        <f>ROUND((M4390*0.25)+(N4390*0.20)+(O4390*0.15)+(P4390*0.15)+(Q4390*0.10)+(R4390*0.10)+(S4390*0.05),2)</f>
        <v/>
      </c>
      <c r="U4390">
        <f>IF(T4390&gt;=4.25,"Critical",IF(T4390&gt;=3.5,"High",IF(T4390&gt;=2,"Medium","Low")))</f>
        <v/>
      </c>
    </row>
    <row r="4391">
      <c r="R4391">
        <f>IFERROR(XLOOKUP(XLOOKUP(D4391,tblReleaseChanges[Change_ID],tblReleaseChanges[Oracle_Severity],""),tblSeverityMap[Severity_Text],tblSeverityMap[Score],0),0)</f>
        <v/>
      </c>
      <c r="T4391">
        <f>ROUND((M4391*0.25)+(N4391*0.20)+(O4391*0.15)+(P4391*0.15)+(Q4391*0.10)+(R4391*0.10)+(S4391*0.05),2)</f>
        <v/>
      </c>
      <c r="U4391">
        <f>IF(T4391&gt;=4.25,"Critical",IF(T4391&gt;=3.5,"High",IF(T4391&gt;=2,"Medium","Low")))</f>
        <v/>
      </c>
    </row>
    <row r="4392">
      <c r="R4392">
        <f>IFERROR(XLOOKUP(XLOOKUP(D4392,tblReleaseChanges[Change_ID],tblReleaseChanges[Oracle_Severity],""),tblSeverityMap[Severity_Text],tblSeverityMap[Score],0),0)</f>
        <v/>
      </c>
      <c r="T4392">
        <f>ROUND((M4392*0.25)+(N4392*0.20)+(O4392*0.15)+(P4392*0.15)+(Q4392*0.10)+(R4392*0.10)+(S4392*0.05),2)</f>
        <v/>
      </c>
      <c r="U4392">
        <f>IF(T4392&gt;=4.25,"Critical",IF(T4392&gt;=3.5,"High",IF(T4392&gt;=2,"Medium","Low")))</f>
        <v/>
      </c>
    </row>
    <row r="4393">
      <c r="R4393">
        <f>IFERROR(XLOOKUP(XLOOKUP(D4393,tblReleaseChanges[Change_ID],tblReleaseChanges[Oracle_Severity],""),tblSeverityMap[Severity_Text],tblSeverityMap[Score],0),0)</f>
        <v/>
      </c>
      <c r="T4393">
        <f>ROUND((M4393*0.25)+(N4393*0.20)+(O4393*0.15)+(P4393*0.15)+(Q4393*0.10)+(R4393*0.10)+(S4393*0.05),2)</f>
        <v/>
      </c>
      <c r="U4393">
        <f>IF(T4393&gt;=4.25,"Critical",IF(T4393&gt;=3.5,"High",IF(T4393&gt;=2,"Medium","Low")))</f>
        <v/>
      </c>
    </row>
    <row r="4394">
      <c r="R4394">
        <f>IFERROR(XLOOKUP(XLOOKUP(D4394,tblReleaseChanges[Change_ID],tblReleaseChanges[Oracle_Severity],""),tblSeverityMap[Severity_Text],tblSeverityMap[Score],0),0)</f>
        <v/>
      </c>
      <c r="T4394">
        <f>ROUND((M4394*0.25)+(N4394*0.20)+(O4394*0.15)+(P4394*0.15)+(Q4394*0.10)+(R4394*0.10)+(S4394*0.05),2)</f>
        <v/>
      </c>
      <c r="U4394">
        <f>IF(T4394&gt;=4.25,"Critical",IF(T4394&gt;=3.5,"High",IF(T4394&gt;=2,"Medium","Low")))</f>
        <v/>
      </c>
    </row>
    <row r="4395">
      <c r="R4395">
        <f>IFERROR(XLOOKUP(XLOOKUP(D4395,tblReleaseChanges[Change_ID],tblReleaseChanges[Oracle_Severity],""),tblSeverityMap[Severity_Text],tblSeverityMap[Score],0),0)</f>
        <v/>
      </c>
      <c r="T4395">
        <f>ROUND((M4395*0.25)+(N4395*0.20)+(O4395*0.15)+(P4395*0.15)+(Q4395*0.10)+(R4395*0.10)+(S4395*0.05),2)</f>
        <v/>
      </c>
      <c r="U4395">
        <f>IF(T4395&gt;=4.25,"Critical",IF(T4395&gt;=3.5,"High",IF(T4395&gt;=2,"Medium","Low")))</f>
        <v/>
      </c>
    </row>
    <row r="4396">
      <c r="R4396">
        <f>IFERROR(XLOOKUP(XLOOKUP(D4396,tblReleaseChanges[Change_ID],tblReleaseChanges[Oracle_Severity],""),tblSeverityMap[Severity_Text],tblSeverityMap[Score],0),0)</f>
        <v/>
      </c>
      <c r="T4396">
        <f>ROUND((M4396*0.25)+(N4396*0.20)+(O4396*0.15)+(P4396*0.15)+(Q4396*0.10)+(R4396*0.10)+(S4396*0.05),2)</f>
        <v/>
      </c>
      <c r="U4396">
        <f>IF(T4396&gt;=4.25,"Critical",IF(T4396&gt;=3.5,"High",IF(T4396&gt;=2,"Medium","Low")))</f>
        <v/>
      </c>
    </row>
    <row r="4397">
      <c r="R4397">
        <f>IFERROR(XLOOKUP(XLOOKUP(D4397,tblReleaseChanges[Change_ID],tblReleaseChanges[Oracle_Severity],""),tblSeverityMap[Severity_Text],tblSeverityMap[Score],0),0)</f>
        <v/>
      </c>
      <c r="T4397">
        <f>ROUND((M4397*0.25)+(N4397*0.20)+(O4397*0.15)+(P4397*0.15)+(Q4397*0.10)+(R4397*0.10)+(S4397*0.05),2)</f>
        <v/>
      </c>
      <c r="U4397">
        <f>IF(T4397&gt;=4.25,"Critical",IF(T4397&gt;=3.5,"High",IF(T4397&gt;=2,"Medium","Low")))</f>
        <v/>
      </c>
    </row>
    <row r="4398">
      <c r="R4398">
        <f>IFERROR(XLOOKUP(XLOOKUP(D4398,tblReleaseChanges[Change_ID],tblReleaseChanges[Oracle_Severity],""),tblSeverityMap[Severity_Text],tblSeverityMap[Score],0),0)</f>
        <v/>
      </c>
      <c r="T4398">
        <f>ROUND((M4398*0.25)+(N4398*0.20)+(O4398*0.15)+(P4398*0.15)+(Q4398*0.10)+(R4398*0.10)+(S4398*0.05),2)</f>
        <v/>
      </c>
      <c r="U4398">
        <f>IF(T4398&gt;=4.25,"Critical",IF(T4398&gt;=3.5,"High",IF(T4398&gt;=2,"Medium","Low")))</f>
        <v/>
      </c>
    </row>
    <row r="4399">
      <c r="R4399">
        <f>IFERROR(XLOOKUP(XLOOKUP(D4399,tblReleaseChanges[Change_ID],tblReleaseChanges[Oracle_Severity],""),tblSeverityMap[Severity_Text],tblSeverityMap[Score],0),0)</f>
        <v/>
      </c>
      <c r="T4399">
        <f>ROUND((M4399*0.25)+(N4399*0.20)+(O4399*0.15)+(P4399*0.15)+(Q4399*0.10)+(R4399*0.10)+(S4399*0.05),2)</f>
        <v/>
      </c>
      <c r="U4399">
        <f>IF(T4399&gt;=4.25,"Critical",IF(T4399&gt;=3.5,"High",IF(T4399&gt;=2,"Medium","Low")))</f>
        <v/>
      </c>
    </row>
    <row r="4400">
      <c r="R4400">
        <f>IFERROR(XLOOKUP(XLOOKUP(D4400,tblReleaseChanges[Change_ID],tblReleaseChanges[Oracle_Severity],""),tblSeverityMap[Severity_Text],tblSeverityMap[Score],0),0)</f>
        <v/>
      </c>
      <c r="T4400">
        <f>ROUND((M4400*0.25)+(N4400*0.20)+(O4400*0.15)+(P4400*0.15)+(Q4400*0.10)+(R4400*0.10)+(S4400*0.05),2)</f>
        <v/>
      </c>
      <c r="U4400">
        <f>IF(T4400&gt;=4.25,"Critical",IF(T4400&gt;=3.5,"High",IF(T4400&gt;=2,"Medium","Low")))</f>
        <v/>
      </c>
    </row>
    <row r="4401">
      <c r="R4401">
        <f>IFERROR(XLOOKUP(XLOOKUP(D4401,tblReleaseChanges[Change_ID],tblReleaseChanges[Oracle_Severity],""),tblSeverityMap[Severity_Text],tblSeverityMap[Score],0),0)</f>
        <v/>
      </c>
      <c r="T4401">
        <f>ROUND((M4401*0.25)+(N4401*0.20)+(O4401*0.15)+(P4401*0.15)+(Q4401*0.10)+(R4401*0.10)+(S4401*0.05),2)</f>
        <v/>
      </c>
      <c r="U4401">
        <f>IF(T4401&gt;=4.25,"Critical",IF(T4401&gt;=3.5,"High",IF(T4401&gt;=2,"Medium","Low")))</f>
        <v/>
      </c>
    </row>
    <row r="4402">
      <c r="R4402">
        <f>IFERROR(XLOOKUP(XLOOKUP(D4402,tblReleaseChanges[Change_ID],tblReleaseChanges[Oracle_Severity],""),tblSeverityMap[Severity_Text],tblSeverityMap[Score],0),0)</f>
        <v/>
      </c>
      <c r="T4402">
        <f>ROUND((M4402*0.25)+(N4402*0.20)+(O4402*0.15)+(P4402*0.15)+(Q4402*0.10)+(R4402*0.10)+(S4402*0.05),2)</f>
        <v/>
      </c>
      <c r="U4402">
        <f>IF(T4402&gt;=4.25,"Critical",IF(T4402&gt;=3.5,"High",IF(T4402&gt;=2,"Medium","Low")))</f>
        <v/>
      </c>
    </row>
    <row r="4403">
      <c r="R4403">
        <f>IFERROR(XLOOKUP(XLOOKUP(D4403,tblReleaseChanges[Change_ID],tblReleaseChanges[Oracle_Severity],""),tblSeverityMap[Severity_Text],tblSeverityMap[Score],0),0)</f>
        <v/>
      </c>
      <c r="T4403">
        <f>ROUND((M4403*0.25)+(N4403*0.20)+(O4403*0.15)+(P4403*0.15)+(Q4403*0.10)+(R4403*0.10)+(S4403*0.05),2)</f>
        <v/>
      </c>
      <c r="U4403">
        <f>IF(T4403&gt;=4.25,"Critical",IF(T4403&gt;=3.5,"High",IF(T4403&gt;=2,"Medium","Low")))</f>
        <v/>
      </c>
    </row>
    <row r="4404">
      <c r="R4404">
        <f>IFERROR(XLOOKUP(XLOOKUP(D4404,tblReleaseChanges[Change_ID],tblReleaseChanges[Oracle_Severity],""),tblSeverityMap[Severity_Text],tblSeverityMap[Score],0),0)</f>
        <v/>
      </c>
      <c r="T4404">
        <f>ROUND((M4404*0.25)+(N4404*0.20)+(O4404*0.15)+(P4404*0.15)+(Q4404*0.10)+(R4404*0.10)+(S4404*0.05),2)</f>
        <v/>
      </c>
      <c r="U4404">
        <f>IF(T4404&gt;=4.25,"Critical",IF(T4404&gt;=3.5,"High",IF(T4404&gt;=2,"Medium","Low")))</f>
        <v/>
      </c>
    </row>
    <row r="4405">
      <c r="R4405">
        <f>IFERROR(XLOOKUP(XLOOKUP(D4405,tblReleaseChanges[Change_ID],tblReleaseChanges[Oracle_Severity],""),tblSeverityMap[Severity_Text],tblSeverityMap[Score],0),0)</f>
        <v/>
      </c>
      <c r="T4405">
        <f>ROUND((M4405*0.25)+(N4405*0.20)+(O4405*0.15)+(P4405*0.15)+(Q4405*0.10)+(R4405*0.10)+(S4405*0.05),2)</f>
        <v/>
      </c>
      <c r="U4405">
        <f>IF(T4405&gt;=4.25,"Critical",IF(T4405&gt;=3.5,"High",IF(T4405&gt;=2,"Medium","Low")))</f>
        <v/>
      </c>
    </row>
    <row r="4406">
      <c r="R4406">
        <f>IFERROR(XLOOKUP(XLOOKUP(D4406,tblReleaseChanges[Change_ID],tblReleaseChanges[Oracle_Severity],""),tblSeverityMap[Severity_Text],tblSeverityMap[Score],0),0)</f>
        <v/>
      </c>
      <c r="T4406">
        <f>ROUND((M4406*0.25)+(N4406*0.20)+(O4406*0.15)+(P4406*0.15)+(Q4406*0.10)+(R4406*0.10)+(S4406*0.05),2)</f>
        <v/>
      </c>
      <c r="U4406">
        <f>IF(T4406&gt;=4.25,"Critical",IF(T4406&gt;=3.5,"High",IF(T4406&gt;=2,"Medium","Low")))</f>
        <v/>
      </c>
    </row>
    <row r="4407">
      <c r="R4407">
        <f>IFERROR(XLOOKUP(XLOOKUP(D4407,tblReleaseChanges[Change_ID],tblReleaseChanges[Oracle_Severity],""),tblSeverityMap[Severity_Text],tblSeverityMap[Score],0),0)</f>
        <v/>
      </c>
      <c r="T4407">
        <f>ROUND((M4407*0.25)+(N4407*0.20)+(O4407*0.15)+(P4407*0.15)+(Q4407*0.10)+(R4407*0.10)+(S4407*0.05),2)</f>
        <v/>
      </c>
      <c r="U4407">
        <f>IF(T4407&gt;=4.25,"Critical",IF(T4407&gt;=3.5,"High",IF(T4407&gt;=2,"Medium","Low")))</f>
        <v/>
      </c>
    </row>
    <row r="4408">
      <c r="R4408">
        <f>IFERROR(XLOOKUP(XLOOKUP(D4408,tblReleaseChanges[Change_ID],tblReleaseChanges[Oracle_Severity],""),tblSeverityMap[Severity_Text],tblSeverityMap[Score],0),0)</f>
        <v/>
      </c>
      <c r="T4408">
        <f>ROUND((M4408*0.25)+(N4408*0.20)+(O4408*0.15)+(P4408*0.15)+(Q4408*0.10)+(R4408*0.10)+(S4408*0.05),2)</f>
        <v/>
      </c>
      <c r="U4408">
        <f>IF(T4408&gt;=4.25,"Critical",IF(T4408&gt;=3.5,"High",IF(T4408&gt;=2,"Medium","Low")))</f>
        <v/>
      </c>
    </row>
    <row r="4409">
      <c r="R4409">
        <f>IFERROR(XLOOKUP(XLOOKUP(D4409,tblReleaseChanges[Change_ID],tblReleaseChanges[Oracle_Severity],""),tblSeverityMap[Severity_Text],tblSeverityMap[Score],0),0)</f>
        <v/>
      </c>
      <c r="T4409">
        <f>ROUND((M4409*0.25)+(N4409*0.20)+(O4409*0.15)+(P4409*0.15)+(Q4409*0.10)+(R4409*0.10)+(S4409*0.05),2)</f>
        <v/>
      </c>
      <c r="U4409">
        <f>IF(T4409&gt;=4.25,"Critical",IF(T4409&gt;=3.5,"High",IF(T4409&gt;=2,"Medium","Low")))</f>
        <v/>
      </c>
    </row>
    <row r="4410">
      <c r="R4410">
        <f>IFERROR(XLOOKUP(XLOOKUP(D4410,tblReleaseChanges[Change_ID],tblReleaseChanges[Oracle_Severity],""),tblSeverityMap[Severity_Text],tblSeverityMap[Score],0),0)</f>
        <v/>
      </c>
      <c r="T4410">
        <f>ROUND((M4410*0.25)+(N4410*0.20)+(O4410*0.15)+(P4410*0.15)+(Q4410*0.10)+(R4410*0.10)+(S4410*0.05),2)</f>
        <v/>
      </c>
      <c r="U4410">
        <f>IF(T4410&gt;=4.25,"Critical",IF(T4410&gt;=3.5,"High",IF(T4410&gt;=2,"Medium","Low")))</f>
        <v/>
      </c>
    </row>
    <row r="4411">
      <c r="R4411">
        <f>IFERROR(XLOOKUP(XLOOKUP(D4411,tblReleaseChanges[Change_ID],tblReleaseChanges[Oracle_Severity],""),tblSeverityMap[Severity_Text],tblSeverityMap[Score],0),0)</f>
        <v/>
      </c>
      <c r="T4411">
        <f>ROUND((M4411*0.25)+(N4411*0.20)+(O4411*0.15)+(P4411*0.15)+(Q4411*0.10)+(R4411*0.10)+(S4411*0.05),2)</f>
        <v/>
      </c>
      <c r="U4411">
        <f>IF(T4411&gt;=4.25,"Critical",IF(T4411&gt;=3.5,"High",IF(T4411&gt;=2,"Medium","Low")))</f>
        <v/>
      </c>
    </row>
    <row r="4412">
      <c r="R4412">
        <f>IFERROR(XLOOKUP(XLOOKUP(D4412,tblReleaseChanges[Change_ID],tblReleaseChanges[Oracle_Severity],""),tblSeverityMap[Severity_Text],tblSeverityMap[Score],0),0)</f>
        <v/>
      </c>
      <c r="T4412">
        <f>ROUND((M4412*0.25)+(N4412*0.20)+(O4412*0.15)+(P4412*0.15)+(Q4412*0.10)+(R4412*0.10)+(S4412*0.05),2)</f>
        <v/>
      </c>
      <c r="U4412">
        <f>IF(T4412&gt;=4.25,"Critical",IF(T4412&gt;=3.5,"High",IF(T4412&gt;=2,"Medium","Low")))</f>
        <v/>
      </c>
    </row>
    <row r="4413">
      <c r="R4413">
        <f>IFERROR(XLOOKUP(XLOOKUP(D4413,tblReleaseChanges[Change_ID],tblReleaseChanges[Oracle_Severity],""),tblSeverityMap[Severity_Text],tblSeverityMap[Score],0),0)</f>
        <v/>
      </c>
      <c r="T4413">
        <f>ROUND((M4413*0.25)+(N4413*0.20)+(O4413*0.15)+(P4413*0.15)+(Q4413*0.10)+(R4413*0.10)+(S4413*0.05),2)</f>
        <v/>
      </c>
      <c r="U4413">
        <f>IF(T4413&gt;=4.25,"Critical",IF(T4413&gt;=3.5,"High",IF(T4413&gt;=2,"Medium","Low")))</f>
        <v/>
      </c>
    </row>
    <row r="4414">
      <c r="R4414">
        <f>IFERROR(XLOOKUP(XLOOKUP(D4414,tblReleaseChanges[Change_ID],tblReleaseChanges[Oracle_Severity],""),tblSeverityMap[Severity_Text],tblSeverityMap[Score],0),0)</f>
        <v/>
      </c>
      <c r="T4414">
        <f>ROUND((M4414*0.25)+(N4414*0.20)+(O4414*0.15)+(P4414*0.15)+(Q4414*0.10)+(R4414*0.10)+(S4414*0.05),2)</f>
        <v/>
      </c>
      <c r="U4414">
        <f>IF(T4414&gt;=4.25,"Critical",IF(T4414&gt;=3.5,"High",IF(T4414&gt;=2,"Medium","Low")))</f>
        <v/>
      </c>
    </row>
    <row r="4415">
      <c r="R4415">
        <f>IFERROR(XLOOKUP(XLOOKUP(D4415,tblReleaseChanges[Change_ID],tblReleaseChanges[Oracle_Severity],""),tblSeverityMap[Severity_Text],tblSeverityMap[Score],0),0)</f>
        <v/>
      </c>
      <c r="T4415">
        <f>ROUND((M4415*0.25)+(N4415*0.20)+(O4415*0.15)+(P4415*0.15)+(Q4415*0.10)+(R4415*0.10)+(S4415*0.05),2)</f>
        <v/>
      </c>
      <c r="U4415">
        <f>IF(T4415&gt;=4.25,"Critical",IF(T4415&gt;=3.5,"High",IF(T4415&gt;=2,"Medium","Low")))</f>
        <v/>
      </c>
    </row>
    <row r="4416">
      <c r="R4416">
        <f>IFERROR(XLOOKUP(XLOOKUP(D4416,tblReleaseChanges[Change_ID],tblReleaseChanges[Oracle_Severity],""),tblSeverityMap[Severity_Text],tblSeverityMap[Score],0),0)</f>
        <v/>
      </c>
      <c r="T4416">
        <f>ROUND((M4416*0.25)+(N4416*0.20)+(O4416*0.15)+(P4416*0.15)+(Q4416*0.10)+(R4416*0.10)+(S4416*0.05),2)</f>
        <v/>
      </c>
      <c r="U4416">
        <f>IF(T4416&gt;=4.25,"Critical",IF(T4416&gt;=3.5,"High",IF(T4416&gt;=2,"Medium","Low")))</f>
        <v/>
      </c>
    </row>
    <row r="4417">
      <c r="R4417">
        <f>IFERROR(XLOOKUP(XLOOKUP(D4417,tblReleaseChanges[Change_ID],tblReleaseChanges[Oracle_Severity],""),tblSeverityMap[Severity_Text],tblSeverityMap[Score],0),0)</f>
        <v/>
      </c>
      <c r="T4417">
        <f>ROUND((M4417*0.25)+(N4417*0.20)+(O4417*0.15)+(P4417*0.15)+(Q4417*0.10)+(R4417*0.10)+(S4417*0.05),2)</f>
        <v/>
      </c>
      <c r="U4417">
        <f>IF(T4417&gt;=4.25,"Critical",IF(T4417&gt;=3.5,"High",IF(T4417&gt;=2,"Medium","Low")))</f>
        <v/>
      </c>
    </row>
    <row r="4418">
      <c r="R4418">
        <f>IFERROR(XLOOKUP(XLOOKUP(D4418,tblReleaseChanges[Change_ID],tblReleaseChanges[Oracle_Severity],""),tblSeverityMap[Severity_Text],tblSeverityMap[Score],0),0)</f>
        <v/>
      </c>
      <c r="T4418">
        <f>ROUND((M4418*0.25)+(N4418*0.20)+(O4418*0.15)+(P4418*0.15)+(Q4418*0.10)+(R4418*0.10)+(S4418*0.05),2)</f>
        <v/>
      </c>
      <c r="U4418">
        <f>IF(T4418&gt;=4.25,"Critical",IF(T4418&gt;=3.5,"High",IF(T4418&gt;=2,"Medium","Low")))</f>
        <v/>
      </c>
    </row>
    <row r="4419">
      <c r="R4419">
        <f>IFERROR(XLOOKUP(XLOOKUP(D4419,tblReleaseChanges[Change_ID],tblReleaseChanges[Oracle_Severity],""),tblSeverityMap[Severity_Text],tblSeverityMap[Score],0),0)</f>
        <v/>
      </c>
      <c r="T4419">
        <f>ROUND((M4419*0.25)+(N4419*0.20)+(O4419*0.15)+(P4419*0.15)+(Q4419*0.10)+(R4419*0.10)+(S4419*0.05),2)</f>
        <v/>
      </c>
      <c r="U4419">
        <f>IF(T4419&gt;=4.25,"Critical",IF(T4419&gt;=3.5,"High",IF(T4419&gt;=2,"Medium","Low")))</f>
        <v/>
      </c>
    </row>
    <row r="4420">
      <c r="R4420">
        <f>IFERROR(XLOOKUP(XLOOKUP(D4420,tblReleaseChanges[Change_ID],tblReleaseChanges[Oracle_Severity],""),tblSeverityMap[Severity_Text],tblSeverityMap[Score],0),0)</f>
        <v/>
      </c>
      <c r="T4420">
        <f>ROUND((M4420*0.25)+(N4420*0.20)+(O4420*0.15)+(P4420*0.15)+(Q4420*0.10)+(R4420*0.10)+(S4420*0.05),2)</f>
        <v/>
      </c>
      <c r="U4420">
        <f>IF(T4420&gt;=4.25,"Critical",IF(T4420&gt;=3.5,"High",IF(T4420&gt;=2,"Medium","Low")))</f>
        <v/>
      </c>
    </row>
    <row r="4421">
      <c r="R4421">
        <f>IFERROR(XLOOKUP(XLOOKUP(D4421,tblReleaseChanges[Change_ID],tblReleaseChanges[Oracle_Severity],""),tblSeverityMap[Severity_Text],tblSeverityMap[Score],0),0)</f>
        <v/>
      </c>
      <c r="T4421">
        <f>ROUND((M4421*0.25)+(N4421*0.20)+(O4421*0.15)+(P4421*0.15)+(Q4421*0.10)+(R4421*0.10)+(S4421*0.05),2)</f>
        <v/>
      </c>
      <c r="U4421">
        <f>IF(T4421&gt;=4.25,"Critical",IF(T4421&gt;=3.5,"High",IF(T4421&gt;=2,"Medium","Low")))</f>
        <v/>
      </c>
    </row>
    <row r="4422">
      <c r="R4422">
        <f>IFERROR(XLOOKUP(XLOOKUP(D4422,tblReleaseChanges[Change_ID],tblReleaseChanges[Oracle_Severity],""),tblSeverityMap[Severity_Text],tblSeverityMap[Score],0),0)</f>
        <v/>
      </c>
      <c r="T4422">
        <f>ROUND((M4422*0.25)+(N4422*0.20)+(O4422*0.15)+(P4422*0.15)+(Q4422*0.10)+(R4422*0.10)+(S4422*0.05),2)</f>
        <v/>
      </c>
      <c r="U4422">
        <f>IF(T4422&gt;=4.25,"Critical",IF(T4422&gt;=3.5,"High",IF(T4422&gt;=2,"Medium","Low")))</f>
        <v/>
      </c>
    </row>
    <row r="4423">
      <c r="R4423">
        <f>IFERROR(XLOOKUP(XLOOKUP(D4423,tblReleaseChanges[Change_ID],tblReleaseChanges[Oracle_Severity],""),tblSeverityMap[Severity_Text],tblSeverityMap[Score],0),0)</f>
        <v/>
      </c>
      <c r="T4423">
        <f>ROUND((M4423*0.25)+(N4423*0.20)+(O4423*0.15)+(P4423*0.15)+(Q4423*0.10)+(R4423*0.10)+(S4423*0.05),2)</f>
        <v/>
      </c>
      <c r="U4423">
        <f>IF(T4423&gt;=4.25,"Critical",IF(T4423&gt;=3.5,"High",IF(T4423&gt;=2,"Medium","Low")))</f>
        <v/>
      </c>
    </row>
    <row r="4424">
      <c r="R4424">
        <f>IFERROR(XLOOKUP(XLOOKUP(D4424,tblReleaseChanges[Change_ID],tblReleaseChanges[Oracle_Severity],""),tblSeverityMap[Severity_Text],tblSeverityMap[Score],0),0)</f>
        <v/>
      </c>
      <c r="T4424">
        <f>ROUND((M4424*0.25)+(N4424*0.20)+(O4424*0.15)+(P4424*0.15)+(Q4424*0.10)+(R4424*0.10)+(S4424*0.05),2)</f>
        <v/>
      </c>
      <c r="U4424">
        <f>IF(T4424&gt;=4.25,"Critical",IF(T4424&gt;=3.5,"High",IF(T4424&gt;=2,"Medium","Low")))</f>
        <v/>
      </c>
    </row>
    <row r="4425">
      <c r="R4425">
        <f>IFERROR(XLOOKUP(XLOOKUP(D4425,tblReleaseChanges[Change_ID],tblReleaseChanges[Oracle_Severity],""),tblSeverityMap[Severity_Text],tblSeverityMap[Score],0),0)</f>
        <v/>
      </c>
      <c r="T4425">
        <f>ROUND((M4425*0.25)+(N4425*0.20)+(O4425*0.15)+(P4425*0.15)+(Q4425*0.10)+(R4425*0.10)+(S4425*0.05),2)</f>
        <v/>
      </c>
      <c r="U4425">
        <f>IF(T4425&gt;=4.25,"Critical",IF(T4425&gt;=3.5,"High",IF(T4425&gt;=2,"Medium","Low")))</f>
        <v/>
      </c>
    </row>
    <row r="4426">
      <c r="R4426">
        <f>IFERROR(XLOOKUP(XLOOKUP(D4426,tblReleaseChanges[Change_ID],tblReleaseChanges[Oracle_Severity],""),tblSeverityMap[Severity_Text],tblSeverityMap[Score],0),0)</f>
        <v/>
      </c>
      <c r="T4426">
        <f>ROUND((M4426*0.25)+(N4426*0.20)+(O4426*0.15)+(P4426*0.15)+(Q4426*0.10)+(R4426*0.10)+(S4426*0.05),2)</f>
        <v/>
      </c>
      <c r="U4426">
        <f>IF(T4426&gt;=4.25,"Critical",IF(T4426&gt;=3.5,"High",IF(T4426&gt;=2,"Medium","Low")))</f>
        <v/>
      </c>
    </row>
    <row r="4427">
      <c r="R4427">
        <f>IFERROR(XLOOKUP(XLOOKUP(D4427,tblReleaseChanges[Change_ID],tblReleaseChanges[Oracle_Severity],""),tblSeverityMap[Severity_Text],tblSeverityMap[Score],0),0)</f>
        <v/>
      </c>
      <c r="T4427">
        <f>ROUND((M4427*0.25)+(N4427*0.20)+(O4427*0.15)+(P4427*0.15)+(Q4427*0.10)+(R4427*0.10)+(S4427*0.05),2)</f>
        <v/>
      </c>
      <c r="U4427">
        <f>IF(T4427&gt;=4.25,"Critical",IF(T4427&gt;=3.5,"High",IF(T4427&gt;=2,"Medium","Low")))</f>
        <v/>
      </c>
    </row>
    <row r="4428">
      <c r="R4428">
        <f>IFERROR(XLOOKUP(XLOOKUP(D4428,tblReleaseChanges[Change_ID],tblReleaseChanges[Oracle_Severity],""),tblSeverityMap[Severity_Text],tblSeverityMap[Score],0),0)</f>
        <v/>
      </c>
      <c r="T4428">
        <f>ROUND((M4428*0.25)+(N4428*0.20)+(O4428*0.15)+(P4428*0.15)+(Q4428*0.10)+(R4428*0.10)+(S4428*0.05),2)</f>
        <v/>
      </c>
      <c r="U4428">
        <f>IF(T4428&gt;=4.25,"Critical",IF(T4428&gt;=3.5,"High",IF(T4428&gt;=2,"Medium","Low")))</f>
        <v/>
      </c>
    </row>
    <row r="4429">
      <c r="R4429">
        <f>IFERROR(XLOOKUP(XLOOKUP(D4429,tblReleaseChanges[Change_ID],tblReleaseChanges[Oracle_Severity],""),tblSeverityMap[Severity_Text],tblSeverityMap[Score],0),0)</f>
        <v/>
      </c>
      <c r="T4429">
        <f>ROUND((M4429*0.25)+(N4429*0.20)+(O4429*0.15)+(P4429*0.15)+(Q4429*0.10)+(R4429*0.10)+(S4429*0.05),2)</f>
        <v/>
      </c>
      <c r="U4429">
        <f>IF(T4429&gt;=4.25,"Critical",IF(T4429&gt;=3.5,"High",IF(T4429&gt;=2,"Medium","Low")))</f>
        <v/>
      </c>
    </row>
    <row r="4430">
      <c r="R4430">
        <f>IFERROR(XLOOKUP(XLOOKUP(D4430,tblReleaseChanges[Change_ID],tblReleaseChanges[Oracle_Severity],""),tblSeverityMap[Severity_Text],tblSeverityMap[Score],0),0)</f>
        <v/>
      </c>
      <c r="T4430">
        <f>ROUND((M4430*0.25)+(N4430*0.20)+(O4430*0.15)+(P4430*0.15)+(Q4430*0.10)+(R4430*0.10)+(S4430*0.05),2)</f>
        <v/>
      </c>
      <c r="U4430">
        <f>IF(T4430&gt;=4.25,"Critical",IF(T4430&gt;=3.5,"High",IF(T4430&gt;=2,"Medium","Low")))</f>
        <v/>
      </c>
    </row>
    <row r="4431">
      <c r="R4431">
        <f>IFERROR(XLOOKUP(XLOOKUP(D4431,tblReleaseChanges[Change_ID],tblReleaseChanges[Oracle_Severity],""),tblSeverityMap[Severity_Text],tblSeverityMap[Score],0),0)</f>
        <v/>
      </c>
      <c r="T4431">
        <f>ROUND((M4431*0.25)+(N4431*0.20)+(O4431*0.15)+(P4431*0.15)+(Q4431*0.10)+(R4431*0.10)+(S4431*0.05),2)</f>
        <v/>
      </c>
      <c r="U4431">
        <f>IF(T4431&gt;=4.25,"Critical",IF(T4431&gt;=3.5,"High",IF(T4431&gt;=2,"Medium","Low")))</f>
        <v/>
      </c>
    </row>
    <row r="4432">
      <c r="R4432">
        <f>IFERROR(XLOOKUP(XLOOKUP(D4432,tblReleaseChanges[Change_ID],tblReleaseChanges[Oracle_Severity],""),tblSeverityMap[Severity_Text],tblSeverityMap[Score],0),0)</f>
        <v/>
      </c>
      <c r="T4432">
        <f>ROUND((M4432*0.25)+(N4432*0.20)+(O4432*0.15)+(P4432*0.15)+(Q4432*0.10)+(R4432*0.10)+(S4432*0.05),2)</f>
        <v/>
      </c>
      <c r="U4432">
        <f>IF(T4432&gt;=4.25,"Critical",IF(T4432&gt;=3.5,"High",IF(T4432&gt;=2,"Medium","Low")))</f>
        <v/>
      </c>
    </row>
    <row r="4433">
      <c r="R4433">
        <f>IFERROR(XLOOKUP(XLOOKUP(D4433,tblReleaseChanges[Change_ID],tblReleaseChanges[Oracle_Severity],""),tblSeverityMap[Severity_Text],tblSeverityMap[Score],0),0)</f>
        <v/>
      </c>
      <c r="T4433">
        <f>ROUND((M4433*0.25)+(N4433*0.20)+(O4433*0.15)+(P4433*0.15)+(Q4433*0.10)+(R4433*0.10)+(S4433*0.05),2)</f>
        <v/>
      </c>
      <c r="U4433">
        <f>IF(T4433&gt;=4.25,"Critical",IF(T4433&gt;=3.5,"High",IF(T4433&gt;=2,"Medium","Low")))</f>
        <v/>
      </c>
    </row>
    <row r="4434">
      <c r="R4434">
        <f>IFERROR(XLOOKUP(XLOOKUP(D4434,tblReleaseChanges[Change_ID],tblReleaseChanges[Oracle_Severity],""),tblSeverityMap[Severity_Text],tblSeverityMap[Score],0),0)</f>
        <v/>
      </c>
      <c r="T4434">
        <f>ROUND((M4434*0.25)+(N4434*0.20)+(O4434*0.15)+(P4434*0.15)+(Q4434*0.10)+(R4434*0.10)+(S4434*0.05),2)</f>
        <v/>
      </c>
      <c r="U4434">
        <f>IF(T4434&gt;=4.25,"Critical",IF(T4434&gt;=3.5,"High",IF(T4434&gt;=2,"Medium","Low")))</f>
        <v/>
      </c>
    </row>
    <row r="4435">
      <c r="R4435">
        <f>IFERROR(XLOOKUP(XLOOKUP(D4435,tblReleaseChanges[Change_ID],tblReleaseChanges[Oracle_Severity],""),tblSeverityMap[Severity_Text],tblSeverityMap[Score],0),0)</f>
        <v/>
      </c>
      <c r="T4435">
        <f>ROUND((M4435*0.25)+(N4435*0.20)+(O4435*0.15)+(P4435*0.15)+(Q4435*0.10)+(R4435*0.10)+(S4435*0.05),2)</f>
        <v/>
      </c>
      <c r="U4435">
        <f>IF(T4435&gt;=4.25,"Critical",IF(T4435&gt;=3.5,"High",IF(T4435&gt;=2,"Medium","Low")))</f>
        <v/>
      </c>
    </row>
    <row r="4436">
      <c r="R4436">
        <f>IFERROR(XLOOKUP(XLOOKUP(D4436,tblReleaseChanges[Change_ID],tblReleaseChanges[Oracle_Severity],""),tblSeverityMap[Severity_Text],tblSeverityMap[Score],0),0)</f>
        <v/>
      </c>
      <c r="T4436">
        <f>ROUND((M4436*0.25)+(N4436*0.20)+(O4436*0.15)+(P4436*0.15)+(Q4436*0.10)+(R4436*0.10)+(S4436*0.05),2)</f>
        <v/>
      </c>
      <c r="U4436">
        <f>IF(T4436&gt;=4.25,"Critical",IF(T4436&gt;=3.5,"High",IF(T4436&gt;=2,"Medium","Low")))</f>
        <v/>
      </c>
    </row>
    <row r="4437">
      <c r="R4437">
        <f>IFERROR(XLOOKUP(XLOOKUP(D4437,tblReleaseChanges[Change_ID],tblReleaseChanges[Oracle_Severity],""),tblSeverityMap[Severity_Text],tblSeverityMap[Score],0),0)</f>
        <v/>
      </c>
      <c r="T4437">
        <f>ROUND((M4437*0.25)+(N4437*0.20)+(O4437*0.15)+(P4437*0.15)+(Q4437*0.10)+(R4437*0.10)+(S4437*0.05),2)</f>
        <v/>
      </c>
      <c r="U4437">
        <f>IF(T4437&gt;=4.25,"Critical",IF(T4437&gt;=3.5,"High",IF(T4437&gt;=2,"Medium","Low")))</f>
        <v/>
      </c>
    </row>
    <row r="4438">
      <c r="R4438">
        <f>IFERROR(XLOOKUP(XLOOKUP(D4438,tblReleaseChanges[Change_ID],tblReleaseChanges[Oracle_Severity],""),tblSeverityMap[Severity_Text],tblSeverityMap[Score],0),0)</f>
        <v/>
      </c>
      <c r="T4438">
        <f>ROUND((M4438*0.25)+(N4438*0.20)+(O4438*0.15)+(P4438*0.15)+(Q4438*0.10)+(R4438*0.10)+(S4438*0.05),2)</f>
        <v/>
      </c>
      <c r="U4438">
        <f>IF(T4438&gt;=4.25,"Critical",IF(T4438&gt;=3.5,"High",IF(T4438&gt;=2,"Medium","Low")))</f>
        <v/>
      </c>
    </row>
    <row r="4439">
      <c r="R4439">
        <f>IFERROR(XLOOKUP(XLOOKUP(D4439,tblReleaseChanges[Change_ID],tblReleaseChanges[Oracle_Severity],""),tblSeverityMap[Severity_Text],tblSeverityMap[Score],0),0)</f>
        <v/>
      </c>
      <c r="T4439">
        <f>ROUND((M4439*0.25)+(N4439*0.20)+(O4439*0.15)+(P4439*0.15)+(Q4439*0.10)+(R4439*0.10)+(S4439*0.05),2)</f>
        <v/>
      </c>
      <c r="U4439">
        <f>IF(T4439&gt;=4.25,"Critical",IF(T4439&gt;=3.5,"High",IF(T4439&gt;=2,"Medium","Low")))</f>
        <v/>
      </c>
    </row>
    <row r="4440">
      <c r="R4440">
        <f>IFERROR(XLOOKUP(XLOOKUP(D4440,tblReleaseChanges[Change_ID],tblReleaseChanges[Oracle_Severity],""),tblSeverityMap[Severity_Text],tblSeverityMap[Score],0),0)</f>
        <v/>
      </c>
      <c r="T4440">
        <f>ROUND((M4440*0.25)+(N4440*0.20)+(O4440*0.15)+(P4440*0.15)+(Q4440*0.10)+(R4440*0.10)+(S4440*0.05),2)</f>
        <v/>
      </c>
      <c r="U4440">
        <f>IF(T4440&gt;=4.25,"Critical",IF(T4440&gt;=3.5,"High",IF(T4440&gt;=2,"Medium","Low")))</f>
        <v/>
      </c>
    </row>
    <row r="4441">
      <c r="R4441">
        <f>IFERROR(XLOOKUP(XLOOKUP(D4441,tblReleaseChanges[Change_ID],tblReleaseChanges[Oracle_Severity],""),tblSeverityMap[Severity_Text],tblSeverityMap[Score],0),0)</f>
        <v/>
      </c>
      <c r="T4441">
        <f>ROUND((M4441*0.25)+(N4441*0.20)+(O4441*0.15)+(P4441*0.15)+(Q4441*0.10)+(R4441*0.10)+(S4441*0.05),2)</f>
        <v/>
      </c>
      <c r="U4441">
        <f>IF(T4441&gt;=4.25,"Critical",IF(T4441&gt;=3.5,"High",IF(T4441&gt;=2,"Medium","Low")))</f>
        <v/>
      </c>
    </row>
    <row r="4442">
      <c r="R4442">
        <f>IFERROR(XLOOKUP(XLOOKUP(D4442,tblReleaseChanges[Change_ID],tblReleaseChanges[Oracle_Severity],""),tblSeverityMap[Severity_Text],tblSeverityMap[Score],0),0)</f>
        <v/>
      </c>
      <c r="T4442">
        <f>ROUND((M4442*0.25)+(N4442*0.20)+(O4442*0.15)+(P4442*0.15)+(Q4442*0.10)+(R4442*0.10)+(S4442*0.05),2)</f>
        <v/>
      </c>
      <c r="U4442">
        <f>IF(T4442&gt;=4.25,"Critical",IF(T4442&gt;=3.5,"High",IF(T4442&gt;=2,"Medium","Low")))</f>
        <v/>
      </c>
    </row>
    <row r="4443">
      <c r="R4443">
        <f>IFERROR(XLOOKUP(XLOOKUP(D4443,tblReleaseChanges[Change_ID],tblReleaseChanges[Oracle_Severity],""),tblSeverityMap[Severity_Text],tblSeverityMap[Score],0),0)</f>
        <v/>
      </c>
      <c r="T4443">
        <f>ROUND((M4443*0.25)+(N4443*0.20)+(O4443*0.15)+(P4443*0.15)+(Q4443*0.10)+(R4443*0.10)+(S4443*0.05),2)</f>
        <v/>
      </c>
      <c r="U4443">
        <f>IF(T4443&gt;=4.25,"Critical",IF(T4443&gt;=3.5,"High",IF(T4443&gt;=2,"Medium","Low")))</f>
        <v/>
      </c>
    </row>
    <row r="4444">
      <c r="R4444">
        <f>IFERROR(XLOOKUP(XLOOKUP(D4444,tblReleaseChanges[Change_ID],tblReleaseChanges[Oracle_Severity],""),tblSeverityMap[Severity_Text],tblSeverityMap[Score],0),0)</f>
        <v/>
      </c>
      <c r="T4444">
        <f>ROUND((M4444*0.25)+(N4444*0.20)+(O4444*0.15)+(P4444*0.15)+(Q4444*0.10)+(R4444*0.10)+(S4444*0.05),2)</f>
        <v/>
      </c>
      <c r="U4444">
        <f>IF(T4444&gt;=4.25,"Critical",IF(T4444&gt;=3.5,"High",IF(T4444&gt;=2,"Medium","Low")))</f>
        <v/>
      </c>
    </row>
    <row r="4445">
      <c r="R4445">
        <f>IFERROR(XLOOKUP(XLOOKUP(D4445,tblReleaseChanges[Change_ID],tblReleaseChanges[Oracle_Severity],""),tblSeverityMap[Severity_Text],tblSeverityMap[Score],0),0)</f>
        <v/>
      </c>
      <c r="T4445">
        <f>ROUND((M4445*0.25)+(N4445*0.20)+(O4445*0.15)+(P4445*0.15)+(Q4445*0.10)+(R4445*0.10)+(S4445*0.05),2)</f>
        <v/>
      </c>
      <c r="U4445">
        <f>IF(T4445&gt;=4.25,"Critical",IF(T4445&gt;=3.5,"High",IF(T4445&gt;=2,"Medium","Low")))</f>
        <v/>
      </c>
    </row>
    <row r="4446">
      <c r="R4446">
        <f>IFERROR(XLOOKUP(XLOOKUP(D4446,tblReleaseChanges[Change_ID],tblReleaseChanges[Oracle_Severity],""),tblSeverityMap[Severity_Text],tblSeverityMap[Score],0),0)</f>
        <v/>
      </c>
      <c r="T4446">
        <f>ROUND((M4446*0.25)+(N4446*0.20)+(O4446*0.15)+(P4446*0.15)+(Q4446*0.10)+(R4446*0.10)+(S4446*0.05),2)</f>
        <v/>
      </c>
      <c r="U4446">
        <f>IF(T4446&gt;=4.25,"Critical",IF(T4446&gt;=3.5,"High",IF(T4446&gt;=2,"Medium","Low")))</f>
        <v/>
      </c>
    </row>
    <row r="4447">
      <c r="R4447">
        <f>IFERROR(XLOOKUP(XLOOKUP(D4447,tblReleaseChanges[Change_ID],tblReleaseChanges[Oracle_Severity],""),tblSeverityMap[Severity_Text],tblSeverityMap[Score],0),0)</f>
        <v/>
      </c>
      <c r="T4447">
        <f>ROUND((M4447*0.25)+(N4447*0.20)+(O4447*0.15)+(P4447*0.15)+(Q4447*0.10)+(R4447*0.10)+(S4447*0.05),2)</f>
        <v/>
      </c>
      <c r="U4447">
        <f>IF(T4447&gt;=4.25,"Critical",IF(T4447&gt;=3.5,"High",IF(T4447&gt;=2,"Medium","Low")))</f>
        <v/>
      </c>
    </row>
    <row r="4448">
      <c r="R4448">
        <f>IFERROR(XLOOKUP(XLOOKUP(D4448,tblReleaseChanges[Change_ID],tblReleaseChanges[Oracle_Severity],""),tblSeverityMap[Severity_Text],tblSeverityMap[Score],0),0)</f>
        <v/>
      </c>
      <c r="T4448">
        <f>ROUND((M4448*0.25)+(N4448*0.20)+(O4448*0.15)+(P4448*0.15)+(Q4448*0.10)+(R4448*0.10)+(S4448*0.05),2)</f>
        <v/>
      </c>
      <c r="U4448">
        <f>IF(T4448&gt;=4.25,"Critical",IF(T4448&gt;=3.5,"High",IF(T4448&gt;=2,"Medium","Low")))</f>
        <v/>
      </c>
    </row>
    <row r="4449">
      <c r="R4449">
        <f>IFERROR(XLOOKUP(XLOOKUP(D4449,tblReleaseChanges[Change_ID],tblReleaseChanges[Oracle_Severity],""),tblSeverityMap[Severity_Text],tblSeverityMap[Score],0),0)</f>
        <v/>
      </c>
      <c r="T4449">
        <f>ROUND((M4449*0.25)+(N4449*0.20)+(O4449*0.15)+(P4449*0.15)+(Q4449*0.10)+(R4449*0.10)+(S4449*0.05),2)</f>
        <v/>
      </c>
      <c r="U4449">
        <f>IF(T4449&gt;=4.25,"Critical",IF(T4449&gt;=3.5,"High",IF(T4449&gt;=2,"Medium","Low")))</f>
        <v/>
      </c>
    </row>
    <row r="4450">
      <c r="R4450">
        <f>IFERROR(XLOOKUP(XLOOKUP(D4450,tblReleaseChanges[Change_ID],tblReleaseChanges[Oracle_Severity],""),tblSeverityMap[Severity_Text],tblSeverityMap[Score],0),0)</f>
        <v/>
      </c>
      <c r="T4450">
        <f>ROUND((M4450*0.25)+(N4450*0.20)+(O4450*0.15)+(P4450*0.15)+(Q4450*0.10)+(R4450*0.10)+(S4450*0.05),2)</f>
        <v/>
      </c>
      <c r="U4450">
        <f>IF(T4450&gt;=4.25,"Critical",IF(T4450&gt;=3.5,"High",IF(T4450&gt;=2,"Medium","Low")))</f>
        <v/>
      </c>
    </row>
    <row r="4451">
      <c r="R4451">
        <f>IFERROR(XLOOKUP(XLOOKUP(D4451,tblReleaseChanges[Change_ID],tblReleaseChanges[Oracle_Severity],""),tblSeverityMap[Severity_Text],tblSeverityMap[Score],0),0)</f>
        <v/>
      </c>
      <c r="T4451">
        <f>ROUND((M4451*0.25)+(N4451*0.20)+(O4451*0.15)+(P4451*0.15)+(Q4451*0.10)+(R4451*0.10)+(S4451*0.05),2)</f>
        <v/>
      </c>
      <c r="U4451">
        <f>IF(T4451&gt;=4.25,"Critical",IF(T4451&gt;=3.5,"High",IF(T4451&gt;=2,"Medium","Low")))</f>
        <v/>
      </c>
    </row>
    <row r="4452">
      <c r="R4452">
        <f>IFERROR(XLOOKUP(XLOOKUP(D4452,tblReleaseChanges[Change_ID],tblReleaseChanges[Oracle_Severity],""),tblSeverityMap[Severity_Text],tblSeverityMap[Score],0),0)</f>
        <v/>
      </c>
      <c r="T4452">
        <f>ROUND((M4452*0.25)+(N4452*0.20)+(O4452*0.15)+(P4452*0.15)+(Q4452*0.10)+(R4452*0.10)+(S4452*0.05),2)</f>
        <v/>
      </c>
      <c r="U4452">
        <f>IF(T4452&gt;=4.25,"Critical",IF(T4452&gt;=3.5,"High",IF(T4452&gt;=2,"Medium","Low")))</f>
        <v/>
      </c>
    </row>
    <row r="4453">
      <c r="R4453">
        <f>IFERROR(XLOOKUP(XLOOKUP(D4453,tblReleaseChanges[Change_ID],tblReleaseChanges[Oracle_Severity],""),tblSeverityMap[Severity_Text],tblSeverityMap[Score],0),0)</f>
        <v/>
      </c>
      <c r="T4453">
        <f>ROUND((M4453*0.25)+(N4453*0.20)+(O4453*0.15)+(P4453*0.15)+(Q4453*0.10)+(R4453*0.10)+(S4453*0.05),2)</f>
        <v/>
      </c>
      <c r="U4453">
        <f>IF(T4453&gt;=4.25,"Critical",IF(T4453&gt;=3.5,"High",IF(T4453&gt;=2,"Medium","Low")))</f>
        <v/>
      </c>
    </row>
    <row r="4454">
      <c r="R4454">
        <f>IFERROR(XLOOKUP(XLOOKUP(D4454,tblReleaseChanges[Change_ID],tblReleaseChanges[Oracle_Severity],""),tblSeverityMap[Severity_Text],tblSeverityMap[Score],0),0)</f>
        <v/>
      </c>
      <c r="T4454">
        <f>ROUND((M4454*0.25)+(N4454*0.20)+(O4454*0.15)+(P4454*0.15)+(Q4454*0.10)+(R4454*0.10)+(S4454*0.05),2)</f>
        <v/>
      </c>
      <c r="U4454">
        <f>IF(T4454&gt;=4.25,"Critical",IF(T4454&gt;=3.5,"High",IF(T4454&gt;=2,"Medium","Low")))</f>
        <v/>
      </c>
    </row>
    <row r="4455">
      <c r="R4455">
        <f>IFERROR(XLOOKUP(XLOOKUP(D4455,tblReleaseChanges[Change_ID],tblReleaseChanges[Oracle_Severity],""),tblSeverityMap[Severity_Text],tblSeverityMap[Score],0),0)</f>
        <v/>
      </c>
      <c r="T4455">
        <f>ROUND((M4455*0.25)+(N4455*0.20)+(O4455*0.15)+(P4455*0.15)+(Q4455*0.10)+(R4455*0.10)+(S4455*0.05),2)</f>
        <v/>
      </c>
      <c r="U4455">
        <f>IF(T4455&gt;=4.25,"Critical",IF(T4455&gt;=3.5,"High",IF(T4455&gt;=2,"Medium","Low")))</f>
        <v/>
      </c>
    </row>
    <row r="4456">
      <c r="R4456">
        <f>IFERROR(XLOOKUP(XLOOKUP(D4456,tblReleaseChanges[Change_ID],tblReleaseChanges[Oracle_Severity],""),tblSeverityMap[Severity_Text],tblSeverityMap[Score],0),0)</f>
        <v/>
      </c>
      <c r="T4456">
        <f>ROUND((M4456*0.25)+(N4456*0.20)+(O4456*0.15)+(P4456*0.15)+(Q4456*0.10)+(R4456*0.10)+(S4456*0.05),2)</f>
        <v/>
      </c>
      <c r="U4456">
        <f>IF(T4456&gt;=4.25,"Critical",IF(T4456&gt;=3.5,"High",IF(T4456&gt;=2,"Medium","Low")))</f>
        <v/>
      </c>
    </row>
    <row r="4457">
      <c r="R4457">
        <f>IFERROR(XLOOKUP(XLOOKUP(D4457,tblReleaseChanges[Change_ID],tblReleaseChanges[Oracle_Severity],""),tblSeverityMap[Severity_Text],tblSeverityMap[Score],0),0)</f>
        <v/>
      </c>
      <c r="T4457">
        <f>ROUND((M4457*0.25)+(N4457*0.20)+(O4457*0.15)+(P4457*0.15)+(Q4457*0.10)+(R4457*0.10)+(S4457*0.05),2)</f>
        <v/>
      </c>
      <c r="U4457">
        <f>IF(T4457&gt;=4.25,"Critical",IF(T4457&gt;=3.5,"High",IF(T4457&gt;=2,"Medium","Low")))</f>
        <v/>
      </c>
    </row>
    <row r="4458">
      <c r="R4458">
        <f>IFERROR(XLOOKUP(XLOOKUP(D4458,tblReleaseChanges[Change_ID],tblReleaseChanges[Oracle_Severity],""),tblSeverityMap[Severity_Text],tblSeverityMap[Score],0),0)</f>
        <v/>
      </c>
      <c r="T4458">
        <f>ROUND((M4458*0.25)+(N4458*0.20)+(O4458*0.15)+(P4458*0.15)+(Q4458*0.10)+(R4458*0.10)+(S4458*0.05),2)</f>
        <v/>
      </c>
      <c r="U4458">
        <f>IF(T4458&gt;=4.25,"Critical",IF(T4458&gt;=3.5,"High",IF(T4458&gt;=2,"Medium","Low")))</f>
        <v/>
      </c>
    </row>
    <row r="4459">
      <c r="R4459">
        <f>IFERROR(XLOOKUP(XLOOKUP(D4459,tblReleaseChanges[Change_ID],tblReleaseChanges[Oracle_Severity],""),tblSeverityMap[Severity_Text],tblSeverityMap[Score],0),0)</f>
        <v/>
      </c>
      <c r="T4459">
        <f>ROUND((M4459*0.25)+(N4459*0.20)+(O4459*0.15)+(P4459*0.15)+(Q4459*0.10)+(R4459*0.10)+(S4459*0.05),2)</f>
        <v/>
      </c>
      <c r="U4459">
        <f>IF(T4459&gt;=4.25,"Critical",IF(T4459&gt;=3.5,"High",IF(T4459&gt;=2,"Medium","Low")))</f>
        <v/>
      </c>
    </row>
    <row r="4460">
      <c r="R4460">
        <f>IFERROR(XLOOKUP(XLOOKUP(D4460,tblReleaseChanges[Change_ID],tblReleaseChanges[Oracle_Severity],""),tblSeverityMap[Severity_Text],tblSeverityMap[Score],0),0)</f>
        <v/>
      </c>
      <c r="T4460">
        <f>ROUND((M4460*0.25)+(N4460*0.20)+(O4460*0.15)+(P4460*0.15)+(Q4460*0.10)+(R4460*0.10)+(S4460*0.05),2)</f>
        <v/>
      </c>
      <c r="U4460">
        <f>IF(T4460&gt;=4.25,"Critical",IF(T4460&gt;=3.5,"High",IF(T4460&gt;=2,"Medium","Low")))</f>
        <v/>
      </c>
    </row>
    <row r="4461">
      <c r="R4461">
        <f>IFERROR(XLOOKUP(XLOOKUP(D4461,tblReleaseChanges[Change_ID],tblReleaseChanges[Oracle_Severity],""),tblSeverityMap[Severity_Text],tblSeverityMap[Score],0),0)</f>
        <v/>
      </c>
      <c r="T4461">
        <f>ROUND((M4461*0.25)+(N4461*0.20)+(O4461*0.15)+(P4461*0.15)+(Q4461*0.10)+(R4461*0.10)+(S4461*0.05),2)</f>
        <v/>
      </c>
      <c r="U4461">
        <f>IF(T4461&gt;=4.25,"Critical",IF(T4461&gt;=3.5,"High",IF(T4461&gt;=2,"Medium","Low")))</f>
        <v/>
      </c>
    </row>
    <row r="4462">
      <c r="R4462">
        <f>IFERROR(XLOOKUP(XLOOKUP(D4462,tblReleaseChanges[Change_ID],tblReleaseChanges[Oracle_Severity],""),tblSeverityMap[Severity_Text],tblSeverityMap[Score],0),0)</f>
        <v/>
      </c>
      <c r="T4462">
        <f>ROUND((M4462*0.25)+(N4462*0.20)+(O4462*0.15)+(P4462*0.15)+(Q4462*0.10)+(R4462*0.10)+(S4462*0.05),2)</f>
        <v/>
      </c>
      <c r="U4462">
        <f>IF(T4462&gt;=4.25,"Critical",IF(T4462&gt;=3.5,"High",IF(T4462&gt;=2,"Medium","Low")))</f>
        <v/>
      </c>
    </row>
    <row r="4463">
      <c r="R4463">
        <f>IFERROR(XLOOKUP(XLOOKUP(D4463,tblReleaseChanges[Change_ID],tblReleaseChanges[Oracle_Severity],""),tblSeverityMap[Severity_Text],tblSeverityMap[Score],0),0)</f>
        <v/>
      </c>
      <c r="T4463">
        <f>ROUND((M4463*0.25)+(N4463*0.20)+(O4463*0.15)+(P4463*0.15)+(Q4463*0.10)+(R4463*0.10)+(S4463*0.05),2)</f>
        <v/>
      </c>
      <c r="U4463">
        <f>IF(T4463&gt;=4.25,"Critical",IF(T4463&gt;=3.5,"High",IF(T4463&gt;=2,"Medium","Low")))</f>
        <v/>
      </c>
    </row>
    <row r="4464">
      <c r="R4464">
        <f>IFERROR(XLOOKUP(XLOOKUP(D4464,tblReleaseChanges[Change_ID],tblReleaseChanges[Oracle_Severity],""),tblSeverityMap[Severity_Text],tblSeverityMap[Score],0),0)</f>
        <v/>
      </c>
      <c r="T4464">
        <f>ROUND((M4464*0.25)+(N4464*0.20)+(O4464*0.15)+(P4464*0.15)+(Q4464*0.10)+(R4464*0.10)+(S4464*0.05),2)</f>
        <v/>
      </c>
      <c r="U4464">
        <f>IF(T4464&gt;=4.25,"Critical",IF(T4464&gt;=3.5,"High",IF(T4464&gt;=2,"Medium","Low")))</f>
        <v/>
      </c>
    </row>
    <row r="4465">
      <c r="R4465">
        <f>IFERROR(XLOOKUP(XLOOKUP(D4465,tblReleaseChanges[Change_ID],tblReleaseChanges[Oracle_Severity],""),tblSeverityMap[Severity_Text],tblSeverityMap[Score],0),0)</f>
        <v/>
      </c>
      <c r="T4465">
        <f>ROUND((M4465*0.25)+(N4465*0.20)+(O4465*0.15)+(P4465*0.15)+(Q4465*0.10)+(R4465*0.10)+(S4465*0.05),2)</f>
        <v/>
      </c>
      <c r="U4465">
        <f>IF(T4465&gt;=4.25,"Critical",IF(T4465&gt;=3.5,"High",IF(T4465&gt;=2,"Medium","Low")))</f>
        <v/>
      </c>
    </row>
    <row r="4466">
      <c r="R4466">
        <f>IFERROR(XLOOKUP(XLOOKUP(D4466,tblReleaseChanges[Change_ID],tblReleaseChanges[Oracle_Severity],""),tblSeverityMap[Severity_Text],tblSeverityMap[Score],0),0)</f>
        <v/>
      </c>
      <c r="T4466">
        <f>ROUND((M4466*0.25)+(N4466*0.20)+(O4466*0.15)+(P4466*0.15)+(Q4466*0.10)+(R4466*0.10)+(S4466*0.05),2)</f>
        <v/>
      </c>
      <c r="U4466">
        <f>IF(T4466&gt;=4.25,"Critical",IF(T4466&gt;=3.5,"High",IF(T4466&gt;=2,"Medium","Low")))</f>
        <v/>
      </c>
    </row>
    <row r="4467">
      <c r="R4467">
        <f>IFERROR(XLOOKUP(XLOOKUP(D4467,tblReleaseChanges[Change_ID],tblReleaseChanges[Oracle_Severity],""),tblSeverityMap[Severity_Text],tblSeverityMap[Score],0),0)</f>
        <v/>
      </c>
      <c r="T4467">
        <f>ROUND((M4467*0.25)+(N4467*0.20)+(O4467*0.15)+(P4467*0.15)+(Q4467*0.10)+(R4467*0.10)+(S4467*0.05),2)</f>
        <v/>
      </c>
      <c r="U4467">
        <f>IF(T4467&gt;=4.25,"Critical",IF(T4467&gt;=3.5,"High",IF(T4467&gt;=2,"Medium","Low")))</f>
        <v/>
      </c>
    </row>
    <row r="4468">
      <c r="R4468">
        <f>IFERROR(XLOOKUP(XLOOKUP(D4468,tblReleaseChanges[Change_ID],tblReleaseChanges[Oracle_Severity],""),tblSeverityMap[Severity_Text],tblSeverityMap[Score],0),0)</f>
        <v/>
      </c>
      <c r="T4468">
        <f>ROUND((M4468*0.25)+(N4468*0.20)+(O4468*0.15)+(P4468*0.15)+(Q4468*0.10)+(R4468*0.10)+(S4468*0.05),2)</f>
        <v/>
      </c>
      <c r="U4468">
        <f>IF(T4468&gt;=4.25,"Critical",IF(T4468&gt;=3.5,"High",IF(T4468&gt;=2,"Medium","Low")))</f>
        <v/>
      </c>
    </row>
    <row r="4469">
      <c r="R4469">
        <f>IFERROR(XLOOKUP(XLOOKUP(D4469,tblReleaseChanges[Change_ID],tblReleaseChanges[Oracle_Severity],""),tblSeverityMap[Severity_Text],tblSeverityMap[Score],0),0)</f>
        <v/>
      </c>
      <c r="T4469">
        <f>ROUND((M4469*0.25)+(N4469*0.20)+(O4469*0.15)+(P4469*0.15)+(Q4469*0.10)+(R4469*0.10)+(S4469*0.05),2)</f>
        <v/>
      </c>
      <c r="U4469">
        <f>IF(T4469&gt;=4.25,"Critical",IF(T4469&gt;=3.5,"High",IF(T4469&gt;=2,"Medium","Low")))</f>
        <v/>
      </c>
    </row>
    <row r="4470">
      <c r="R4470">
        <f>IFERROR(XLOOKUP(XLOOKUP(D4470,tblReleaseChanges[Change_ID],tblReleaseChanges[Oracle_Severity],""),tblSeverityMap[Severity_Text],tblSeverityMap[Score],0),0)</f>
        <v/>
      </c>
      <c r="T4470">
        <f>ROUND((M4470*0.25)+(N4470*0.20)+(O4470*0.15)+(P4470*0.15)+(Q4470*0.10)+(R4470*0.10)+(S4470*0.05),2)</f>
        <v/>
      </c>
      <c r="U4470">
        <f>IF(T4470&gt;=4.25,"Critical",IF(T4470&gt;=3.5,"High",IF(T4470&gt;=2,"Medium","Low")))</f>
        <v/>
      </c>
    </row>
    <row r="4471">
      <c r="R4471">
        <f>IFERROR(XLOOKUP(XLOOKUP(D4471,tblReleaseChanges[Change_ID],tblReleaseChanges[Oracle_Severity],""),tblSeverityMap[Severity_Text],tblSeverityMap[Score],0),0)</f>
        <v/>
      </c>
      <c r="T4471">
        <f>ROUND((M4471*0.25)+(N4471*0.20)+(O4471*0.15)+(P4471*0.15)+(Q4471*0.10)+(R4471*0.10)+(S4471*0.05),2)</f>
        <v/>
      </c>
      <c r="U4471">
        <f>IF(T4471&gt;=4.25,"Critical",IF(T4471&gt;=3.5,"High",IF(T4471&gt;=2,"Medium","Low")))</f>
        <v/>
      </c>
    </row>
    <row r="4472">
      <c r="R4472">
        <f>IFERROR(XLOOKUP(XLOOKUP(D4472,tblReleaseChanges[Change_ID],tblReleaseChanges[Oracle_Severity],""),tblSeverityMap[Severity_Text],tblSeverityMap[Score],0),0)</f>
        <v/>
      </c>
      <c r="T4472">
        <f>ROUND((M4472*0.25)+(N4472*0.20)+(O4472*0.15)+(P4472*0.15)+(Q4472*0.10)+(R4472*0.10)+(S4472*0.05),2)</f>
        <v/>
      </c>
      <c r="U4472">
        <f>IF(T4472&gt;=4.25,"Critical",IF(T4472&gt;=3.5,"High",IF(T4472&gt;=2,"Medium","Low")))</f>
        <v/>
      </c>
    </row>
    <row r="4473">
      <c r="R4473">
        <f>IFERROR(XLOOKUP(XLOOKUP(D4473,tblReleaseChanges[Change_ID],tblReleaseChanges[Oracle_Severity],""),tblSeverityMap[Severity_Text],tblSeverityMap[Score],0),0)</f>
        <v/>
      </c>
      <c r="T4473">
        <f>ROUND((M4473*0.25)+(N4473*0.20)+(O4473*0.15)+(P4473*0.15)+(Q4473*0.10)+(R4473*0.10)+(S4473*0.05),2)</f>
        <v/>
      </c>
      <c r="U4473">
        <f>IF(T4473&gt;=4.25,"Critical",IF(T4473&gt;=3.5,"High",IF(T4473&gt;=2,"Medium","Low")))</f>
        <v/>
      </c>
    </row>
    <row r="4474">
      <c r="R4474">
        <f>IFERROR(XLOOKUP(XLOOKUP(D4474,tblReleaseChanges[Change_ID],tblReleaseChanges[Oracle_Severity],""),tblSeverityMap[Severity_Text],tblSeverityMap[Score],0),0)</f>
        <v/>
      </c>
      <c r="T4474">
        <f>ROUND((M4474*0.25)+(N4474*0.20)+(O4474*0.15)+(P4474*0.15)+(Q4474*0.10)+(R4474*0.10)+(S4474*0.05),2)</f>
        <v/>
      </c>
      <c r="U4474">
        <f>IF(T4474&gt;=4.25,"Critical",IF(T4474&gt;=3.5,"High",IF(T4474&gt;=2,"Medium","Low")))</f>
        <v/>
      </c>
    </row>
    <row r="4475">
      <c r="R4475">
        <f>IFERROR(XLOOKUP(XLOOKUP(D4475,tblReleaseChanges[Change_ID],tblReleaseChanges[Oracle_Severity],""),tblSeverityMap[Severity_Text],tblSeverityMap[Score],0),0)</f>
        <v/>
      </c>
      <c r="T4475">
        <f>ROUND((M4475*0.25)+(N4475*0.20)+(O4475*0.15)+(P4475*0.15)+(Q4475*0.10)+(R4475*0.10)+(S4475*0.05),2)</f>
        <v/>
      </c>
      <c r="U4475">
        <f>IF(T4475&gt;=4.25,"Critical",IF(T4475&gt;=3.5,"High",IF(T4475&gt;=2,"Medium","Low")))</f>
        <v/>
      </c>
    </row>
    <row r="4476">
      <c r="R4476">
        <f>IFERROR(XLOOKUP(XLOOKUP(D4476,tblReleaseChanges[Change_ID],tblReleaseChanges[Oracle_Severity],""),tblSeverityMap[Severity_Text],tblSeverityMap[Score],0),0)</f>
        <v/>
      </c>
      <c r="T4476">
        <f>ROUND((M4476*0.25)+(N4476*0.20)+(O4476*0.15)+(P4476*0.15)+(Q4476*0.10)+(R4476*0.10)+(S4476*0.05),2)</f>
        <v/>
      </c>
      <c r="U4476">
        <f>IF(T4476&gt;=4.25,"Critical",IF(T4476&gt;=3.5,"High",IF(T4476&gt;=2,"Medium","Low")))</f>
        <v/>
      </c>
    </row>
    <row r="4477">
      <c r="R4477">
        <f>IFERROR(XLOOKUP(XLOOKUP(D4477,tblReleaseChanges[Change_ID],tblReleaseChanges[Oracle_Severity],""),tblSeverityMap[Severity_Text],tblSeverityMap[Score],0),0)</f>
        <v/>
      </c>
      <c r="T4477">
        <f>ROUND((M4477*0.25)+(N4477*0.20)+(O4477*0.15)+(P4477*0.15)+(Q4477*0.10)+(R4477*0.10)+(S4477*0.05),2)</f>
        <v/>
      </c>
      <c r="U4477">
        <f>IF(T4477&gt;=4.25,"Critical",IF(T4477&gt;=3.5,"High",IF(T4477&gt;=2,"Medium","Low")))</f>
        <v/>
      </c>
    </row>
    <row r="4478">
      <c r="R4478">
        <f>IFERROR(XLOOKUP(XLOOKUP(D4478,tblReleaseChanges[Change_ID],tblReleaseChanges[Oracle_Severity],""),tblSeverityMap[Severity_Text],tblSeverityMap[Score],0),0)</f>
        <v/>
      </c>
      <c r="T4478">
        <f>ROUND((M4478*0.25)+(N4478*0.20)+(O4478*0.15)+(P4478*0.15)+(Q4478*0.10)+(R4478*0.10)+(S4478*0.05),2)</f>
        <v/>
      </c>
      <c r="U4478">
        <f>IF(T4478&gt;=4.25,"Critical",IF(T4478&gt;=3.5,"High",IF(T4478&gt;=2,"Medium","Low")))</f>
        <v/>
      </c>
    </row>
    <row r="4479">
      <c r="R4479">
        <f>IFERROR(XLOOKUP(XLOOKUP(D4479,tblReleaseChanges[Change_ID],tblReleaseChanges[Oracle_Severity],""),tblSeverityMap[Severity_Text],tblSeverityMap[Score],0),0)</f>
        <v/>
      </c>
      <c r="T4479">
        <f>ROUND((M4479*0.25)+(N4479*0.20)+(O4479*0.15)+(P4479*0.15)+(Q4479*0.10)+(R4479*0.10)+(S4479*0.05),2)</f>
        <v/>
      </c>
      <c r="U4479">
        <f>IF(T4479&gt;=4.25,"Critical",IF(T4479&gt;=3.5,"High",IF(T4479&gt;=2,"Medium","Low")))</f>
        <v/>
      </c>
    </row>
    <row r="4480">
      <c r="R4480">
        <f>IFERROR(XLOOKUP(XLOOKUP(D4480,tblReleaseChanges[Change_ID],tblReleaseChanges[Oracle_Severity],""),tblSeverityMap[Severity_Text],tblSeverityMap[Score],0),0)</f>
        <v/>
      </c>
      <c r="T4480">
        <f>ROUND((M4480*0.25)+(N4480*0.20)+(O4480*0.15)+(P4480*0.15)+(Q4480*0.10)+(R4480*0.10)+(S4480*0.05),2)</f>
        <v/>
      </c>
      <c r="U4480">
        <f>IF(T4480&gt;=4.25,"Critical",IF(T4480&gt;=3.5,"High",IF(T4480&gt;=2,"Medium","Low")))</f>
        <v/>
      </c>
    </row>
    <row r="4481">
      <c r="R4481">
        <f>IFERROR(XLOOKUP(XLOOKUP(D4481,tblReleaseChanges[Change_ID],tblReleaseChanges[Oracle_Severity],""),tblSeverityMap[Severity_Text],tblSeverityMap[Score],0),0)</f>
        <v/>
      </c>
      <c r="T4481">
        <f>ROUND((M4481*0.25)+(N4481*0.20)+(O4481*0.15)+(P4481*0.15)+(Q4481*0.10)+(R4481*0.10)+(S4481*0.05),2)</f>
        <v/>
      </c>
      <c r="U4481">
        <f>IF(T4481&gt;=4.25,"Critical",IF(T4481&gt;=3.5,"High",IF(T4481&gt;=2,"Medium","Low")))</f>
        <v/>
      </c>
    </row>
    <row r="4482">
      <c r="R4482">
        <f>IFERROR(XLOOKUP(XLOOKUP(D4482,tblReleaseChanges[Change_ID],tblReleaseChanges[Oracle_Severity],""),tblSeverityMap[Severity_Text],tblSeverityMap[Score],0),0)</f>
        <v/>
      </c>
      <c r="T4482">
        <f>ROUND((M4482*0.25)+(N4482*0.20)+(O4482*0.15)+(P4482*0.15)+(Q4482*0.10)+(R4482*0.10)+(S4482*0.05),2)</f>
        <v/>
      </c>
      <c r="U4482">
        <f>IF(T4482&gt;=4.25,"Critical",IF(T4482&gt;=3.5,"High",IF(T4482&gt;=2,"Medium","Low")))</f>
        <v/>
      </c>
    </row>
    <row r="4483">
      <c r="R4483">
        <f>IFERROR(XLOOKUP(XLOOKUP(D4483,tblReleaseChanges[Change_ID],tblReleaseChanges[Oracle_Severity],""),tblSeverityMap[Severity_Text],tblSeverityMap[Score],0),0)</f>
        <v/>
      </c>
      <c r="T4483">
        <f>ROUND((M4483*0.25)+(N4483*0.20)+(O4483*0.15)+(P4483*0.15)+(Q4483*0.10)+(R4483*0.10)+(S4483*0.05),2)</f>
        <v/>
      </c>
      <c r="U4483">
        <f>IF(T4483&gt;=4.25,"Critical",IF(T4483&gt;=3.5,"High",IF(T4483&gt;=2,"Medium","Low")))</f>
        <v/>
      </c>
    </row>
    <row r="4484">
      <c r="R4484">
        <f>IFERROR(XLOOKUP(XLOOKUP(D4484,tblReleaseChanges[Change_ID],tblReleaseChanges[Oracle_Severity],""),tblSeverityMap[Severity_Text],tblSeverityMap[Score],0),0)</f>
        <v/>
      </c>
      <c r="T4484">
        <f>ROUND((M4484*0.25)+(N4484*0.20)+(O4484*0.15)+(P4484*0.15)+(Q4484*0.10)+(R4484*0.10)+(S4484*0.05),2)</f>
        <v/>
      </c>
      <c r="U4484">
        <f>IF(T4484&gt;=4.25,"Critical",IF(T4484&gt;=3.5,"High",IF(T4484&gt;=2,"Medium","Low")))</f>
        <v/>
      </c>
    </row>
    <row r="4485">
      <c r="R4485">
        <f>IFERROR(XLOOKUP(XLOOKUP(D4485,tblReleaseChanges[Change_ID],tblReleaseChanges[Oracle_Severity],""),tblSeverityMap[Severity_Text],tblSeverityMap[Score],0),0)</f>
        <v/>
      </c>
      <c r="T4485">
        <f>ROUND((M4485*0.25)+(N4485*0.20)+(O4485*0.15)+(P4485*0.15)+(Q4485*0.10)+(R4485*0.10)+(S4485*0.05),2)</f>
        <v/>
      </c>
      <c r="U4485">
        <f>IF(T4485&gt;=4.25,"Critical",IF(T4485&gt;=3.5,"High",IF(T4485&gt;=2,"Medium","Low")))</f>
        <v/>
      </c>
    </row>
    <row r="4486">
      <c r="R4486">
        <f>IFERROR(XLOOKUP(XLOOKUP(D4486,tblReleaseChanges[Change_ID],tblReleaseChanges[Oracle_Severity],""),tblSeverityMap[Severity_Text],tblSeverityMap[Score],0),0)</f>
        <v/>
      </c>
      <c r="T4486">
        <f>ROUND((M4486*0.25)+(N4486*0.20)+(O4486*0.15)+(P4486*0.15)+(Q4486*0.10)+(R4486*0.10)+(S4486*0.05),2)</f>
        <v/>
      </c>
      <c r="U4486">
        <f>IF(T4486&gt;=4.25,"Critical",IF(T4486&gt;=3.5,"High",IF(T4486&gt;=2,"Medium","Low")))</f>
        <v/>
      </c>
    </row>
    <row r="4487">
      <c r="R4487">
        <f>IFERROR(XLOOKUP(XLOOKUP(D4487,tblReleaseChanges[Change_ID],tblReleaseChanges[Oracle_Severity],""),tblSeverityMap[Severity_Text],tblSeverityMap[Score],0),0)</f>
        <v/>
      </c>
      <c r="T4487">
        <f>ROUND((M4487*0.25)+(N4487*0.20)+(O4487*0.15)+(P4487*0.15)+(Q4487*0.10)+(R4487*0.10)+(S4487*0.05),2)</f>
        <v/>
      </c>
      <c r="U4487">
        <f>IF(T4487&gt;=4.25,"Critical",IF(T4487&gt;=3.5,"High",IF(T4487&gt;=2,"Medium","Low")))</f>
        <v/>
      </c>
    </row>
    <row r="4488">
      <c r="R4488">
        <f>IFERROR(XLOOKUP(XLOOKUP(D4488,tblReleaseChanges[Change_ID],tblReleaseChanges[Oracle_Severity],""),tblSeverityMap[Severity_Text],tblSeverityMap[Score],0),0)</f>
        <v/>
      </c>
      <c r="T4488">
        <f>ROUND((M4488*0.25)+(N4488*0.20)+(O4488*0.15)+(P4488*0.15)+(Q4488*0.10)+(R4488*0.10)+(S4488*0.05),2)</f>
        <v/>
      </c>
      <c r="U4488">
        <f>IF(T4488&gt;=4.25,"Critical",IF(T4488&gt;=3.5,"High",IF(T4488&gt;=2,"Medium","Low")))</f>
        <v/>
      </c>
    </row>
    <row r="4489">
      <c r="R4489">
        <f>IFERROR(XLOOKUP(XLOOKUP(D4489,tblReleaseChanges[Change_ID],tblReleaseChanges[Oracle_Severity],""),tblSeverityMap[Severity_Text],tblSeverityMap[Score],0),0)</f>
        <v/>
      </c>
      <c r="T4489">
        <f>ROUND((M4489*0.25)+(N4489*0.20)+(O4489*0.15)+(P4489*0.15)+(Q4489*0.10)+(R4489*0.10)+(S4489*0.05),2)</f>
        <v/>
      </c>
      <c r="U4489">
        <f>IF(T4489&gt;=4.25,"Critical",IF(T4489&gt;=3.5,"High",IF(T4489&gt;=2,"Medium","Low")))</f>
        <v/>
      </c>
    </row>
    <row r="4490">
      <c r="R4490">
        <f>IFERROR(XLOOKUP(XLOOKUP(D4490,tblReleaseChanges[Change_ID],tblReleaseChanges[Oracle_Severity],""),tblSeverityMap[Severity_Text],tblSeverityMap[Score],0),0)</f>
        <v/>
      </c>
      <c r="T4490">
        <f>ROUND((M4490*0.25)+(N4490*0.20)+(O4490*0.15)+(P4490*0.15)+(Q4490*0.10)+(R4490*0.10)+(S4490*0.05),2)</f>
        <v/>
      </c>
      <c r="U4490">
        <f>IF(T4490&gt;=4.25,"Critical",IF(T4490&gt;=3.5,"High",IF(T4490&gt;=2,"Medium","Low")))</f>
        <v/>
      </c>
    </row>
    <row r="4491">
      <c r="R4491">
        <f>IFERROR(XLOOKUP(XLOOKUP(D4491,tblReleaseChanges[Change_ID],tblReleaseChanges[Oracle_Severity],""),tblSeverityMap[Severity_Text],tblSeverityMap[Score],0),0)</f>
        <v/>
      </c>
      <c r="T4491">
        <f>ROUND((M4491*0.25)+(N4491*0.20)+(O4491*0.15)+(P4491*0.15)+(Q4491*0.10)+(R4491*0.10)+(S4491*0.05),2)</f>
        <v/>
      </c>
      <c r="U4491">
        <f>IF(T4491&gt;=4.25,"Critical",IF(T4491&gt;=3.5,"High",IF(T4491&gt;=2,"Medium","Low")))</f>
        <v/>
      </c>
    </row>
    <row r="4492">
      <c r="R4492">
        <f>IFERROR(XLOOKUP(XLOOKUP(D4492,tblReleaseChanges[Change_ID],tblReleaseChanges[Oracle_Severity],""),tblSeverityMap[Severity_Text],tblSeverityMap[Score],0),0)</f>
        <v/>
      </c>
      <c r="T4492">
        <f>ROUND((M4492*0.25)+(N4492*0.20)+(O4492*0.15)+(P4492*0.15)+(Q4492*0.10)+(R4492*0.10)+(S4492*0.05),2)</f>
        <v/>
      </c>
      <c r="U4492">
        <f>IF(T4492&gt;=4.25,"Critical",IF(T4492&gt;=3.5,"High",IF(T4492&gt;=2,"Medium","Low")))</f>
        <v/>
      </c>
    </row>
    <row r="4493">
      <c r="R4493">
        <f>IFERROR(XLOOKUP(XLOOKUP(D4493,tblReleaseChanges[Change_ID],tblReleaseChanges[Oracle_Severity],""),tblSeverityMap[Severity_Text],tblSeverityMap[Score],0),0)</f>
        <v/>
      </c>
      <c r="T4493">
        <f>ROUND((M4493*0.25)+(N4493*0.20)+(O4493*0.15)+(P4493*0.15)+(Q4493*0.10)+(R4493*0.10)+(S4493*0.05),2)</f>
        <v/>
      </c>
      <c r="U4493">
        <f>IF(T4493&gt;=4.25,"Critical",IF(T4493&gt;=3.5,"High",IF(T4493&gt;=2,"Medium","Low")))</f>
        <v/>
      </c>
    </row>
    <row r="4494">
      <c r="R4494">
        <f>IFERROR(XLOOKUP(XLOOKUP(D4494,tblReleaseChanges[Change_ID],tblReleaseChanges[Oracle_Severity],""),tblSeverityMap[Severity_Text],tblSeverityMap[Score],0),0)</f>
        <v/>
      </c>
      <c r="T4494">
        <f>ROUND((M4494*0.25)+(N4494*0.20)+(O4494*0.15)+(P4494*0.15)+(Q4494*0.10)+(R4494*0.10)+(S4494*0.05),2)</f>
        <v/>
      </c>
      <c r="U4494">
        <f>IF(T4494&gt;=4.25,"Critical",IF(T4494&gt;=3.5,"High",IF(T4494&gt;=2,"Medium","Low")))</f>
        <v/>
      </c>
    </row>
    <row r="4495">
      <c r="R4495">
        <f>IFERROR(XLOOKUP(XLOOKUP(D4495,tblReleaseChanges[Change_ID],tblReleaseChanges[Oracle_Severity],""),tblSeverityMap[Severity_Text],tblSeverityMap[Score],0),0)</f>
        <v/>
      </c>
      <c r="T4495">
        <f>ROUND((M4495*0.25)+(N4495*0.20)+(O4495*0.15)+(P4495*0.15)+(Q4495*0.10)+(R4495*0.10)+(S4495*0.05),2)</f>
        <v/>
      </c>
      <c r="U4495">
        <f>IF(T4495&gt;=4.25,"Critical",IF(T4495&gt;=3.5,"High",IF(T4495&gt;=2,"Medium","Low")))</f>
        <v/>
      </c>
    </row>
    <row r="4496">
      <c r="R4496">
        <f>IFERROR(XLOOKUP(XLOOKUP(D4496,tblReleaseChanges[Change_ID],tblReleaseChanges[Oracle_Severity],""),tblSeverityMap[Severity_Text],tblSeverityMap[Score],0),0)</f>
        <v/>
      </c>
      <c r="T4496">
        <f>ROUND((M4496*0.25)+(N4496*0.20)+(O4496*0.15)+(P4496*0.15)+(Q4496*0.10)+(R4496*0.10)+(S4496*0.05),2)</f>
        <v/>
      </c>
      <c r="U4496">
        <f>IF(T4496&gt;=4.25,"Critical",IF(T4496&gt;=3.5,"High",IF(T4496&gt;=2,"Medium","Low")))</f>
        <v/>
      </c>
    </row>
    <row r="4497">
      <c r="R4497">
        <f>IFERROR(XLOOKUP(XLOOKUP(D4497,tblReleaseChanges[Change_ID],tblReleaseChanges[Oracle_Severity],""),tblSeverityMap[Severity_Text],tblSeverityMap[Score],0),0)</f>
        <v/>
      </c>
      <c r="T4497">
        <f>ROUND((M4497*0.25)+(N4497*0.20)+(O4497*0.15)+(P4497*0.15)+(Q4497*0.10)+(R4497*0.10)+(S4497*0.05),2)</f>
        <v/>
      </c>
      <c r="U4497">
        <f>IF(T4497&gt;=4.25,"Critical",IF(T4497&gt;=3.5,"High",IF(T4497&gt;=2,"Medium","Low")))</f>
        <v/>
      </c>
    </row>
    <row r="4498">
      <c r="R4498">
        <f>IFERROR(XLOOKUP(XLOOKUP(D4498,tblReleaseChanges[Change_ID],tblReleaseChanges[Oracle_Severity],""),tblSeverityMap[Severity_Text],tblSeverityMap[Score],0),0)</f>
        <v/>
      </c>
      <c r="T4498">
        <f>ROUND((M4498*0.25)+(N4498*0.20)+(O4498*0.15)+(P4498*0.15)+(Q4498*0.10)+(R4498*0.10)+(S4498*0.05),2)</f>
        <v/>
      </c>
      <c r="U4498">
        <f>IF(T4498&gt;=4.25,"Critical",IF(T4498&gt;=3.5,"High",IF(T4498&gt;=2,"Medium","Low")))</f>
        <v/>
      </c>
    </row>
    <row r="4499">
      <c r="R4499">
        <f>IFERROR(XLOOKUP(XLOOKUP(D4499,tblReleaseChanges[Change_ID],tblReleaseChanges[Oracle_Severity],""),tblSeverityMap[Severity_Text],tblSeverityMap[Score],0),0)</f>
        <v/>
      </c>
      <c r="T4499">
        <f>ROUND((M4499*0.25)+(N4499*0.20)+(O4499*0.15)+(P4499*0.15)+(Q4499*0.10)+(R4499*0.10)+(S4499*0.05),2)</f>
        <v/>
      </c>
      <c r="U4499">
        <f>IF(T4499&gt;=4.25,"Critical",IF(T4499&gt;=3.5,"High",IF(T4499&gt;=2,"Medium","Low")))</f>
        <v/>
      </c>
    </row>
    <row r="4500">
      <c r="R4500">
        <f>IFERROR(XLOOKUP(XLOOKUP(D4500,tblReleaseChanges[Change_ID],tblReleaseChanges[Oracle_Severity],""),tblSeverityMap[Severity_Text],tblSeverityMap[Score],0),0)</f>
        <v/>
      </c>
      <c r="T4500">
        <f>ROUND((M4500*0.25)+(N4500*0.20)+(O4500*0.15)+(P4500*0.15)+(Q4500*0.10)+(R4500*0.10)+(S4500*0.05),2)</f>
        <v/>
      </c>
      <c r="U4500">
        <f>IF(T4500&gt;=4.25,"Critical",IF(T4500&gt;=3.5,"High",IF(T4500&gt;=2,"Medium","Low")))</f>
        <v/>
      </c>
    </row>
    <row r="4501">
      <c r="R4501">
        <f>IFERROR(XLOOKUP(XLOOKUP(D4501,tblReleaseChanges[Change_ID],tblReleaseChanges[Oracle_Severity],""),tblSeverityMap[Severity_Text],tblSeverityMap[Score],0),0)</f>
        <v/>
      </c>
      <c r="T4501">
        <f>ROUND((M4501*0.25)+(N4501*0.20)+(O4501*0.15)+(P4501*0.15)+(Q4501*0.10)+(R4501*0.10)+(S4501*0.05),2)</f>
        <v/>
      </c>
      <c r="U4501">
        <f>IF(T4501&gt;=4.25,"Critical",IF(T4501&gt;=3.5,"High",IF(T4501&gt;=2,"Medium","Low")))</f>
        <v/>
      </c>
    </row>
    <row r="4502">
      <c r="R4502">
        <f>IFERROR(XLOOKUP(XLOOKUP(D4502,tblReleaseChanges[Change_ID],tblReleaseChanges[Oracle_Severity],""),tblSeverityMap[Severity_Text],tblSeverityMap[Score],0),0)</f>
        <v/>
      </c>
      <c r="T4502">
        <f>ROUND((M4502*0.25)+(N4502*0.20)+(O4502*0.15)+(P4502*0.15)+(Q4502*0.10)+(R4502*0.10)+(S4502*0.05),2)</f>
        <v/>
      </c>
      <c r="U4502">
        <f>IF(T4502&gt;=4.25,"Critical",IF(T4502&gt;=3.5,"High",IF(T4502&gt;=2,"Medium","Low")))</f>
        <v/>
      </c>
    </row>
    <row r="4503">
      <c r="R4503">
        <f>IFERROR(XLOOKUP(XLOOKUP(D4503,tblReleaseChanges[Change_ID],tblReleaseChanges[Oracle_Severity],""),tblSeverityMap[Severity_Text],tblSeverityMap[Score],0),0)</f>
        <v/>
      </c>
      <c r="T4503">
        <f>ROUND((M4503*0.25)+(N4503*0.20)+(O4503*0.15)+(P4503*0.15)+(Q4503*0.10)+(R4503*0.10)+(S4503*0.05),2)</f>
        <v/>
      </c>
      <c r="U4503">
        <f>IF(T4503&gt;=4.25,"Critical",IF(T4503&gt;=3.5,"High",IF(T4503&gt;=2,"Medium","Low")))</f>
        <v/>
      </c>
    </row>
    <row r="4504">
      <c r="R4504">
        <f>IFERROR(XLOOKUP(XLOOKUP(D4504,tblReleaseChanges[Change_ID],tblReleaseChanges[Oracle_Severity],""),tblSeverityMap[Severity_Text],tblSeverityMap[Score],0),0)</f>
        <v/>
      </c>
      <c r="T4504">
        <f>ROUND((M4504*0.25)+(N4504*0.20)+(O4504*0.15)+(P4504*0.15)+(Q4504*0.10)+(R4504*0.10)+(S4504*0.05),2)</f>
        <v/>
      </c>
      <c r="U4504">
        <f>IF(T4504&gt;=4.25,"Critical",IF(T4504&gt;=3.5,"High",IF(T4504&gt;=2,"Medium","Low")))</f>
        <v/>
      </c>
    </row>
    <row r="4505">
      <c r="R4505">
        <f>IFERROR(XLOOKUP(XLOOKUP(D4505,tblReleaseChanges[Change_ID],tblReleaseChanges[Oracle_Severity],""),tblSeverityMap[Severity_Text],tblSeverityMap[Score],0),0)</f>
        <v/>
      </c>
      <c r="T4505">
        <f>ROUND((M4505*0.25)+(N4505*0.20)+(O4505*0.15)+(P4505*0.15)+(Q4505*0.10)+(R4505*0.10)+(S4505*0.05),2)</f>
        <v/>
      </c>
      <c r="U4505">
        <f>IF(T4505&gt;=4.25,"Critical",IF(T4505&gt;=3.5,"High",IF(T4505&gt;=2,"Medium","Low")))</f>
        <v/>
      </c>
    </row>
    <row r="4506">
      <c r="R4506">
        <f>IFERROR(XLOOKUP(XLOOKUP(D4506,tblReleaseChanges[Change_ID],tblReleaseChanges[Oracle_Severity],""),tblSeverityMap[Severity_Text],tblSeverityMap[Score],0),0)</f>
        <v/>
      </c>
      <c r="T4506">
        <f>ROUND((M4506*0.25)+(N4506*0.20)+(O4506*0.15)+(P4506*0.15)+(Q4506*0.10)+(R4506*0.10)+(S4506*0.05),2)</f>
        <v/>
      </c>
      <c r="U4506">
        <f>IF(T4506&gt;=4.25,"Critical",IF(T4506&gt;=3.5,"High",IF(T4506&gt;=2,"Medium","Low")))</f>
        <v/>
      </c>
    </row>
    <row r="4507">
      <c r="R4507">
        <f>IFERROR(XLOOKUP(XLOOKUP(D4507,tblReleaseChanges[Change_ID],tblReleaseChanges[Oracle_Severity],""),tblSeverityMap[Severity_Text],tblSeverityMap[Score],0),0)</f>
        <v/>
      </c>
      <c r="T4507">
        <f>ROUND((M4507*0.25)+(N4507*0.20)+(O4507*0.15)+(P4507*0.15)+(Q4507*0.10)+(R4507*0.10)+(S4507*0.05),2)</f>
        <v/>
      </c>
      <c r="U4507">
        <f>IF(T4507&gt;=4.25,"Critical",IF(T4507&gt;=3.5,"High",IF(T4507&gt;=2,"Medium","Low")))</f>
        <v/>
      </c>
    </row>
    <row r="4508">
      <c r="R4508">
        <f>IFERROR(XLOOKUP(XLOOKUP(D4508,tblReleaseChanges[Change_ID],tblReleaseChanges[Oracle_Severity],""),tblSeverityMap[Severity_Text],tblSeverityMap[Score],0),0)</f>
        <v/>
      </c>
      <c r="T4508">
        <f>ROUND((M4508*0.25)+(N4508*0.20)+(O4508*0.15)+(P4508*0.15)+(Q4508*0.10)+(R4508*0.10)+(S4508*0.05),2)</f>
        <v/>
      </c>
      <c r="U4508">
        <f>IF(T4508&gt;=4.25,"Critical",IF(T4508&gt;=3.5,"High",IF(T4508&gt;=2,"Medium","Low")))</f>
        <v/>
      </c>
    </row>
    <row r="4509">
      <c r="R4509">
        <f>IFERROR(XLOOKUP(XLOOKUP(D4509,tblReleaseChanges[Change_ID],tblReleaseChanges[Oracle_Severity],""),tblSeverityMap[Severity_Text],tblSeverityMap[Score],0),0)</f>
        <v/>
      </c>
      <c r="T4509">
        <f>ROUND((M4509*0.25)+(N4509*0.20)+(O4509*0.15)+(P4509*0.15)+(Q4509*0.10)+(R4509*0.10)+(S4509*0.05),2)</f>
        <v/>
      </c>
      <c r="U4509">
        <f>IF(T4509&gt;=4.25,"Critical",IF(T4509&gt;=3.5,"High",IF(T4509&gt;=2,"Medium","Low")))</f>
        <v/>
      </c>
    </row>
    <row r="4510">
      <c r="R4510">
        <f>IFERROR(XLOOKUP(XLOOKUP(D4510,tblReleaseChanges[Change_ID],tblReleaseChanges[Oracle_Severity],""),tblSeverityMap[Severity_Text],tblSeverityMap[Score],0),0)</f>
        <v/>
      </c>
      <c r="T4510">
        <f>ROUND((M4510*0.25)+(N4510*0.20)+(O4510*0.15)+(P4510*0.15)+(Q4510*0.10)+(R4510*0.10)+(S4510*0.05),2)</f>
        <v/>
      </c>
      <c r="U4510">
        <f>IF(T4510&gt;=4.25,"Critical",IF(T4510&gt;=3.5,"High",IF(T4510&gt;=2,"Medium","Low")))</f>
        <v/>
      </c>
    </row>
    <row r="4511">
      <c r="R4511">
        <f>IFERROR(XLOOKUP(XLOOKUP(D4511,tblReleaseChanges[Change_ID],tblReleaseChanges[Oracle_Severity],""),tblSeverityMap[Severity_Text],tblSeverityMap[Score],0),0)</f>
        <v/>
      </c>
      <c r="T4511">
        <f>ROUND((M4511*0.25)+(N4511*0.20)+(O4511*0.15)+(P4511*0.15)+(Q4511*0.10)+(R4511*0.10)+(S4511*0.05),2)</f>
        <v/>
      </c>
      <c r="U4511">
        <f>IF(T4511&gt;=4.25,"Critical",IF(T4511&gt;=3.5,"High",IF(T4511&gt;=2,"Medium","Low")))</f>
        <v/>
      </c>
    </row>
    <row r="4512">
      <c r="R4512">
        <f>IFERROR(XLOOKUP(XLOOKUP(D4512,tblReleaseChanges[Change_ID],tblReleaseChanges[Oracle_Severity],""),tblSeverityMap[Severity_Text],tblSeverityMap[Score],0),0)</f>
        <v/>
      </c>
      <c r="T4512">
        <f>ROUND((M4512*0.25)+(N4512*0.20)+(O4512*0.15)+(P4512*0.15)+(Q4512*0.10)+(R4512*0.10)+(S4512*0.05),2)</f>
        <v/>
      </c>
      <c r="U4512">
        <f>IF(T4512&gt;=4.25,"Critical",IF(T4512&gt;=3.5,"High",IF(T4512&gt;=2,"Medium","Low")))</f>
        <v/>
      </c>
    </row>
    <row r="4513">
      <c r="R4513">
        <f>IFERROR(XLOOKUP(XLOOKUP(D4513,tblReleaseChanges[Change_ID],tblReleaseChanges[Oracle_Severity],""),tblSeverityMap[Severity_Text],tblSeverityMap[Score],0),0)</f>
        <v/>
      </c>
      <c r="T4513">
        <f>ROUND((M4513*0.25)+(N4513*0.20)+(O4513*0.15)+(P4513*0.15)+(Q4513*0.10)+(R4513*0.10)+(S4513*0.05),2)</f>
        <v/>
      </c>
      <c r="U4513">
        <f>IF(T4513&gt;=4.25,"Critical",IF(T4513&gt;=3.5,"High",IF(T4513&gt;=2,"Medium","Low")))</f>
        <v/>
      </c>
    </row>
    <row r="4514">
      <c r="R4514">
        <f>IFERROR(XLOOKUP(XLOOKUP(D4514,tblReleaseChanges[Change_ID],tblReleaseChanges[Oracle_Severity],""),tblSeverityMap[Severity_Text],tblSeverityMap[Score],0),0)</f>
        <v/>
      </c>
      <c r="T4514">
        <f>ROUND((M4514*0.25)+(N4514*0.20)+(O4514*0.15)+(P4514*0.15)+(Q4514*0.10)+(R4514*0.10)+(S4514*0.05),2)</f>
        <v/>
      </c>
      <c r="U4514">
        <f>IF(T4514&gt;=4.25,"Critical",IF(T4514&gt;=3.5,"High",IF(T4514&gt;=2,"Medium","Low")))</f>
        <v/>
      </c>
    </row>
    <row r="4515">
      <c r="R4515">
        <f>IFERROR(XLOOKUP(XLOOKUP(D4515,tblReleaseChanges[Change_ID],tblReleaseChanges[Oracle_Severity],""),tblSeverityMap[Severity_Text],tblSeverityMap[Score],0),0)</f>
        <v/>
      </c>
      <c r="T4515">
        <f>ROUND((M4515*0.25)+(N4515*0.20)+(O4515*0.15)+(P4515*0.15)+(Q4515*0.10)+(R4515*0.10)+(S4515*0.05),2)</f>
        <v/>
      </c>
      <c r="U4515">
        <f>IF(T4515&gt;=4.25,"Critical",IF(T4515&gt;=3.5,"High",IF(T4515&gt;=2,"Medium","Low")))</f>
        <v/>
      </c>
    </row>
    <row r="4516">
      <c r="R4516">
        <f>IFERROR(XLOOKUP(XLOOKUP(D4516,tblReleaseChanges[Change_ID],tblReleaseChanges[Oracle_Severity],""),tblSeverityMap[Severity_Text],tblSeverityMap[Score],0),0)</f>
        <v/>
      </c>
      <c r="T4516">
        <f>ROUND((M4516*0.25)+(N4516*0.20)+(O4516*0.15)+(P4516*0.15)+(Q4516*0.10)+(R4516*0.10)+(S4516*0.05),2)</f>
        <v/>
      </c>
      <c r="U4516">
        <f>IF(T4516&gt;=4.25,"Critical",IF(T4516&gt;=3.5,"High",IF(T4516&gt;=2,"Medium","Low")))</f>
        <v/>
      </c>
    </row>
    <row r="4517">
      <c r="R4517">
        <f>IFERROR(XLOOKUP(XLOOKUP(D4517,tblReleaseChanges[Change_ID],tblReleaseChanges[Oracle_Severity],""),tblSeverityMap[Severity_Text],tblSeverityMap[Score],0),0)</f>
        <v/>
      </c>
      <c r="T4517">
        <f>ROUND((M4517*0.25)+(N4517*0.20)+(O4517*0.15)+(P4517*0.15)+(Q4517*0.10)+(R4517*0.10)+(S4517*0.05),2)</f>
        <v/>
      </c>
      <c r="U4517">
        <f>IF(T4517&gt;=4.25,"Critical",IF(T4517&gt;=3.5,"High",IF(T4517&gt;=2,"Medium","Low")))</f>
        <v/>
      </c>
    </row>
    <row r="4518">
      <c r="R4518">
        <f>IFERROR(XLOOKUP(XLOOKUP(D4518,tblReleaseChanges[Change_ID],tblReleaseChanges[Oracle_Severity],""),tblSeverityMap[Severity_Text],tblSeverityMap[Score],0),0)</f>
        <v/>
      </c>
      <c r="T4518">
        <f>ROUND((M4518*0.25)+(N4518*0.20)+(O4518*0.15)+(P4518*0.15)+(Q4518*0.10)+(R4518*0.10)+(S4518*0.05),2)</f>
        <v/>
      </c>
      <c r="U4518">
        <f>IF(T4518&gt;=4.25,"Critical",IF(T4518&gt;=3.5,"High",IF(T4518&gt;=2,"Medium","Low")))</f>
        <v/>
      </c>
    </row>
    <row r="4519">
      <c r="R4519">
        <f>IFERROR(XLOOKUP(XLOOKUP(D4519,tblReleaseChanges[Change_ID],tblReleaseChanges[Oracle_Severity],""),tblSeverityMap[Severity_Text],tblSeverityMap[Score],0),0)</f>
        <v/>
      </c>
      <c r="T4519">
        <f>ROUND((M4519*0.25)+(N4519*0.20)+(O4519*0.15)+(P4519*0.15)+(Q4519*0.10)+(R4519*0.10)+(S4519*0.05),2)</f>
        <v/>
      </c>
      <c r="U4519">
        <f>IF(T4519&gt;=4.25,"Critical",IF(T4519&gt;=3.5,"High",IF(T4519&gt;=2,"Medium","Low")))</f>
        <v/>
      </c>
    </row>
    <row r="4520">
      <c r="R4520">
        <f>IFERROR(XLOOKUP(XLOOKUP(D4520,tblReleaseChanges[Change_ID],tblReleaseChanges[Oracle_Severity],""),tblSeverityMap[Severity_Text],tblSeverityMap[Score],0),0)</f>
        <v/>
      </c>
      <c r="T4520">
        <f>ROUND((M4520*0.25)+(N4520*0.20)+(O4520*0.15)+(P4520*0.15)+(Q4520*0.10)+(R4520*0.10)+(S4520*0.05),2)</f>
        <v/>
      </c>
      <c r="U4520">
        <f>IF(T4520&gt;=4.25,"Critical",IF(T4520&gt;=3.5,"High",IF(T4520&gt;=2,"Medium","Low")))</f>
        <v/>
      </c>
    </row>
    <row r="4521">
      <c r="R4521">
        <f>IFERROR(XLOOKUP(XLOOKUP(D4521,tblReleaseChanges[Change_ID],tblReleaseChanges[Oracle_Severity],""),tblSeverityMap[Severity_Text],tblSeverityMap[Score],0),0)</f>
        <v/>
      </c>
      <c r="T4521">
        <f>ROUND((M4521*0.25)+(N4521*0.20)+(O4521*0.15)+(P4521*0.15)+(Q4521*0.10)+(R4521*0.10)+(S4521*0.05),2)</f>
        <v/>
      </c>
      <c r="U4521">
        <f>IF(T4521&gt;=4.25,"Critical",IF(T4521&gt;=3.5,"High",IF(T4521&gt;=2,"Medium","Low")))</f>
        <v/>
      </c>
    </row>
    <row r="4522">
      <c r="R4522">
        <f>IFERROR(XLOOKUP(XLOOKUP(D4522,tblReleaseChanges[Change_ID],tblReleaseChanges[Oracle_Severity],""),tblSeverityMap[Severity_Text],tblSeverityMap[Score],0),0)</f>
        <v/>
      </c>
      <c r="T4522">
        <f>ROUND((M4522*0.25)+(N4522*0.20)+(O4522*0.15)+(P4522*0.15)+(Q4522*0.10)+(R4522*0.10)+(S4522*0.05),2)</f>
        <v/>
      </c>
      <c r="U4522">
        <f>IF(T4522&gt;=4.25,"Critical",IF(T4522&gt;=3.5,"High",IF(T4522&gt;=2,"Medium","Low")))</f>
        <v/>
      </c>
    </row>
    <row r="4523">
      <c r="R4523">
        <f>IFERROR(XLOOKUP(XLOOKUP(D4523,tblReleaseChanges[Change_ID],tblReleaseChanges[Oracle_Severity],""),tblSeverityMap[Severity_Text],tblSeverityMap[Score],0),0)</f>
        <v/>
      </c>
      <c r="T4523">
        <f>ROUND((M4523*0.25)+(N4523*0.20)+(O4523*0.15)+(P4523*0.15)+(Q4523*0.10)+(R4523*0.10)+(S4523*0.05),2)</f>
        <v/>
      </c>
      <c r="U4523">
        <f>IF(T4523&gt;=4.25,"Critical",IF(T4523&gt;=3.5,"High",IF(T4523&gt;=2,"Medium","Low")))</f>
        <v/>
      </c>
    </row>
    <row r="4524">
      <c r="R4524">
        <f>IFERROR(XLOOKUP(XLOOKUP(D4524,tblReleaseChanges[Change_ID],tblReleaseChanges[Oracle_Severity],""),tblSeverityMap[Severity_Text],tblSeverityMap[Score],0),0)</f>
        <v/>
      </c>
      <c r="T4524">
        <f>ROUND((M4524*0.25)+(N4524*0.20)+(O4524*0.15)+(P4524*0.15)+(Q4524*0.10)+(R4524*0.10)+(S4524*0.05),2)</f>
        <v/>
      </c>
      <c r="U4524">
        <f>IF(T4524&gt;=4.25,"Critical",IF(T4524&gt;=3.5,"High",IF(T4524&gt;=2,"Medium","Low")))</f>
        <v/>
      </c>
    </row>
    <row r="4525">
      <c r="R4525">
        <f>IFERROR(XLOOKUP(XLOOKUP(D4525,tblReleaseChanges[Change_ID],tblReleaseChanges[Oracle_Severity],""),tblSeverityMap[Severity_Text],tblSeverityMap[Score],0),0)</f>
        <v/>
      </c>
      <c r="T4525">
        <f>ROUND((M4525*0.25)+(N4525*0.20)+(O4525*0.15)+(P4525*0.15)+(Q4525*0.10)+(R4525*0.10)+(S4525*0.05),2)</f>
        <v/>
      </c>
      <c r="U4525">
        <f>IF(T4525&gt;=4.25,"Critical",IF(T4525&gt;=3.5,"High",IF(T4525&gt;=2,"Medium","Low")))</f>
        <v/>
      </c>
    </row>
    <row r="4526">
      <c r="R4526">
        <f>IFERROR(XLOOKUP(XLOOKUP(D4526,tblReleaseChanges[Change_ID],tblReleaseChanges[Oracle_Severity],""),tblSeverityMap[Severity_Text],tblSeverityMap[Score],0),0)</f>
        <v/>
      </c>
      <c r="T4526">
        <f>ROUND((M4526*0.25)+(N4526*0.20)+(O4526*0.15)+(P4526*0.15)+(Q4526*0.10)+(R4526*0.10)+(S4526*0.05),2)</f>
        <v/>
      </c>
      <c r="U4526">
        <f>IF(T4526&gt;=4.25,"Critical",IF(T4526&gt;=3.5,"High",IF(T4526&gt;=2,"Medium","Low")))</f>
        <v/>
      </c>
    </row>
    <row r="4527">
      <c r="R4527">
        <f>IFERROR(XLOOKUP(XLOOKUP(D4527,tblReleaseChanges[Change_ID],tblReleaseChanges[Oracle_Severity],""),tblSeverityMap[Severity_Text],tblSeverityMap[Score],0),0)</f>
        <v/>
      </c>
      <c r="T4527">
        <f>ROUND((M4527*0.25)+(N4527*0.20)+(O4527*0.15)+(P4527*0.15)+(Q4527*0.10)+(R4527*0.10)+(S4527*0.05),2)</f>
        <v/>
      </c>
      <c r="U4527">
        <f>IF(T4527&gt;=4.25,"Critical",IF(T4527&gt;=3.5,"High",IF(T4527&gt;=2,"Medium","Low")))</f>
        <v/>
      </c>
    </row>
    <row r="4528">
      <c r="R4528">
        <f>IFERROR(XLOOKUP(XLOOKUP(D4528,tblReleaseChanges[Change_ID],tblReleaseChanges[Oracle_Severity],""),tblSeverityMap[Severity_Text],tblSeverityMap[Score],0),0)</f>
        <v/>
      </c>
      <c r="T4528">
        <f>ROUND((M4528*0.25)+(N4528*0.20)+(O4528*0.15)+(P4528*0.15)+(Q4528*0.10)+(R4528*0.10)+(S4528*0.05),2)</f>
        <v/>
      </c>
      <c r="U4528">
        <f>IF(T4528&gt;=4.25,"Critical",IF(T4528&gt;=3.5,"High",IF(T4528&gt;=2,"Medium","Low")))</f>
        <v/>
      </c>
    </row>
    <row r="4529">
      <c r="R4529">
        <f>IFERROR(XLOOKUP(XLOOKUP(D4529,tblReleaseChanges[Change_ID],tblReleaseChanges[Oracle_Severity],""),tblSeverityMap[Severity_Text],tblSeverityMap[Score],0),0)</f>
        <v/>
      </c>
      <c r="T4529">
        <f>ROUND((M4529*0.25)+(N4529*0.20)+(O4529*0.15)+(P4529*0.15)+(Q4529*0.10)+(R4529*0.10)+(S4529*0.05),2)</f>
        <v/>
      </c>
      <c r="U4529">
        <f>IF(T4529&gt;=4.25,"Critical",IF(T4529&gt;=3.5,"High",IF(T4529&gt;=2,"Medium","Low")))</f>
        <v/>
      </c>
    </row>
    <row r="4530">
      <c r="R4530">
        <f>IFERROR(XLOOKUP(XLOOKUP(D4530,tblReleaseChanges[Change_ID],tblReleaseChanges[Oracle_Severity],""),tblSeverityMap[Severity_Text],tblSeverityMap[Score],0),0)</f>
        <v/>
      </c>
      <c r="T4530">
        <f>ROUND((M4530*0.25)+(N4530*0.20)+(O4530*0.15)+(P4530*0.15)+(Q4530*0.10)+(R4530*0.10)+(S4530*0.05),2)</f>
        <v/>
      </c>
      <c r="U4530">
        <f>IF(T4530&gt;=4.25,"Critical",IF(T4530&gt;=3.5,"High",IF(T4530&gt;=2,"Medium","Low")))</f>
        <v/>
      </c>
    </row>
    <row r="4531">
      <c r="R4531">
        <f>IFERROR(XLOOKUP(XLOOKUP(D4531,tblReleaseChanges[Change_ID],tblReleaseChanges[Oracle_Severity],""),tblSeverityMap[Severity_Text],tblSeverityMap[Score],0),0)</f>
        <v/>
      </c>
      <c r="T4531">
        <f>ROUND((M4531*0.25)+(N4531*0.20)+(O4531*0.15)+(P4531*0.15)+(Q4531*0.10)+(R4531*0.10)+(S4531*0.05),2)</f>
        <v/>
      </c>
      <c r="U4531">
        <f>IF(T4531&gt;=4.25,"Critical",IF(T4531&gt;=3.5,"High",IF(T4531&gt;=2,"Medium","Low")))</f>
        <v/>
      </c>
    </row>
    <row r="4532">
      <c r="R4532">
        <f>IFERROR(XLOOKUP(XLOOKUP(D4532,tblReleaseChanges[Change_ID],tblReleaseChanges[Oracle_Severity],""),tblSeverityMap[Severity_Text],tblSeverityMap[Score],0),0)</f>
        <v/>
      </c>
      <c r="T4532">
        <f>ROUND((M4532*0.25)+(N4532*0.20)+(O4532*0.15)+(P4532*0.15)+(Q4532*0.10)+(R4532*0.10)+(S4532*0.05),2)</f>
        <v/>
      </c>
      <c r="U4532">
        <f>IF(T4532&gt;=4.25,"Critical",IF(T4532&gt;=3.5,"High",IF(T4532&gt;=2,"Medium","Low")))</f>
        <v/>
      </c>
    </row>
    <row r="4533">
      <c r="R4533">
        <f>IFERROR(XLOOKUP(XLOOKUP(D4533,tblReleaseChanges[Change_ID],tblReleaseChanges[Oracle_Severity],""),tblSeverityMap[Severity_Text],tblSeverityMap[Score],0),0)</f>
        <v/>
      </c>
      <c r="T4533">
        <f>ROUND((M4533*0.25)+(N4533*0.20)+(O4533*0.15)+(P4533*0.15)+(Q4533*0.10)+(R4533*0.10)+(S4533*0.05),2)</f>
        <v/>
      </c>
      <c r="U4533">
        <f>IF(T4533&gt;=4.25,"Critical",IF(T4533&gt;=3.5,"High",IF(T4533&gt;=2,"Medium","Low")))</f>
        <v/>
      </c>
    </row>
    <row r="4534">
      <c r="R4534">
        <f>IFERROR(XLOOKUP(XLOOKUP(D4534,tblReleaseChanges[Change_ID],tblReleaseChanges[Oracle_Severity],""),tblSeverityMap[Severity_Text],tblSeverityMap[Score],0),0)</f>
        <v/>
      </c>
      <c r="T4534">
        <f>ROUND((M4534*0.25)+(N4534*0.20)+(O4534*0.15)+(P4534*0.15)+(Q4534*0.10)+(R4534*0.10)+(S4534*0.05),2)</f>
        <v/>
      </c>
      <c r="U4534">
        <f>IF(T4534&gt;=4.25,"Critical",IF(T4534&gt;=3.5,"High",IF(T4534&gt;=2,"Medium","Low")))</f>
        <v/>
      </c>
    </row>
    <row r="4535">
      <c r="R4535">
        <f>IFERROR(XLOOKUP(XLOOKUP(D4535,tblReleaseChanges[Change_ID],tblReleaseChanges[Oracle_Severity],""),tblSeverityMap[Severity_Text],tblSeverityMap[Score],0),0)</f>
        <v/>
      </c>
      <c r="T4535">
        <f>ROUND((M4535*0.25)+(N4535*0.20)+(O4535*0.15)+(P4535*0.15)+(Q4535*0.10)+(R4535*0.10)+(S4535*0.05),2)</f>
        <v/>
      </c>
      <c r="U4535">
        <f>IF(T4535&gt;=4.25,"Critical",IF(T4535&gt;=3.5,"High",IF(T4535&gt;=2,"Medium","Low")))</f>
        <v/>
      </c>
    </row>
    <row r="4536">
      <c r="R4536">
        <f>IFERROR(XLOOKUP(XLOOKUP(D4536,tblReleaseChanges[Change_ID],tblReleaseChanges[Oracle_Severity],""),tblSeverityMap[Severity_Text],tblSeverityMap[Score],0),0)</f>
        <v/>
      </c>
      <c r="T4536">
        <f>ROUND((M4536*0.25)+(N4536*0.20)+(O4536*0.15)+(P4536*0.15)+(Q4536*0.10)+(R4536*0.10)+(S4536*0.05),2)</f>
        <v/>
      </c>
      <c r="U4536">
        <f>IF(T4536&gt;=4.25,"Critical",IF(T4536&gt;=3.5,"High",IF(T4536&gt;=2,"Medium","Low")))</f>
        <v/>
      </c>
    </row>
    <row r="4537">
      <c r="R4537">
        <f>IFERROR(XLOOKUP(XLOOKUP(D4537,tblReleaseChanges[Change_ID],tblReleaseChanges[Oracle_Severity],""),tblSeverityMap[Severity_Text],tblSeverityMap[Score],0),0)</f>
        <v/>
      </c>
      <c r="T4537">
        <f>ROUND((M4537*0.25)+(N4537*0.20)+(O4537*0.15)+(P4537*0.15)+(Q4537*0.10)+(R4537*0.10)+(S4537*0.05),2)</f>
        <v/>
      </c>
      <c r="U4537">
        <f>IF(T4537&gt;=4.25,"Critical",IF(T4537&gt;=3.5,"High",IF(T4537&gt;=2,"Medium","Low")))</f>
        <v/>
      </c>
    </row>
    <row r="4538">
      <c r="R4538">
        <f>IFERROR(XLOOKUP(XLOOKUP(D4538,tblReleaseChanges[Change_ID],tblReleaseChanges[Oracle_Severity],""),tblSeverityMap[Severity_Text],tblSeverityMap[Score],0),0)</f>
        <v/>
      </c>
      <c r="T4538">
        <f>ROUND((M4538*0.25)+(N4538*0.20)+(O4538*0.15)+(P4538*0.15)+(Q4538*0.10)+(R4538*0.10)+(S4538*0.05),2)</f>
        <v/>
      </c>
      <c r="U4538">
        <f>IF(T4538&gt;=4.25,"Critical",IF(T4538&gt;=3.5,"High",IF(T4538&gt;=2,"Medium","Low")))</f>
        <v/>
      </c>
    </row>
    <row r="4539">
      <c r="R4539">
        <f>IFERROR(XLOOKUP(XLOOKUP(D4539,tblReleaseChanges[Change_ID],tblReleaseChanges[Oracle_Severity],""),tblSeverityMap[Severity_Text],tblSeverityMap[Score],0),0)</f>
        <v/>
      </c>
      <c r="T4539">
        <f>ROUND((M4539*0.25)+(N4539*0.20)+(O4539*0.15)+(P4539*0.15)+(Q4539*0.10)+(R4539*0.10)+(S4539*0.05),2)</f>
        <v/>
      </c>
      <c r="U4539">
        <f>IF(T4539&gt;=4.25,"Critical",IF(T4539&gt;=3.5,"High",IF(T4539&gt;=2,"Medium","Low")))</f>
        <v/>
      </c>
    </row>
    <row r="4540">
      <c r="R4540">
        <f>IFERROR(XLOOKUP(XLOOKUP(D4540,tblReleaseChanges[Change_ID],tblReleaseChanges[Oracle_Severity],""),tblSeverityMap[Severity_Text],tblSeverityMap[Score],0),0)</f>
        <v/>
      </c>
      <c r="T4540">
        <f>ROUND((M4540*0.25)+(N4540*0.20)+(O4540*0.15)+(P4540*0.15)+(Q4540*0.10)+(R4540*0.10)+(S4540*0.05),2)</f>
        <v/>
      </c>
      <c r="U4540">
        <f>IF(T4540&gt;=4.25,"Critical",IF(T4540&gt;=3.5,"High",IF(T4540&gt;=2,"Medium","Low")))</f>
        <v/>
      </c>
    </row>
    <row r="4541">
      <c r="R4541">
        <f>IFERROR(XLOOKUP(XLOOKUP(D4541,tblReleaseChanges[Change_ID],tblReleaseChanges[Oracle_Severity],""),tblSeverityMap[Severity_Text],tblSeverityMap[Score],0),0)</f>
        <v/>
      </c>
      <c r="T4541">
        <f>ROUND((M4541*0.25)+(N4541*0.20)+(O4541*0.15)+(P4541*0.15)+(Q4541*0.10)+(R4541*0.10)+(S4541*0.05),2)</f>
        <v/>
      </c>
      <c r="U4541">
        <f>IF(T4541&gt;=4.25,"Critical",IF(T4541&gt;=3.5,"High",IF(T4541&gt;=2,"Medium","Low")))</f>
        <v/>
      </c>
    </row>
    <row r="4542">
      <c r="R4542">
        <f>IFERROR(XLOOKUP(XLOOKUP(D4542,tblReleaseChanges[Change_ID],tblReleaseChanges[Oracle_Severity],""),tblSeverityMap[Severity_Text],tblSeverityMap[Score],0),0)</f>
        <v/>
      </c>
      <c r="T4542">
        <f>ROUND((M4542*0.25)+(N4542*0.20)+(O4542*0.15)+(P4542*0.15)+(Q4542*0.10)+(R4542*0.10)+(S4542*0.05),2)</f>
        <v/>
      </c>
      <c r="U4542">
        <f>IF(T4542&gt;=4.25,"Critical",IF(T4542&gt;=3.5,"High",IF(T4542&gt;=2,"Medium","Low")))</f>
        <v/>
      </c>
    </row>
    <row r="4543">
      <c r="R4543">
        <f>IFERROR(XLOOKUP(XLOOKUP(D4543,tblReleaseChanges[Change_ID],tblReleaseChanges[Oracle_Severity],""),tblSeverityMap[Severity_Text],tblSeverityMap[Score],0),0)</f>
        <v/>
      </c>
      <c r="T4543">
        <f>ROUND((M4543*0.25)+(N4543*0.20)+(O4543*0.15)+(P4543*0.15)+(Q4543*0.10)+(R4543*0.10)+(S4543*0.05),2)</f>
        <v/>
      </c>
      <c r="U4543">
        <f>IF(T4543&gt;=4.25,"Critical",IF(T4543&gt;=3.5,"High",IF(T4543&gt;=2,"Medium","Low")))</f>
        <v/>
      </c>
    </row>
    <row r="4544">
      <c r="R4544">
        <f>IFERROR(XLOOKUP(XLOOKUP(D4544,tblReleaseChanges[Change_ID],tblReleaseChanges[Oracle_Severity],""),tblSeverityMap[Severity_Text],tblSeverityMap[Score],0),0)</f>
        <v/>
      </c>
      <c r="T4544">
        <f>ROUND((M4544*0.25)+(N4544*0.20)+(O4544*0.15)+(P4544*0.15)+(Q4544*0.10)+(R4544*0.10)+(S4544*0.05),2)</f>
        <v/>
      </c>
      <c r="U4544">
        <f>IF(T4544&gt;=4.25,"Critical",IF(T4544&gt;=3.5,"High",IF(T4544&gt;=2,"Medium","Low")))</f>
        <v/>
      </c>
    </row>
    <row r="4545">
      <c r="R4545">
        <f>IFERROR(XLOOKUP(XLOOKUP(D4545,tblReleaseChanges[Change_ID],tblReleaseChanges[Oracle_Severity],""),tblSeverityMap[Severity_Text],tblSeverityMap[Score],0),0)</f>
        <v/>
      </c>
      <c r="T4545">
        <f>ROUND((M4545*0.25)+(N4545*0.20)+(O4545*0.15)+(P4545*0.15)+(Q4545*0.10)+(R4545*0.10)+(S4545*0.05),2)</f>
        <v/>
      </c>
      <c r="U4545">
        <f>IF(T4545&gt;=4.25,"Critical",IF(T4545&gt;=3.5,"High",IF(T4545&gt;=2,"Medium","Low")))</f>
        <v/>
      </c>
    </row>
    <row r="4546">
      <c r="R4546">
        <f>IFERROR(XLOOKUP(XLOOKUP(D4546,tblReleaseChanges[Change_ID],tblReleaseChanges[Oracle_Severity],""),tblSeverityMap[Severity_Text],tblSeverityMap[Score],0),0)</f>
        <v/>
      </c>
      <c r="T4546">
        <f>ROUND((M4546*0.25)+(N4546*0.20)+(O4546*0.15)+(P4546*0.15)+(Q4546*0.10)+(R4546*0.10)+(S4546*0.05),2)</f>
        <v/>
      </c>
      <c r="U4546">
        <f>IF(T4546&gt;=4.25,"Critical",IF(T4546&gt;=3.5,"High",IF(T4546&gt;=2,"Medium","Low")))</f>
        <v/>
      </c>
    </row>
    <row r="4547">
      <c r="R4547">
        <f>IFERROR(XLOOKUP(XLOOKUP(D4547,tblReleaseChanges[Change_ID],tblReleaseChanges[Oracle_Severity],""),tblSeverityMap[Severity_Text],tblSeverityMap[Score],0),0)</f>
        <v/>
      </c>
      <c r="T4547">
        <f>ROUND((M4547*0.25)+(N4547*0.20)+(O4547*0.15)+(P4547*0.15)+(Q4547*0.10)+(R4547*0.10)+(S4547*0.05),2)</f>
        <v/>
      </c>
      <c r="U4547">
        <f>IF(T4547&gt;=4.25,"Critical",IF(T4547&gt;=3.5,"High",IF(T4547&gt;=2,"Medium","Low")))</f>
        <v/>
      </c>
    </row>
    <row r="4548">
      <c r="R4548">
        <f>IFERROR(XLOOKUP(XLOOKUP(D4548,tblReleaseChanges[Change_ID],tblReleaseChanges[Oracle_Severity],""),tblSeverityMap[Severity_Text],tblSeverityMap[Score],0),0)</f>
        <v/>
      </c>
      <c r="T4548">
        <f>ROUND((M4548*0.25)+(N4548*0.20)+(O4548*0.15)+(P4548*0.15)+(Q4548*0.10)+(R4548*0.10)+(S4548*0.05),2)</f>
        <v/>
      </c>
      <c r="U4548">
        <f>IF(T4548&gt;=4.25,"Critical",IF(T4548&gt;=3.5,"High",IF(T4548&gt;=2,"Medium","Low")))</f>
        <v/>
      </c>
    </row>
    <row r="4549">
      <c r="R4549">
        <f>IFERROR(XLOOKUP(XLOOKUP(D4549,tblReleaseChanges[Change_ID],tblReleaseChanges[Oracle_Severity],""),tblSeverityMap[Severity_Text],tblSeverityMap[Score],0),0)</f>
        <v/>
      </c>
      <c r="T4549">
        <f>ROUND((M4549*0.25)+(N4549*0.20)+(O4549*0.15)+(P4549*0.15)+(Q4549*0.10)+(R4549*0.10)+(S4549*0.05),2)</f>
        <v/>
      </c>
      <c r="U4549">
        <f>IF(T4549&gt;=4.25,"Critical",IF(T4549&gt;=3.5,"High",IF(T4549&gt;=2,"Medium","Low")))</f>
        <v/>
      </c>
    </row>
    <row r="4550">
      <c r="R4550">
        <f>IFERROR(XLOOKUP(XLOOKUP(D4550,tblReleaseChanges[Change_ID],tblReleaseChanges[Oracle_Severity],""),tblSeverityMap[Severity_Text],tblSeverityMap[Score],0),0)</f>
        <v/>
      </c>
      <c r="T4550">
        <f>ROUND((M4550*0.25)+(N4550*0.20)+(O4550*0.15)+(P4550*0.15)+(Q4550*0.10)+(R4550*0.10)+(S4550*0.05),2)</f>
        <v/>
      </c>
      <c r="U4550">
        <f>IF(T4550&gt;=4.25,"Critical",IF(T4550&gt;=3.5,"High",IF(T4550&gt;=2,"Medium","Low")))</f>
        <v/>
      </c>
    </row>
    <row r="4551">
      <c r="R4551">
        <f>IFERROR(XLOOKUP(XLOOKUP(D4551,tblReleaseChanges[Change_ID],tblReleaseChanges[Oracle_Severity],""),tblSeverityMap[Severity_Text],tblSeverityMap[Score],0),0)</f>
        <v/>
      </c>
      <c r="T4551">
        <f>ROUND((M4551*0.25)+(N4551*0.20)+(O4551*0.15)+(P4551*0.15)+(Q4551*0.10)+(R4551*0.10)+(S4551*0.05),2)</f>
        <v/>
      </c>
      <c r="U4551">
        <f>IF(T4551&gt;=4.25,"Critical",IF(T4551&gt;=3.5,"High",IF(T4551&gt;=2,"Medium","Low")))</f>
        <v/>
      </c>
    </row>
    <row r="4552">
      <c r="R4552">
        <f>IFERROR(XLOOKUP(XLOOKUP(D4552,tblReleaseChanges[Change_ID],tblReleaseChanges[Oracle_Severity],""),tblSeverityMap[Severity_Text],tblSeverityMap[Score],0),0)</f>
        <v/>
      </c>
      <c r="T4552">
        <f>ROUND((M4552*0.25)+(N4552*0.20)+(O4552*0.15)+(P4552*0.15)+(Q4552*0.10)+(R4552*0.10)+(S4552*0.05),2)</f>
        <v/>
      </c>
      <c r="U4552">
        <f>IF(T4552&gt;=4.25,"Critical",IF(T4552&gt;=3.5,"High",IF(T4552&gt;=2,"Medium","Low")))</f>
        <v/>
      </c>
    </row>
    <row r="4553">
      <c r="R4553">
        <f>IFERROR(XLOOKUP(XLOOKUP(D4553,tblReleaseChanges[Change_ID],tblReleaseChanges[Oracle_Severity],""),tblSeverityMap[Severity_Text],tblSeverityMap[Score],0),0)</f>
        <v/>
      </c>
      <c r="T4553">
        <f>ROUND((M4553*0.25)+(N4553*0.20)+(O4553*0.15)+(P4553*0.15)+(Q4553*0.10)+(R4553*0.10)+(S4553*0.05),2)</f>
        <v/>
      </c>
      <c r="U4553">
        <f>IF(T4553&gt;=4.25,"Critical",IF(T4553&gt;=3.5,"High",IF(T4553&gt;=2,"Medium","Low")))</f>
        <v/>
      </c>
    </row>
    <row r="4554">
      <c r="R4554">
        <f>IFERROR(XLOOKUP(XLOOKUP(D4554,tblReleaseChanges[Change_ID],tblReleaseChanges[Oracle_Severity],""),tblSeverityMap[Severity_Text],tblSeverityMap[Score],0),0)</f>
        <v/>
      </c>
      <c r="T4554">
        <f>ROUND((M4554*0.25)+(N4554*0.20)+(O4554*0.15)+(P4554*0.15)+(Q4554*0.10)+(R4554*0.10)+(S4554*0.05),2)</f>
        <v/>
      </c>
      <c r="U4554">
        <f>IF(T4554&gt;=4.25,"Critical",IF(T4554&gt;=3.5,"High",IF(T4554&gt;=2,"Medium","Low")))</f>
        <v/>
      </c>
    </row>
    <row r="4555">
      <c r="R4555">
        <f>IFERROR(XLOOKUP(XLOOKUP(D4555,tblReleaseChanges[Change_ID],tblReleaseChanges[Oracle_Severity],""),tblSeverityMap[Severity_Text],tblSeverityMap[Score],0),0)</f>
        <v/>
      </c>
      <c r="T4555">
        <f>ROUND((M4555*0.25)+(N4555*0.20)+(O4555*0.15)+(P4555*0.15)+(Q4555*0.10)+(R4555*0.10)+(S4555*0.05),2)</f>
        <v/>
      </c>
      <c r="U4555">
        <f>IF(T4555&gt;=4.25,"Critical",IF(T4555&gt;=3.5,"High",IF(T4555&gt;=2,"Medium","Low")))</f>
        <v/>
      </c>
    </row>
    <row r="4556">
      <c r="R4556">
        <f>IFERROR(XLOOKUP(XLOOKUP(D4556,tblReleaseChanges[Change_ID],tblReleaseChanges[Oracle_Severity],""),tblSeverityMap[Severity_Text],tblSeverityMap[Score],0),0)</f>
        <v/>
      </c>
      <c r="T4556">
        <f>ROUND((M4556*0.25)+(N4556*0.20)+(O4556*0.15)+(P4556*0.15)+(Q4556*0.10)+(R4556*0.10)+(S4556*0.05),2)</f>
        <v/>
      </c>
      <c r="U4556">
        <f>IF(T4556&gt;=4.25,"Critical",IF(T4556&gt;=3.5,"High",IF(T4556&gt;=2,"Medium","Low")))</f>
        <v/>
      </c>
    </row>
    <row r="4557">
      <c r="R4557">
        <f>IFERROR(XLOOKUP(XLOOKUP(D4557,tblReleaseChanges[Change_ID],tblReleaseChanges[Oracle_Severity],""),tblSeverityMap[Severity_Text],tblSeverityMap[Score],0),0)</f>
        <v/>
      </c>
      <c r="T4557">
        <f>ROUND((M4557*0.25)+(N4557*0.20)+(O4557*0.15)+(P4557*0.15)+(Q4557*0.10)+(R4557*0.10)+(S4557*0.05),2)</f>
        <v/>
      </c>
      <c r="U4557">
        <f>IF(T4557&gt;=4.25,"Critical",IF(T4557&gt;=3.5,"High",IF(T4557&gt;=2,"Medium","Low")))</f>
        <v/>
      </c>
    </row>
    <row r="4558">
      <c r="R4558">
        <f>IFERROR(XLOOKUP(XLOOKUP(D4558,tblReleaseChanges[Change_ID],tblReleaseChanges[Oracle_Severity],""),tblSeverityMap[Severity_Text],tblSeverityMap[Score],0),0)</f>
        <v/>
      </c>
      <c r="T4558">
        <f>ROUND((M4558*0.25)+(N4558*0.20)+(O4558*0.15)+(P4558*0.15)+(Q4558*0.10)+(R4558*0.10)+(S4558*0.05),2)</f>
        <v/>
      </c>
      <c r="U4558">
        <f>IF(T4558&gt;=4.25,"Critical",IF(T4558&gt;=3.5,"High",IF(T4558&gt;=2,"Medium","Low")))</f>
        <v/>
      </c>
    </row>
    <row r="4559">
      <c r="R4559">
        <f>IFERROR(XLOOKUP(XLOOKUP(D4559,tblReleaseChanges[Change_ID],tblReleaseChanges[Oracle_Severity],""),tblSeverityMap[Severity_Text],tblSeverityMap[Score],0),0)</f>
        <v/>
      </c>
      <c r="T4559">
        <f>ROUND((M4559*0.25)+(N4559*0.20)+(O4559*0.15)+(P4559*0.15)+(Q4559*0.10)+(R4559*0.10)+(S4559*0.05),2)</f>
        <v/>
      </c>
      <c r="U4559">
        <f>IF(T4559&gt;=4.25,"Critical",IF(T4559&gt;=3.5,"High",IF(T4559&gt;=2,"Medium","Low")))</f>
        <v/>
      </c>
    </row>
    <row r="4560">
      <c r="R4560">
        <f>IFERROR(XLOOKUP(XLOOKUP(D4560,tblReleaseChanges[Change_ID],tblReleaseChanges[Oracle_Severity],""),tblSeverityMap[Severity_Text],tblSeverityMap[Score],0),0)</f>
        <v/>
      </c>
      <c r="T4560">
        <f>ROUND((M4560*0.25)+(N4560*0.20)+(O4560*0.15)+(P4560*0.15)+(Q4560*0.10)+(R4560*0.10)+(S4560*0.05),2)</f>
        <v/>
      </c>
      <c r="U4560">
        <f>IF(T4560&gt;=4.25,"Critical",IF(T4560&gt;=3.5,"High",IF(T4560&gt;=2,"Medium","Low")))</f>
        <v/>
      </c>
    </row>
    <row r="4561">
      <c r="R4561">
        <f>IFERROR(XLOOKUP(XLOOKUP(D4561,tblReleaseChanges[Change_ID],tblReleaseChanges[Oracle_Severity],""),tblSeverityMap[Severity_Text],tblSeverityMap[Score],0),0)</f>
        <v/>
      </c>
      <c r="T4561">
        <f>ROUND((M4561*0.25)+(N4561*0.20)+(O4561*0.15)+(P4561*0.15)+(Q4561*0.10)+(R4561*0.10)+(S4561*0.05),2)</f>
        <v/>
      </c>
      <c r="U4561">
        <f>IF(T4561&gt;=4.25,"Critical",IF(T4561&gt;=3.5,"High",IF(T4561&gt;=2,"Medium","Low")))</f>
        <v/>
      </c>
    </row>
    <row r="4562">
      <c r="R4562">
        <f>IFERROR(XLOOKUP(XLOOKUP(D4562,tblReleaseChanges[Change_ID],tblReleaseChanges[Oracle_Severity],""),tblSeverityMap[Severity_Text],tblSeverityMap[Score],0),0)</f>
        <v/>
      </c>
      <c r="T4562">
        <f>ROUND((M4562*0.25)+(N4562*0.20)+(O4562*0.15)+(P4562*0.15)+(Q4562*0.10)+(R4562*0.10)+(S4562*0.05),2)</f>
        <v/>
      </c>
      <c r="U4562">
        <f>IF(T4562&gt;=4.25,"Critical",IF(T4562&gt;=3.5,"High",IF(T4562&gt;=2,"Medium","Low")))</f>
        <v/>
      </c>
    </row>
    <row r="4563">
      <c r="R4563">
        <f>IFERROR(XLOOKUP(XLOOKUP(D4563,tblReleaseChanges[Change_ID],tblReleaseChanges[Oracle_Severity],""),tblSeverityMap[Severity_Text],tblSeverityMap[Score],0),0)</f>
        <v/>
      </c>
      <c r="T4563">
        <f>ROUND((M4563*0.25)+(N4563*0.20)+(O4563*0.15)+(P4563*0.15)+(Q4563*0.10)+(R4563*0.10)+(S4563*0.05),2)</f>
        <v/>
      </c>
      <c r="U4563">
        <f>IF(T4563&gt;=4.25,"Critical",IF(T4563&gt;=3.5,"High",IF(T4563&gt;=2,"Medium","Low")))</f>
        <v/>
      </c>
    </row>
    <row r="4564">
      <c r="R4564">
        <f>IFERROR(XLOOKUP(XLOOKUP(D4564,tblReleaseChanges[Change_ID],tblReleaseChanges[Oracle_Severity],""),tblSeverityMap[Severity_Text],tblSeverityMap[Score],0),0)</f>
        <v/>
      </c>
      <c r="T4564">
        <f>ROUND((M4564*0.25)+(N4564*0.20)+(O4564*0.15)+(P4564*0.15)+(Q4564*0.10)+(R4564*0.10)+(S4564*0.05),2)</f>
        <v/>
      </c>
      <c r="U4564">
        <f>IF(T4564&gt;=4.25,"Critical",IF(T4564&gt;=3.5,"High",IF(T4564&gt;=2,"Medium","Low")))</f>
        <v/>
      </c>
    </row>
    <row r="4565">
      <c r="R4565">
        <f>IFERROR(XLOOKUP(XLOOKUP(D4565,tblReleaseChanges[Change_ID],tblReleaseChanges[Oracle_Severity],""),tblSeverityMap[Severity_Text],tblSeverityMap[Score],0),0)</f>
        <v/>
      </c>
      <c r="T4565">
        <f>ROUND((M4565*0.25)+(N4565*0.20)+(O4565*0.15)+(P4565*0.15)+(Q4565*0.10)+(R4565*0.10)+(S4565*0.05),2)</f>
        <v/>
      </c>
      <c r="U4565">
        <f>IF(T4565&gt;=4.25,"Critical",IF(T4565&gt;=3.5,"High",IF(T4565&gt;=2,"Medium","Low")))</f>
        <v/>
      </c>
    </row>
    <row r="4566">
      <c r="R4566">
        <f>IFERROR(XLOOKUP(XLOOKUP(D4566,tblReleaseChanges[Change_ID],tblReleaseChanges[Oracle_Severity],""),tblSeverityMap[Severity_Text],tblSeverityMap[Score],0),0)</f>
        <v/>
      </c>
      <c r="T4566">
        <f>ROUND((M4566*0.25)+(N4566*0.20)+(O4566*0.15)+(P4566*0.15)+(Q4566*0.10)+(R4566*0.10)+(S4566*0.05),2)</f>
        <v/>
      </c>
      <c r="U4566">
        <f>IF(T4566&gt;=4.25,"Critical",IF(T4566&gt;=3.5,"High",IF(T4566&gt;=2,"Medium","Low")))</f>
        <v/>
      </c>
    </row>
    <row r="4567">
      <c r="R4567">
        <f>IFERROR(XLOOKUP(XLOOKUP(D4567,tblReleaseChanges[Change_ID],tblReleaseChanges[Oracle_Severity],""),tblSeverityMap[Severity_Text],tblSeverityMap[Score],0),0)</f>
        <v/>
      </c>
      <c r="T4567">
        <f>ROUND((M4567*0.25)+(N4567*0.20)+(O4567*0.15)+(P4567*0.15)+(Q4567*0.10)+(R4567*0.10)+(S4567*0.05),2)</f>
        <v/>
      </c>
      <c r="U4567">
        <f>IF(T4567&gt;=4.25,"Critical",IF(T4567&gt;=3.5,"High",IF(T4567&gt;=2,"Medium","Low")))</f>
        <v/>
      </c>
    </row>
    <row r="4568">
      <c r="R4568">
        <f>IFERROR(XLOOKUP(XLOOKUP(D4568,tblReleaseChanges[Change_ID],tblReleaseChanges[Oracle_Severity],""),tblSeverityMap[Severity_Text],tblSeverityMap[Score],0),0)</f>
        <v/>
      </c>
      <c r="T4568">
        <f>ROUND((M4568*0.25)+(N4568*0.20)+(O4568*0.15)+(P4568*0.15)+(Q4568*0.10)+(R4568*0.10)+(S4568*0.05),2)</f>
        <v/>
      </c>
      <c r="U4568">
        <f>IF(T4568&gt;=4.25,"Critical",IF(T4568&gt;=3.5,"High",IF(T4568&gt;=2,"Medium","Low")))</f>
        <v/>
      </c>
    </row>
    <row r="4569">
      <c r="R4569">
        <f>IFERROR(XLOOKUP(XLOOKUP(D4569,tblReleaseChanges[Change_ID],tblReleaseChanges[Oracle_Severity],""),tblSeverityMap[Severity_Text],tblSeverityMap[Score],0),0)</f>
        <v/>
      </c>
      <c r="T4569">
        <f>ROUND((M4569*0.25)+(N4569*0.20)+(O4569*0.15)+(P4569*0.15)+(Q4569*0.10)+(R4569*0.10)+(S4569*0.05),2)</f>
        <v/>
      </c>
      <c r="U4569">
        <f>IF(T4569&gt;=4.25,"Critical",IF(T4569&gt;=3.5,"High",IF(T4569&gt;=2,"Medium","Low")))</f>
        <v/>
      </c>
    </row>
    <row r="4570">
      <c r="R4570">
        <f>IFERROR(XLOOKUP(XLOOKUP(D4570,tblReleaseChanges[Change_ID],tblReleaseChanges[Oracle_Severity],""),tblSeverityMap[Severity_Text],tblSeverityMap[Score],0),0)</f>
        <v/>
      </c>
      <c r="T4570">
        <f>ROUND((M4570*0.25)+(N4570*0.20)+(O4570*0.15)+(P4570*0.15)+(Q4570*0.10)+(R4570*0.10)+(S4570*0.05),2)</f>
        <v/>
      </c>
      <c r="U4570">
        <f>IF(T4570&gt;=4.25,"Critical",IF(T4570&gt;=3.5,"High",IF(T4570&gt;=2,"Medium","Low")))</f>
        <v/>
      </c>
    </row>
    <row r="4571">
      <c r="R4571">
        <f>IFERROR(XLOOKUP(XLOOKUP(D4571,tblReleaseChanges[Change_ID],tblReleaseChanges[Oracle_Severity],""),tblSeverityMap[Severity_Text],tblSeverityMap[Score],0),0)</f>
        <v/>
      </c>
      <c r="T4571">
        <f>ROUND((M4571*0.25)+(N4571*0.20)+(O4571*0.15)+(P4571*0.15)+(Q4571*0.10)+(R4571*0.10)+(S4571*0.05),2)</f>
        <v/>
      </c>
      <c r="U4571">
        <f>IF(T4571&gt;=4.25,"Critical",IF(T4571&gt;=3.5,"High",IF(T4571&gt;=2,"Medium","Low")))</f>
        <v/>
      </c>
    </row>
    <row r="4572">
      <c r="R4572">
        <f>IFERROR(XLOOKUP(XLOOKUP(D4572,tblReleaseChanges[Change_ID],tblReleaseChanges[Oracle_Severity],""),tblSeverityMap[Severity_Text],tblSeverityMap[Score],0),0)</f>
        <v/>
      </c>
      <c r="T4572">
        <f>ROUND((M4572*0.25)+(N4572*0.20)+(O4572*0.15)+(P4572*0.15)+(Q4572*0.10)+(R4572*0.10)+(S4572*0.05),2)</f>
        <v/>
      </c>
      <c r="U4572">
        <f>IF(T4572&gt;=4.25,"Critical",IF(T4572&gt;=3.5,"High",IF(T4572&gt;=2,"Medium","Low")))</f>
        <v/>
      </c>
    </row>
    <row r="4573">
      <c r="R4573">
        <f>IFERROR(XLOOKUP(XLOOKUP(D4573,tblReleaseChanges[Change_ID],tblReleaseChanges[Oracle_Severity],""),tblSeverityMap[Severity_Text],tblSeverityMap[Score],0),0)</f>
        <v/>
      </c>
      <c r="T4573">
        <f>ROUND((M4573*0.25)+(N4573*0.20)+(O4573*0.15)+(P4573*0.15)+(Q4573*0.10)+(R4573*0.10)+(S4573*0.05),2)</f>
        <v/>
      </c>
      <c r="U4573">
        <f>IF(T4573&gt;=4.25,"Critical",IF(T4573&gt;=3.5,"High",IF(T4573&gt;=2,"Medium","Low")))</f>
        <v/>
      </c>
    </row>
    <row r="4574">
      <c r="R4574">
        <f>IFERROR(XLOOKUP(XLOOKUP(D4574,tblReleaseChanges[Change_ID],tblReleaseChanges[Oracle_Severity],""),tblSeverityMap[Severity_Text],tblSeverityMap[Score],0),0)</f>
        <v/>
      </c>
      <c r="T4574">
        <f>ROUND((M4574*0.25)+(N4574*0.20)+(O4574*0.15)+(P4574*0.15)+(Q4574*0.10)+(R4574*0.10)+(S4574*0.05),2)</f>
        <v/>
      </c>
      <c r="U4574">
        <f>IF(T4574&gt;=4.25,"Critical",IF(T4574&gt;=3.5,"High",IF(T4574&gt;=2,"Medium","Low")))</f>
        <v/>
      </c>
    </row>
    <row r="4575">
      <c r="R4575">
        <f>IFERROR(XLOOKUP(XLOOKUP(D4575,tblReleaseChanges[Change_ID],tblReleaseChanges[Oracle_Severity],""),tblSeverityMap[Severity_Text],tblSeverityMap[Score],0),0)</f>
        <v/>
      </c>
      <c r="T4575">
        <f>ROUND((M4575*0.25)+(N4575*0.20)+(O4575*0.15)+(P4575*0.15)+(Q4575*0.10)+(R4575*0.10)+(S4575*0.05),2)</f>
        <v/>
      </c>
      <c r="U4575">
        <f>IF(T4575&gt;=4.25,"Critical",IF(T4575&gt;=3.5,"High",IF(T4575&gt;=2,"Medium","Low")))</f>
        <v/>
      </c>
    </row>
    <row r="4576">
      <c r="R4576">
        <f>IFERROR(XLOOKUP(XLOOKUP(D4576,tblReleaseChanges[Change_ID],tblReleaseChanges[Oracle_Severity],""),tblSeverityMap[Severity_Text],tblSeverityMap[Score],0),0)</f>
        <v/>
      </c>
      <c r="T4576">
        <f>ROUND((M4576*0.25)+(N4576*0.20)+(O4576*0.15)+(P4576*0.15)+(Q4576*0.10)+(R4576*0.10)+(S4576*0.05),2)</f>
        <v/>
      </c>
      <c r="U4576">
        <f>IF(T4576&gt;=4.25,"Critical",IF(T4576&gt;=3.5,"High",IF(T4576&gt;=2,"Medium","Low")))</f>
        <v/>
      </c>
    </row>
    <row r="4577">
      <c r="R4577">
        <f>IFERROR(XLOOKUP(XLOOKUP(D4577,tblReleaseChanges[Change_ID],tblReleaseChanges[Oracle_Severity],""),tblSeverityMap[Severity_Text],tblSeverityMap[Score],0),0)</f>
        <v/>
      </c>
      <c r="T4577">
        <f>ROUND((M4577*0.25)+(N4577*0.20)+(O4577*0.15)+(P4577*0.15)+(Q4577*0.10)+(R4577*0.10)+(S4577*0.05),2)</f>
        <v/>
      </c>
      <c r="U4577">
        <f>IF(T4577&gt;=4.25,"Critical",IF(T4577&gt;=3.5,"High",IF(T4577&gt;=2,"Medium","Low")))</f>
        <v/>
      </c>
    </row>
    <row r="4578">
      <c r="R4578">
        <f>IFERROR(XLOOKUP(XLOOKUP(D4578,tblReleaseChanges[Change_ID],tblReleaseChanges[Oracle_Severity],""),tblSeverityMap[Severity_Text],tblSeverityMap[Score],0),0)</f>
        <v/>
      </c>
      <c r="T4578">
        <f>ROUND((M4578*0.25)+(N4578*0.20)+(O4578*0.15)+(P4578*0.15)+(Q4578*0.10)+(R4578*0.10)+(S4578*0.05),2)</f>
        <v/>
      </c>
      <c r="U4578">
        <f>IF(T4578&gt;=4.25,"Critical",IF(T4578&gt;=3.5,"High",IF(T4578&gt;=2,"Medium","Low")))</f>
        <v/>
      </c>
    </row>
    <row r="4579">
      <c r="R4579">
        <f>IFERROR(XLOOKUP(XLOOKUP(D4579,tblReleaseChanges[Change_ID],tblReleaseChanges[Oracle_Severity],""),tblSeverityMap[Severity_Text],tblSeverityMap[Score],0),0)</f>
        <v/>
      </c>
      <c r="T4579">
        <f>ROUND((M4579*0.25)+(N4579*0.20)+(O4579*0.15)+(P4579*0.15)+(Q4579*0.10)+(R4579*0.10)+(S4579*0.05),2)</f>
        <v/>
      </c>
      <c r="U4579">
        <f>IF(T4579&gt;=4.25,"Critical",IF(T4579&gt;=3.5,"High",IF(T4579&gt;=2,"Medium","Low")))</f>
        <v/>
      </c>
    </row>
    <row r="4580">
      <c r="R4580">
        <f>IFERROR(XLOOKUP(XLOOKUP(D4580,tblReleaseChanges[Change_ID],tblReleaseChanges[Oracle_Severity],""),tblSeverityMap[Severity_Text],tblSeverityMap[Score],0),0)</f>
        <v/>
      </c>
      <c r="T4580">
        <f>ROUND((M4580*0.25)+(N4580*0.20)+(O4580*0.15)+(P4580*0.15)+(Q4580*0.10)+(R4580*0.10)+(S4580*0.05),2)</f>
        <v/>
      </c>
      <c r="U4580">
        <f>IF(T4580&gt;=4.25,"Critical",IF(T4580&gt;=3.5,"High",IF(T4580&gt;=2,"Medium","Low")))</f>
        <v/>
      </c>
    </row>
    <row r="4581">
      <c r="R4581">
        <f>IFERROR(XLOOKUP(XLOOKUP(D4581,tblReleaseChanges[Change_ID],tblReleaseChanges[Oracle_Severity],""),tblSeverityMap[Severity_Text],tblSeverityMap[Score],0),0)</f>
        <v/>
      </c>
      <c r="T4581">
        <f>ROUND((M4581*0.25)+(N4581*0.20)+(O4581*0.15)+(P4581*0.15)+(Q4581*0.10)+(R4581*0.10)+(S4581*0.05),2)</f>
        <v/>
      </c>
      <c r="U4581">
        <f>IF(T4581&gt;=4.25,"Critical",IF(T4581&gt;=3.5,"High",IF(T4581&gt;=2,"Medium","Low")))</f>
        <v/>
      </c>
    </row>
    <row r="4582">
      <c r="R4582">
        <f>IFERROR(XLOOKUP(XLOOKUP(D4582,tblReleaseChanges[Change_ID],tblReleaseChanges[Oracle_Severity],""),tblSeverityMap[Severity_Text],tblSeverityMap[Score],0),0)</f>
        <v/>
      </c>
      <c r="T4582">
        <f>ROUND((M4582*0.25)+(N4582*0.20)+(O4582*0.15)+(P4582*0.15)+(Q4582*0.10)+(R4582*0.10)+(S4582*0.05),2)</f>
        <v/>
      </c>
      <c r="U4582">
        <f>IF(T4582&gt;=4.25,"Critical",IF(T4582&gt;=3.5,"High",IF(T4582&gt;=2,"Medium","Low")))</f>
        <v/>
      </c>
    </row>
    <row r="4583">
      <c r="R4583">
        <f>IFERROR(XLOOKUP(XLOOKUP(D4583,tblReleaseChanges[Change_ID],tblReleaseChanges[Oracle_Severity],""),tblSeverityMap[Severity_Text],tblSeverityMap[Score],0),0)</f>
        <v/>
      </c>
      <c r="T4583">
        <f>ROUND((M4583*0.25)+(N4583*0.20)+(O4583*0.15)+(P4583*0.15)+(Q4583*0.10)+(R4583*0.10)+(S4583*0.05),2)</f>
        <v/>
      </c>
      <c r="U4583">
        <f>IF(T4583&gt;=4.25,"Critical",IF(T4583&gt;=3.5,"High",IF(T4583&gt;=2,"Medium","Low")))</f>
        <v/>
      </c>
    </row>
    <row r="4584">
      <c r="R4584">
        <f>IFERROR(XLOOKUP(XLOOKUP(D4584,tblReleaseChanges[Change_ID],tblReleaseChanges[Oracle_Severity],""),tblSeverityMap[Severity_Text],tblSeverityMap[Score],0),0)</f>
        <v/>
      </c>
      <c r="T4584">
        <f>ROUND((M4584*0.25)+(N4584*0.20)+(O4584*0.15)+(P4584*0.15)+(Q4584*0.10)+(R4584*0.10)+(S4584*0.05),2)</f>
        <v/>
      </c>
      <c r="U4584">
        <f>IF(T4584&gt;=4.25,"Critical",IF(T4584&gt;=3.5,"High",IF(T4584&gt;=2,"Medium","Low")))</f>
        <v/>
      </c>
    </row>
    <row r="4585">
      <c r="R4585">
        <f>IFERROR(XLOOKUP(XLOOKUP(D4585,tblReleaseChanges[Change_ID],tblReleaseChanges[Oracle_Severity],""),tblSeverityMap[Severity_Text],tblSeverityMap[Score],0),0)</f>
        <v/>
      </c>
      <c r="T4585">
        <f>ROUND((M4585*0.25)+(N4585*0.20)+(O4585*0.15)+(P4585*0.15)+(Q4585*0.10)+(R4585*0.10)+(S4585*0.05),2)</f>
        <v/>
      </c>
      <c r="U4585">
        <f>IF(T4585&gt;=4.25,"Critical",IF(T4585&gt;=3.5,"High",IF(T4585&gt;=2,"Medium","Low")))</f>
        <v/>
      </c>
    </row>
    <row r="4586">
      <c r="R4586">
        <f>IFERROR(XLOOKUP(XLOOKUP(D4586,tblReleaseChanges[Change_ID],tblReleaseChanges[Oracle_Severity],""),tblSeverityMap[Severity_Text],tblSeverityMap[Score],0),0)</f>
        <v/>
      </c>
      <c r="T4586">
        <f>ROUND((M4586*0.25)+(N4586*0.20)+(O4586*0.15)+(P4586*0.15)+(Q4586*0.10)+(R4586*0.10)+(S4586*0.05),2)</f>
        <v/>
      </c>
      <c r="U4586">
        <f>IF(T4586&gt;=4.25,"Critical",IF(T4586&gt;=3.5,"High",IF(T4586&gt;=2,"Medium","Low")))</f>
        <v/>
      </c>
    </row>
    <row r="4587">
      <c r="R4587">
        <f>IFERROR(XLOOKUP(XLOOKUP(D4587,tblReleaseChanges[Change_ID],tblReleaseChanges[Oracle_Severity],""),tblSeverityMap[Severity_Text],tblSeverityMap[Score],0),0)</f>
        <v/>
      </c>
      <c r="T4587">
        <f>ROUND((M4587*0.25)+(N4587*0.20)+(O4587*0.15)+(P4587*0.15)+(Q4587*0.10)+(R4587*0.10)+(S4587*0.05),2)</f>
        <v/>
      </c>
      <c r="U4587">
        <f>IF(T4587&gt;=4.25,"Critical",IF(T4587&gt;=3.5,"High",IF(T4587&gt;=2,"Medium","Low")))</f>
        <v/>
      </c>
    </row>
    <row r="4588">
      <c r="R4588">
        <f>IFERROR(XLOOKUP(XLOOKUP(D4588,tblReleaseChanges[Change_ID],tblReleaseChanges[Oracle_Severity],""),tblSeverityMap[Severity_Text],tblSeverityMap[Score],0),0)</f>
        <v/>
      </c>
      <c r="T4588">
        <f>ROUND((M4588*0.25)+(N4588*0.20)+(O4588*0.15)+(P4588*0.15)+(Q4588*0.10)+(R4588*0.10)+(S4588*0.05),2)</f>
        <v/>
      </c>
      <c r="U4588">
        <f>IF(T4588&gt;=4.25,"Critical",IF(T4588&gt;=3.5,"High",IF(T4588&gt;=2,"Medium","Low")))</f>
        <v/>
      </c>
    </row>
    <row r="4589">
      <c r="R4589">
        <f>IFERROR(XLOOKUP(XLOOKUP(D4589,tblReleaseChanges[Change_ID],tblReleaseChanges[Oracle_Severity],""),tblSeverityMap[Severity_Text],tblSeverityMap[Score],0),0)</f>
        <v/>
      </c>
      <c r="T4589">
        <f>ROUND((M4589*0.25)+(N4589*0.20)+(O4589*0.15)+(P4589*0.15)+(Q4589*0.10)+(R4589*0.10)+(S4589*0.05),2)</f>
        <v/>
      </c>
      <c r="U4589">
        <f>IF(T4589&gt;=4.25,"Critical",IF(T4589&gt;=3.5,"High",IF(T4589&gt;=2,"Medium","Low")))</f>
        <v/>
      </c>
    </row>
    <row r="4590">
      <c r="R4590">
        <f>IFERROR(XLOOKUP(XLOOKUP(D4590,tblReleaseChanges[Change_ID],tblReleaseChanges[Oracle_Severity],""),tblSeverityMap[Severity_Text],tblSeverityMap[Score],0),0)</f>
        <v/>
      </c>
      <c r="T4590">
        <f>ROUND((M4590*0.25)+(N4590*0.20)+(O4590*0.15)+(P4590*0.15)+(Q4590*0.10)+(R4590*0.10)+(S4590*0.05),2)</f>
        <v/>
      </c>
      <c r="U4590">
        <f>IF(T4590&gt;=4.25,"Critical",IF(T4590&gt;=3.5,"High",IF(T4590&gt;=2,"Medium","Low")))</f>
        <v/>
      </c>
    </row>
    <row r="4591">
      <c r="R4591">
        <f>IFERROR(XLOOKUP(XLOOKUP(D4591,tblReleaseChanges[Change_ID],tblReleaseChanges[Oracle_Severity],""),tblSeverityMap[Severity_Text],tblSeverityMap[Score],0),0)</f>
        <v/>
      </c>
      <c r="T4591">
        <f>ROUND((M4591*0.25)+(N4591*0.20)+(O4591*0.15)+(P4591*0.15)+(Q4591*0.10)+(R4591*0.10)+(S4591*0.05),2)</f>
        <v/>
      </c>
      <c r="U4591">
        <f>IF(T4591&gt;=4.25,"Critical",IF(T4591&gt;=3.5,"High",IF(T4591&gt;=2,"Medium","Low")))</f>
        <v/>
      </c>
    </row>
    <row r="4592">
      <c r="R4592">
        <f>IFERROR(XLOOKUP(XLOOKUP(D4592,tblReleaseChanges[Change_ID],tblReleaseChanges[Oracle_Severity],""),tblSeverityMap[Severity_Text],tblSeverityMap[Score],0),0)</f>
        <v/>
      </c>
      <c r="T4592">
        <f>ROUND((M4592*0.25)+(N4592*0.20)+(O4592*0.15)+(P4592*0.15)+(Q4592*0.10)+(R4592*0.10)+(S4592*0.05),2)</f>
        <v/>
      </c>
      <c r="U4592">
        <f>IF(T4592&gt;=4.25,"Critical",IF(T4592&gt;=3.5,"High",IF(T4592&gt;=2,"Medium","Low")))</f>
        <v/>
      </c>
    </row>
    <row r="4593">
      <c r="R4593">
        <f>IFERROR(XLOOKUP(XLOOKUP(D4593,tblReleaseChanges[Change_ID],tblReleaseChanges[Oracle_Severity],""),tblSeverityMap[Severity_Text],tblSeverityMap[Score],0),0)</f>
        <v/>
      </c>
      <c r="T4593">
        <f>ROUND((M4593*0.25)+(N4593*0.20)+(O4593*0.15)+(P4593*0.15)+(Q4593*0.10)+(R4593*0.10)+(S4593*0.05),2)</f>
        <v/>
      </c>
      <c r="U4593">
        <f>IF(T4593&gt;=4.25,"Critical",IF(T4593&gt;=3.5,"High",IF(T4593&gt;=2,"Medium","Low")))</f>
        <v/>
      </c>
    </row>
    <row r="4594">
      <c r="R4594">
        <f>IFERROR(XLOOKUP(XLOOKUP(D4594,tblReleaseChanges[Change_ID],tblReleaseChanges[Oracle_Severity],""),tblSeverityMap[Severity_Text],tblSeverityMap[Score],0),0)</f>
        <v/>
      </c>
      <c r="T4594">
        <f>ROUND((M4594*0.25)+(N4594*0.20)+(O4594*0.15)+(P4594*0.15)+(Q4594*0.10)+(R4594*0.10)+(S4594*0.05),2)</f>
        <v/>
      </c>
      <c r="U4594">
        <f>IF(T4594&gt;=4.25,"Critical",IF(T4594&gt;=3.5,"High",IF(T4594&gt;=2,"Medium","Low")))</f>
        <v/>
      </c>
    </row>
    <row r="4595">
      <c r="R4595">
        <f>IFERROR(XLOOKUP(XLOOKUP(D4595,tblReleaseChanges[Change_ID],tblReleaseChanges[Oracle_Severity],""),tblSeverityMap[Severity_Text],tblSeverityMap[Score],0),0)</f>
        <v/>
      </c>
      <c r="T4595">
        <f>ROUND((M4595*0.25)+(N4595*0.20)+(O4595*0.15)+(P4595*0.15)+(Q4595*0.10)+(R4595*0.10)+(S4595*0.05),2)</f>
        <v/>
      </c>
      <c r="U4595">
        <f>IF(T4595&gt;=4.25,"Critical",IF(T4595&gt;=3.5,"High",IF(T4595&gt;=2,"Medium","Low")))</f>
        <v/>
      </c>
    </row>
    <row r="4596">
      <c r="R4596">
        <f>IFERROR(XLOOKUP(XLOOKUP(D4596,tblReleaseChanges[Change_ID],tblReleaseChanges[Oracle_Severity],""),tblSeverityMap[Severity_Text],tblSeverityMap[Score],0),0)</f>
        <v/>
      </c>
      <c r="T4596">
        <f>ROUND((M4596*0.25)+(N4596*0.20)+(O4596*0.15)+(P4596*0.15)+(Q4596*0.10)+(R4596*0.10)+(S4596*0.05),2)</f>
        <v/>
      </c>
      <c r="U4596">
        <f>IF(T4596&gt;=4.25,"Critical",IF(T4596&gt;=3.5,"High",IF(T4596&gt;=2,"Medium","Low")))</f>
        <v/>
      </c>
    </row>
    <row r="4597">
      <c r="R4597">
        <f>IFERROR(XLOOKUP(XLOOKUP(D4597,tblReleaseChanges[Change_ID],tblReleaseChanges[Oracle_Severity],""),tblSeverityMap[Severity_Text],tblSeverityMap[Score],0),0)</f>
        <v/>
      </c>
      <c r="T4597">
        <f>ROUND((M4597*0.25)+(N4597*0.20)+(O4597*0.15)+(P4597*0.15)+(Q4597*0.10)+(R4597*0.10)+(S4597*0.05),2)</f>
        <v/>
      </c>
      <c r="U4597">
        <f>IF(T4597&gt;=4.25,"Critical",IF(T4597&gt;=3.5,"High",IF(T4597&gt;=2,"Medium","Low")))</f>
        <v/>
      </c>
    </row>
    <row r="4598">
      <c r="R4598">
        <f>IFERROR(XLOOKUP(XLOOKUP(D4598,tblReleaseChanges[Change_ID],tblReleaseChanges[Oracle_Severity],""),tblSeverityMap[Severity_Text],tblSeverityMap[Score],0),0)</f>
        <v/>
      </c>
      <c r="T4598">
        <f>ROUND((M4598*0.25)+(N4598*0.20)+(O4598*0.15)+(P4598*0.15)+(Q4598*0.10)+(R4598*0.10)+(S4598*0.05),2)</f>
        <v/>
      </c>
      <c r="U4598">
        <f>IF(T4598&gt;=4.25,"Critical",IF(T4598&gt;=3.5,"High",IF(T4598&gt;=2,"Medium","Low")))</f>
        <v/>
      </c>
    </row>
    <row r="4599">
      <c r="R4599">
        <f>IFERROR(XLOOKUP(XLOOKUP(D4599,tblReleaseChanges[Change_ID],tblReleaseChanges[Oracle_Severity],""),tblSeverityMap[Severity_Text],tblSeverityMap[Score],0),0)</f>
        <v/>
      </c>
      <c r="T4599">
        <f>ROUND((M4599*0.25)+(N4599*0.20)+(O4599*0.15)+(P4599*0.15)+(Q4599*0.10)+(R4599*0.10)+(S4599*0.05),2)</f>
        <v/>
      </c>
      <c r="U4599">
        <f>IF(T4599&gt;=4.25,"Critical",IF(T4599&gt;=3.5,"High",IF(T4599&gt;=2,"Medium","Low")))</f>
        <v/>
      </c>
    </row>
    <row r="4600">
      <c r="R4600">
        <f>IFERROR(XLOOKUP(XLOOKUP(D4600,tblReleaseChanges[Change_ID],tblReleaseChanges[Oracle_Severity],""),tblSeverityMap[Severity_Text],tblSeverityMap[Score],0),0)</f>
        <v/>
      </c>
      <c r="T4600">
        <f>ROUND((M4600*0.25)+(N4600*0.20)+(O4600*0.15)+(P4600*0.15)+(Q4600*0.10)+(R4600*0.10)+(S4600*0.05),2)</f>
        <v/>
      </c>
      <c r="U4600">
        <f>IF(T4600&gt;=4.25,"Critical",IF(T4600&gt;=3.5,"High",IF(T4600&gt;=2,"Medium","Low")))</f>
        <v/>
      </c>
    </row>
    <row r="4601">
      <c r="R4601">
        <f>IFERROR(XLOOKUP(XLOOKUP(D4601,tblReleaseChanges[Change_ID],tblReleaseChanges[Oracle_Severity],""),tblSeverityMap[Severity_Text],tblSeverityMap[Score],0),0)</f>
        <v/>
      </c>
      <c r="T4601">
        <f>ROUND((M4601*0.25)+(N4601*0.20)+(O4601*0.15)+(P4601*0.15)+(Q4601*0.10)+(R4601*0.10)+(S4601*0.05),2)</f>
        <v/>
      </c>
      <c r="U4601">
        <f>IF(T4601&gt;=4.25,"Critical",IF(T4601&gt;=3.5,"High",IF(T4601&gt;=2,"Medium","Low")))</f>
        <v/>
      </c>
    </row>
    <row r="4602">
      <c r="R4602">
        <f>IFERROR(XLOOKUP(XLOOKUP(D4602,tblReleaseChanges[Change_ID],tblReleaseChanges[Oracle_Severity],""),tblSeverityMap[Severity_Text],tblSeverityMap[Score],0),0)</f>
        <v/>
      </c>
      <c r="T4602">
        <f>ROUND((M4602*0.25)+(N4602*0.20)+(O4602*0.15)+(P4602*0.15)+(Q4602*0.10)+(R4602*0.10)+(S4602*0.05),2)</f>
        <v/>
      </c>
      <c r="U4602">
        <f>IF(T4602&gt;=4.25,"Critical",IF(T4602&gt;=3.5,"High",IF(T4602&gt;=2,"Medium","Low")))</f>
        <v/>
      </c>
    </row>
    <row r="4603">
      <c r="R4603">
        <f>IFERROR(XLOOKUP(XLOOKUP(D4603,tblReleaseChanges[Change_ID],tblReleaseChanges[Oracle_Severity],""),tblSeverityMap[Severity_Text],tblSeverityMap[Score],0),0)</f>
        <v/>
      </c>
      <c r="T4603">
        <f>ROUND((M4603*0.25)+(N4603*0.20)+(O4603*0.15)+(P4603*0.15)+(Q4603*0.10)+(R4603*0.10)+(S4603*0.05),2)</f>
        <v/>
      </c>
      <c r="U4603">
        <f>IF(T4603&gt;=4.25,"Critical",IF(T4603&gt;=3.5,"High",IF(T4603&gt;=2,"Medium","Low")))</f>
        <v/>
      </c>
    </row>
    <row r="4604">
      <c r="R4604">
        <f>IFERROR(XLOOKUP(XLOOKUP(D4604,tblReleaseChanges[Change_ID],tblReleaseChanges[Oracle_Severity],""),tblSeverityMap[Severity_Text],tblSeverityMap[Score],0),0)</f>
        <v/>
      </c>
      <c r="T4604">
        <f>ROUND((M4604*0.25)+(N4604*0.20)+(O4604*0.15)+(P4604*0.15)+(Q4604*0.10)+(R4604*0.10)+(S4604*0.05),2)</f>
        <v/>
      </c>
      <c r="U4604">
        <f>IF(T4604&gt;=4.25,"Critical",IF(T4604&gt;=3.5,"High",IF(T4604&gt;=2,"Medium","Low")))</f>
        <v/>
      </c>
    </row>
    <row r="4605">
      <c r="R4605">
        <f>IFERROR(XLOOKUP(XLOOKUP(D4605,tblReleaseChanges[Change_ID],tblReleaseChanges[Oracle_Severity],""),tblSeverityMap[Severity_Text],tblSeverityMap[Score],0),0)</f>
        <v/>
      </c>
      <c r="T4605">
        <f>ROUND((M4605*0.25)+(N4605*0.20)+(O4605*0.15)+(P4605*0.15)+(Q4605*0.10)+(R4605*0.10)+(S4605*0.05),2)</f>
        <v/>
      </c>
      <c r="U4605">
        <f>IF(T4605&gt;=4.25,"Critical",IF(T4605&gt;=3.5,"High",IF(T4605&gt;=2,"Medium","Low")))</f>
        <v/>
      </c>
    </row>
    <row r="4606">
      <c r="R4606">
        <f>IFERROR(XLOOKUP(XLOOKUP(D4606,tblReleaseChanges[Change_ID],tblReleaseChanges[Oracle_Severity],""),tblSeverityMap[Severity_Text],tblSeverityMap[Score],0),0)</f>
        <v/>
      </c>
      <c r="T4606">
        <f>ROUND((M4606*0.25)+(N4606*0.20)+(O4606*0.15)+(P4606*0.15)+(Q4606*0.10)+(R4606*0.10)+(S4606*0.05),2)</f>
        <v/>
      </c>
      <c r="U4606">
        <f>IF(T4606&gt;=4.25,"Critical",IF(T4606&gt;=3.5,"High",IF(T4606&gt;=2,"Medium","Low")))</f>
        <v/>
      </c>
    </row>
    <row r="4607">
      <c r="R4607">
        <f>IFERROR(XLOOKUP(XLOOKUP(D4607,tblReleaseChanges[Change_ID],tblReleaseChanges[Oracle_Severity],""),tblSeverityMap[Severity_Text],tblSeverityMap[Score],0),0)</f>
        <v/>
      </c>
      <c r="T4607">
        <f>ROUND((M4607*0.25)+(N4607*0.20)+(O4607*0.15)+(P4607*0.15)+(Q4607*0.10)+(R4607*0.10)+(S4607*0.05),2)</f>
        <v/>
      </c>
      <c r="U4607">
        <f>IF(T4607&gt;=4.25,"Critical",IF(T4607&gt;=3.5,"High",IF(T4607&gt;=2,"Medium","Low")))</f>
        <v/>
      </c>
    </row>
    <row r="4608">
      <c r="R4608">
        <f>IFERROR(XLOOKUP(XLOOKUP(D4608,tblReleaseChanges[Change_ID],tblReleaseChanges[Oracle_Severity],""),tblSeverityMap[Severity_Text],tblSeverityMap[Score],0),0)</f>
        <v/>
      </c>
      <c r="T4608">
        <f>ROUND((M4608*0.25)+(N4608*0.20)+(O4608*0.15)+(P4608*0.15)+(Q4608*0.10)+(R4608*0.10)+(S4608*0.05),2)</f>
        <v/>
      </c>
      <c r="U4608">
        <f>IF(T4608&gt;=4.25,"Critical",IF(T4608&gt;=3.5,"High",IF(T4608&gt;=2,"Medium","Low")))</f>
        <v/>
      </c>
    </row>
    <row r="4609">
      <c r="R4609">
        <f>IFERROR(XLOOKUP(XLOOKUP(D4609,tblReleaseChanges[Change_ID],tblReleaseChanges[Oracle_Severity],""),tblSeverityMap[Severity_Text],tblSeverityMap[Score],0),0)</f>
        <v/>
      </c>
      <c r="T4609">
        <f>ROUND((M4609*0.25)+(N4609*0.20)+(O4609*0.15)+(P4609*0.15)+(Q4609*0.10)+(R4609*0.10)+(S4609*0.05),2)</f>
        <v/>
      </c>
      <c r="U4609">
        <f>IF(T4609&gt;=4.25,"Critical",IF(T4609&gt;=3.5,"High",IF(T4609&gt;=2,"Medium","Low")))</f>
        <v/>
      </c>
    </row>
    <row r="4610">
      <c r="R4610">
        <f>IFERROR(XLOOKUP(XLOOKUP(D4610,tblReleaseChanges[Change_ID],tblReleaseChanges[Oracle_Severity],""),tblSeverityMap[Severity_Text],tblSeverityMap[Score],0),0)</f>
        <v/>
      </c>
      <c r="T4610">
        <f>ROUND((M4610*0.25)+(N4610*0.20)+(O4610*0.15)+(P4610*0.15)+(Q4610*0.10)+(R4610*0.10)+(S4610*0.05),2)</f>
        <v/>
      </c>
      <c r="U4610">
        <f>IF(T4610&gt;=4.25,"Critical",IF(T4610&gt;=3.5,"High",IF(T4610&gt;=2,"Medium","Low")))</f>
        <v/>
      </c>
    </row>
    <row r="4611">
      <c r="R4611">
        <f>IFERROR(XLOOKUP(XLOOKUP(D4611,tblReleaseChanges[Change_ID],tblReleaseChanges[Oracle_Severity],""),tblSeverityMap[Severity_Text],tblSeverityMap[Score],0),0)</f>
        <v/>
      </c>
      <c r="T4611">
        <f>ROUND((M4611*0.25)+(N4611*0.20)+(O4611*0.15)+(P4611*0.15)+(Q4611*0.10)+(R4611*0.10)+(S4611*0.05),2)</f>
        <v/>
      </c>
      <c r="U4611">
        <f>IF(T4611&gt;=4.25,"Critical",IF(T4611&gt;=3.5,"High",IF(T4611&gt;=2,"Medium","Low")))</f>
        <v/>
      </c>
    </row>
    <row r="4612">
      <c r="R4612">
        <f>IFERROR(XLOOKUP(XLOOKUP(D4612,tblReleaseChanges[Change_ID],tblReleaseChanges[Oracle_Severity],""),tblSeverityMap[Severity_Text],tblSeverityMap[Score],0),0)</f>
        <v/>
      </c>
      <c r="T4612">
        <f>ROUND((M4612*0.25)+(N4612*0.20)+(O4612*0.15)+(P4612*0.15)+(Q4612*0.10)+(R4612*0.10)+(S4612*0.05),2)</f>
        <v/>
      </c>
      <c r="U4612">
        <f>IF(T4612&gt;=4.25,"Critical",IF(T4612&gt;=3.5,"High",IF(T4612&gt;=2,"Medium","Low")))</f>
        <v/>
      </c>
    </row>
    <row r="4613">
      <c r="R4613">
        <f>IFERROR(XLOOKUP(XLOOKUP(D4613,tblReleaseChanges[Change_ID],tblReleaseChanges[Oracle_Severity],""),tblSeverityMap[Severity_Text],tblSeverityMap[Score],0),0)</f>
        <v/>
      </c>
      <c r="T4613">
        <f>ROUND((M4613*0.25)+(N4613*0.20)+(O4613*0.15)+(P4613*0.15)+(Q4613*0.10)+(R4613*0.10)+(S4613*0.05),2)</f>
        <v/>
      </c>
      <c r="U4613">
        <f>IF(T4613&gt;=4.25,"Critical",IF(T4613&gt;=3.5,"High",IF(T4613&gt;=2,"Medium","Low")))</f>
        <v/>
      </c>
    </row>
    <row r="4614">
      <c r="R4614">
        <f>IFERROR(XLOOKUP(XLOOKUP(D4614,tblReleaseChanges[Change_ID],tblReleaseChanges[Oracle_Severity],""),tblSeverityMap[Severity_Text],tblSeverityMap[Score],0),0)</f>
        <v/>
      </c>
      <c r="T4614">
        <f>ROUND((M4614*0.25)+(N4614*0.20)+(O4614*0.15)+(P4614*0.15)+(Q4614*0.10)+(R4614*0.10)+(S4614*0.05),2)</f>
        <v/>
      </c>
      <c r="U4614">
        <f>IF(T4614&gt;=4.25,"Critical",IF(T4614&gt;=3.5,"High",IF(T4614&gt;=2,"Medium","Low")))</f>
        <v/>
      </c>
    </row>
    <row r="4615">
      <c r="R4615">
        <f>IFERROR(XLOOKUP(XLOOKUP(D4615,tblReleaseChanges[Change_ID],tblReleaseChanges[Oracle_Severity],""),tblSeverityMap[Severity_Text],tblSeverityMap[Score],0),0)</f>
        <v/>
      </c>
      <c r="T4615">
        <f>ROUND((M4615*0.25)+(N4615*0.20)+(O4615*0.15)+(P4615*0.15)+(Q4615*0.10)+(R4615*0.10)+(S4615*0.05),2)</f>
        <v/>
      </c>
      <c r="U4615">
        <f>IF(T4615&gt;=4.25,"Critical",IF(T4615&gt;=3.5,"High",IF(T4615&gt;=2,"Medium","Low")))</f>
        <v/>
      </c>
    </row>
    <row r="4616">
      <c r="R4616">
        <f>IFERROR(XLOOKUP(XLOOKUP(D4616,tblReleaseChanges[Change_ID],tblReleaseChanges[Oracle_Severity],""),tblSeverityMap[Severity_Text],tblSeverityMap[Score],0),0)</f>
        <v/>
      </c>
      <c r="T4616">
        <f>ROUND((M4616*0.25)+(N4616*0.20)+(O4616*0.15)+(P4616*0.15)+(Q4616*0.10)+(R4616*0.10)+(S4616*0.05),2)</f>
        <v/>
      </c>
      <c r="U4616">
        <f>IF(T4616&gt;=4.25,"Critical",IF(T4616&gt;=3.5,"High",IF(T4616&gt;=2,"Medium","Low")))</f>
        <v/>
      </c>
    </row>
    <row r="4617">
      <c r="R4617">
        <f>IFERROR(XLOOKUP(XLOOKUP(D4617,tblReleaseChanges[Change_ID],tblReleaseChanges[Oracle_Severity],""),tblSeverityMap[Severity_Text],tblSeverityMap[Score],0),0)</f>
        <v/>
      </c>
      <c r="T4617">
        <f>ROUND((M4617*0.25)+(N4617*0.20)+(O4617*0.15)+(P4617*0.15)+(Q4617*0.10)+(R4617*0.10)+(S4617*0.05),2)</f>
        <v/>
      </c>
      <c r="U4617">
        <f>IF(T4617&gt;=4.25,"Critical",IF(T4617&gt;=3.5,"High",IF(T4617&gt;=2,"Medium","Low")))</f>
        <v/>
      </c>
    </row>
    <row r="4618">
      <c r="R4618">
        <f>IFERROR(XLOOKUP(XLOOKUP(D4618,tblReleaseChanges[Change_ID],tblReleaseChanges[Oracle_Severity],""),tblSeverityMap[Severity_Text],tblSeverityMap[Score],0),0)</f>
        <v/>
      </c>
      <c r="T4618">
        <f>ROUND((M4618*0.25)+(N4618*0.20)+(O4618*0.15)+(P4618*0.15)+(Q4618*0.10)+(R4618*0.10)+(S4618*0.05),2)</f>
        <v/>
      </c>
      <c r="U4618">
        <f>IF(T4618&gt;=4.25,"Critical",IF(T4618&gt;=3.5,"High",IF(T4618&gt;=2,"Medium","Low")))</f>
        <v/>
      </c>
    </row>
    <row r="4619">
      <c r="R4619">
        <f>IFERROR(XLOOKUP(XLOOKUP(D4619,tblReleaseChanges[Change_ID],tblReleaseChanges[Oracle_Severity],""),tblSeverityMap[Severity_Text],tblSeverityMap[Score],0),0)</f>
        <v/>
      </c>
      <c r="T4619">
        <f>ROUND((M4619*0.25)+(N4619*0.20)+(O4619*0.15)+(P4619*0.15)+(Q4619*0.10)+(R4619*0.10)+(S4619*0.05),2)</f>
        <v/>
      </c>
      <c r="U4619">
        <f>IF(T4619&gt;=4.25,"Critical",IF(T4619&gt;=3.5,"High",IF(T4619&gt;=2,"Medium","Low")))</f>
        <v/>
      </c>
    </row>
    <row r="4620">
      <c r="R4620">
        <f>IFERROR(XLOOKUP(XLOOKUP(D4620,tblReleaseChanges[Change_ID],tblReleaseChanges[Oracle_Severity],""),tblSeverityMap[Severity_Text],tblSeverityMap[Score],0),0)</f>
        <v/>
      </c>
      <c r="T4620">
        <f>ROUND((M4620*0.25)+(N4620*0.20)+(O4620*0.15)+(P4620*0.15)+(Q4620*0.10)+(R4620*0.10)+(S4620*0.05),2)</f>
        <v/>
      </c>
      <c r="U4620">
        <f>IF(T4620&gt;=4.25,"Critical",IF(T4620&gt;=3.5,"High",IF(T4620&gt;=2,"Medium","Low")))</f>
        <v/>
      </c>
    </row>
    <row r="4621">
      <c r="R4621">
        <f>IFERROR(XLOOKUP(XLOOKUP(D4621,tblReleaseChanges[Change_ID],tblReleaseChanges[Oracle_Severity],""),tblSeverityMap[Severity_Text],tblSeverityMap[Score],0),0)</f>
        <v/>
      </c>
      <c r="T4621">
        <f>ROUND((M4621*0.25)+(N4621*0.20)+(O4621*0.15)+(P4621*0.15)+(Q4621*0.10)+(R4621*0.10)+(S4621*0.05),2)</f>
        <v/>
      </c>
      <c r="U4621">
        <f>IF(T4621&gt;=4.25,"Critical",IF(T4621&gt;=3.5,"High",IF(T4621&gt;=2,"Medium","Low")))</f>
        <v/>
      </c>
    </row>
    <row r="4622">
      <c r="R4622">
        <f>IFERROR(XLOOKUP(XLOOKUP(D4622,tblReleaseChanges[Change_ID],tblReleaseChanges[Oracle_Severity],""),tblSeverityMap[Severity_Text],tblSeverityMap[Score],0),0)</f>
        <v/>
      </c>
      <c r="T4622">
        <f>ROUND((M4622*0.25)+(N4622*0.20)+(O4622*0.15)+(P4622*0.15)+(Q4622*0.10)+(R4622*0.10)+(S4622*0.05),2)</f>
        <v/>
      </c>
      <c r="U4622">
        <f>IF(T4622&gt;=4.25,"Critical",IF(T4622&gt;=3.5,"High",IF(T4622&gt;=2,"Medium","Low")))</f>
        <v/>
      </c>
    </row>
    <row r="4623">
      <c r="R4623">
        <f>IFERROR(XLOOKUP(XLOOKUP(D4623,tblReleaseChanges[Change_ID],tblReleaseChanges[Oracle_Severity],""),tblSeverityMap[Severity_Text],tblSeverityMap[Score],0),0)</f>
        <v/>
      </c>
      <c r="T4623">
        <f>ROUND((M4623*0.25)+(N4623*0.20)+(O4623*0.15)+(P4623*0.15)+(Q4623*0.10)+(R4623*0.10)+(S4623*0.05),2)</f>
        <v/>
      </c>
      <c r="U4623">
        <f>IF(T4623&gt;=4.25,"Critical",IF(T4623&gt;=3.5,"High",IF(T4623&gt;=2,"Medium","Low")))</f>
        <v/>
      </c>
    </row>
    <row r="4624">
      <c r="R4624">
        <f>IFERROR(XLOOKUP(XLOOKUP(D4624,tblReleaseChanges[Change_ID],tblReleaseChanges[Oracle_Severity],""),tblSeverityMap[Severity_Text],tblSeverityMap[Score],0),0)</f>
        <v/>
      </c>
      <c r="T4624">
        <f>ROUND((M4624*0.25)+(N4624*0.20)+(O4624*0.15)+(P4624*0.15)+(Q4624*0.10)+(R4624*0.10)+(S4624*0.05),2)</f>
        <v/>
      </c>
      <c r="U4624">
        <f>IF(T4624&gt;=4.25,"Critical",IF(T4624&gt;=3.5,"High",IF(T4624&gt;=2,"Medium","Low")))</f>
        <v/>
      </c>
    </row>
    <row r="4625">
      <c r="R4625">
        <f>IFERROR(XLOOKUP(XLOOKUP(D4625,tblReleaseChanges[Change_ID],tblReleaseChanges[Oracle_Severity],""),tblSeverityMap[Severity_Text],tblSeverityMap[Score],0),0)</f>
        <v/>
      </c>
      <c r="T4625">
        <f>ROUND((M4625*0.25)+(N4625*0.20)+(O4625*0.15)+(P4625*0.15)+(Q4625*0.10)+(R4625*0.10)+(S4625*0.05),2)</f>
        <v/>
      </c>
      <c r="U4625">
        <f>IF(T4625&gt;=4.25,"Critical",IF(T4625&gt;=3.5,"High",IF(T4625&gt;=2,"Medium","Low")))</f>
        <v/>
      </c>
    </row>
    <row r="4626">
      <c r="R4626">
        <f>IFERROR(XLOOKUP(XLOOKUP(D4626,tblReleaseChanges[Change_ID],tblReleaseChanges[Oracle_Severity],""),tblSeverityMap[Severity_Text],tblSeverityMap[Score],0),0)</f>
        <v/>
      </c>
      <c r="T4626">
        <f>ROUND((M4626*0.25)+(N4626*0.20)+(O4626*0.15)+(P4626*0.15)+(Q4626*0.10)+(R4626*0.10)+(S4626*0.05),2)</f>
        <v/>
      </c>
      <c r="U4626">
        <f>IF(T4626&gt;=4.25,"Critical",IF(T4626&gt;=3.5,"High",IF(T4626&gt;=2,"Medium","Low")))</f>
        <v/>
      </c>
    </row>
    <row r="4627">
      <c r="R4627">
        <f>IFERROR(XLOOKUP(XLOOKUP(D4627,tblReleaseChanges[Change_ID],tblReleaseChanges[Oracle_Severity],""),tblSeverityMap[Severity_Text],tblSeverityMap[Score],0),0)</f>
        <v/>
      </c>
      <c r="T4627">
        <f>ROUND((M4627*0.25)+(N4627*0.20)+(O4627*0.15)+(P4627*0.15)+(Q4627*0.10)+(R4627*0.10)+(S4627*0.05),2)</f>
        <v/>
      </c>
      <c r="U4627">
        <f>IF(T4627&gt;=4.25,"Critical",IF(T4627&gt;=3.5,"High",IF(T4627&gt;=2,"Medium","Low")))</f>
        <v/>
      </c>
    </row>
    <row r="4628">
      <c r="R4628">
        <f>IFERROR(XLOOKUP(XLOOKUP(D4628,tblReleaseChanges[Change_ID],tblReleaseChanges[Oracle_Severity],""),tblSeverityMap[Severity_Text],tblSeverityMap[Score],0),0)</f>
        <v/>
      </c>
      <c r="T4628">
        <f>ROUND((M4628*0.25)+(N4628*0.20)+(O4628*0.15)+(P4628*0.15)+(Q4628*0.10)+(R4628*0.10)+(S4628*0.05),2)</f>
        <v/>
      </c>
      <c r="U4628">
        <f>IF(T4628&gt;=4.25,"Critical",IF(T4628&gt;=3.5,"High",IF(T4628&gt;=2,"Medium","Low")))</f>
        <v/>
      </c>
    </row>
    <row r="4629">
      <c r="R4629">
        <f>IFERROR(XLOOKUP(XLOOKUP(D4629,tblReleaseChanges[Change_ID],tblReleaseChanges[Oracle_Severity],""),tblSeverityMap[Severity_Text],tblSeverityMap[Score],0),0)</f>
        <v/>
      </c>
      <c r="T4629">
        <f>ROUND((M4629*0.25)+(N4629*0.20)+(O4629*0.15)+(P4629*0.15)+(Q4629*0.10)+(R4629*0.10)+(S4629*0.05),2)</f>
        <v/>
      </c>
      <c r="U4629">
        <f>IF(T4629&gt;=4.25,"Critical",IF(T4629&gt;=3.5,"High",IF(T4629&gt;=2,"Medium","Low")))</f>
        <v/>
      </c>
    </row>
    <row r="4630">
      <c r="R4630">
        <f>IFERROR(XLOOKUP(XLOOKUP(D4630,tblReleaseChanges[Change_ID],tblReleaseChanges[Oracle_Severity],""),tblSeverityMap[Severity_Text],tblSeverityMap[Score],0),0)</f>
        <v/>
      </c>
      <c r="T4630">
        <f>ROUND((M4630*0.25)+(N4630*0.20)+(O4630*0.15)+(P4630*0.15)+(Q4630*0.10)+(R4630*0.10)+(S4630*0.05),2)</f>
        <v/>
      </c>
      <c r="U4630">
        <f>IF(T4630&gt;=4.25,"Critical",IF(T4630&gt;=3.5,"High",IF(T4630&gt;=2,"Medium","Low")))</f>
        <v/>
      </c>
    </row>
    <row r="4631">
      <c r="R4631">
        <f>IFERROR(XLOOKUP(XLOOKUP(D4631,tblReleaseChanges[Change_ID],tblReleaseChanges[Oracle_Severity],""),tblSeverityMap[Severity_Text],tblSeverityMap[Score],0),0)</f>
        <v/>
      </c>
      <c r="T4631">
        <f>ROUND((M4631*0.25)+(N4631*0.20)+(O4631*0.15)+(P4631*0.15)+(Q4631*0.10)+(R4631*0.10)+(S4631*0.05),2)</f>
        <v/>
      </c>
      <c r="U4631">
        <f>IF(T4631&gt;=4.25,"Critical",IF(T4631&gt;=3.5,"High",IF(T4631&gt;=2,"Medium","Low")))</f>
        <v/>
      </c>
    </row>
    <row r="4632">
      <c r="R4632">
        <f>IFERROR(XLOOKUP(XLOOKUP(D4632,tblReleaseChanges[Change_ID],tblReleaseChanges[Oracle_Severity],""),tblSeverityMap[Severity_Text],tblSeverityMap[Score],0),0)</f>
        <v/>
      </c>
      <c r="T4632">
        <f>ROUND((M4632*0.25)+(N4632*0.20)+(O4632*0.15)+(P4632*0.15)+(Q4632*0.10)+(R4632*0.10)+(S4632*0.05),2)</f>
        <v/>
      </c>
      <c r="U4632">
        <f>IF(T4632&gt;=4.25,"Critical",IF(T4632&gt;=3.5,"High",IF(T4632&gt;=2,"Medium","Low")))</f>
        <v/>
      </c>
    </row>
    <row r="4633">
      <c r="R4633">
        <f>IFERROR(XLOOKUP(XLOOKUP(D4633,tblReleaseChanges[Change_ID],tblReleaseChanges[Oracle_Severity],""),tblSeverityMap[Severity_Text],tblSeverityMap[Score],0),0)</f>
        <v/>
      </c>
      <c r="T4633">
        <f>ROUND((M4633*0.25)+(N4633*0.20)+(O4633*0.15)+(P4633*0.15)+(Q4633*0.10)+(R4633*0.10)+(S4633*0.05),2)</f>
        <v/>
      </c>
      <c r="U4633">
        <f>IF(T4633&gt;=4.25,"Critical",IF(T4633&gt;=3.5,"High",IF(T4633&gt;=2,"Medium","Low")))</f>
        <v/>
      </c>
    </row>
    <row r="4634">
      <c r="R4634">
        <f>IFERROR(XLOOKUP(XLOOKUP(D4634,tblReleaseChanges[Change_ID],tblReleaseChanges[Oracle_Severity],""),tblSeverityMap[Severity_Text],tblSeverityMap[Score],0),0)</f>
        <v/>
      </c>
      <c r="T4634">
        <f>ROUND((M4634*0.25)+(N4634*0.20)+(O4634*0.15)+(P4634*0.15)+(Q4634*0.10)+(R4634*0.10)+(S4634*0.05),2)</f>
        <v/>
      </c>
      <c r="U4634">
        <f>IF(T4634&gt;=4.25,"Critical",IF(T4634&gt;=3.5,"High",IF(T4634&gt;=2,"Medium","Low")))</f>
        <v/>
      </c>
    </row>
    <row r="4635">
      <c r="R4635">
        <f>IFERROR(XLOOKUP(XLOOKUP(D4635,tblReleaseChanges[Change_ID],tblReleaseChanges[Oracle_Severity],""),tblSeverityMap[Severity_Text],tblSeverityMap[Score],0),0)</f>
        <v/>
      </c>
      <c r="T4635">
        <f>ROUND((M4635*0.25)+(N4635*0.20)+(O4635*0.15)+(P4635*0.15)+(Q4635*0.10)+(R4635*0.10)+(S4635*0.05),2)</f>
        <v/>
      </c>
      <c r="U4635">
        <f>IF(T4635&gt;=4.25,"Critical",IF(T4635&gt;=3.5,"High",IF(T4635&gt;=2,"Medium","Low")))</f>
        <v/>
      </c>
    </row>
    <row r="4636">
      <c r="R4636">
        <f>IFERROR(XLOOKUP(XLOOKUP(D4636,tblReleaseChanges[Change_ID],tblReleaseChanges[Oracle_Severity],""),tblSeverityMap[Severity_Text],tblSeverityMap[Score],0),0)</f>
        <v/>
      </c>
      <c r="T4636">
        <f>ROUND((M4636*0.25)+(N4636*0.20)+(O4636*0.15)+(P4636*0.15)+(Q4636*0.10)+(R4636*0.10)+(S4636*0.05),2)</f>
        <v/>
      </c>
      <c r="U4636">
        <f>IF(T4636&gt;=4.25,"Critical",IF(T4636&gt;=3.5,"High",IF(T4636&gt;=2,"Medium","Low")))</f>
        <v/>
      </c>
    </row>
    <row r="4637">
      <c r="R4637">
        <f>IFERROR(XLOOKUP(XLOOKUP(D4637,tblReleaseChanges[Change_ID],tblReleaseChanges[Oracle_Severity],""),tblSeverityMap[Severity_Text],tblSeverityMap[Score],0),0)</f>
        <v/>
      </c>
      <c r="T4637">
        <f>ROUND((M4637*0.25)+(N4637*0.20)+(O4637*0.15)+(P4637*0.15)+(Q4637*0.10)+(R4637*0.10)+(S4637*0.05),2)</f>
        <v/>
      </c>
      <c r="U4637">
        <f>IF(T4637&gt;=4.25,"Critical",IF(T4637&gt;=3.5,"High",IF(T4637&gt;=2,"Medium","Low")))</f>
        <v/>
      </c>
    </row>
    <row r="4638">
      <c r="R4638">
        <f>IFERROR(XLOOKUP(XLOOKUP(D4638,tblReleaseChanges[Change_ID],tblReleaseChanges[Oracle_Severity],""),tblSeverityMap[Severity_Text],tblSeverityMap[Score],0),0)</f>
        <v/>
      </c>
      <c r="T4638">
        <f>ROUND((M4638*0.25)+(N4638*0.20)+(O4638*0.15)+(P4638*0.15)+(Q4638*0.10)+(R4638*0.10)+(S4638*0.05),2)</f>
        <v/>
      </c>
      <c r="U4638">
        <f>IF(T4638&gt;=4.25,"Critical",IF(T4638&gt;=3.5,"High",IF(T4638&gt;=2,"Medium","Low")))</f>
        <v/>
      </c>
    </row>
    <row r="4639">
      <c r="R4639">
        <f>IFERROR(XLOOKUP(XLOOKUP(D4639,tblReleaseChanges[Change_ID],tblReleaseChanges[Oracle_Severity],""),tblSeverityMap[Severity_Text],tblSeverityMap[Score],0),0)</f>
        <v/>
      </c>
      <c r="T4639">
        <f>ROUND((M4639*0.25)+(N4639*0.20)+(O4639*0.15)+(P4639*0.15)+(Q4639*0.10)+(R4639*0.10)+(S4639*0.05),2)</f>
        <v/>
      </c>
      <c r="U4639">
        <f>IF(T4639&gt;=4.25,"Critical",IF(T4639&gt;=3.5,"High",IF(T4639&gt;=2,"Medium","Low")))</f>
        <v/>
      </c>
    </row>
    <row r="4640">
      <c r="R4640">
        <f>IFERROR(XLOOKUP(XLOOKUP(D4640,tblReleaseChanges[Change_ID],tblReleaseChanges[Oracle_Severity],""),tblSeverityMap[Severity_Text],tblSeverityMap[Score],0),0)</f>
        <v/>
      </c>
      <c r="T4640">
        <f>ROUND((M4640*0.25)+(N4640*0.20)+(O4640*0.15)+(P4640*0.15)+(Q4640*0.10)+(R4640*0.10)+(S4640*0.05),2)</f>
        <v/>
      </c>
      <c r="U4640">
        <f>IF(T4640&gt;=4.25,"Critical",IF(T4640&gt;=3.5,"High",IF(T4640&gt;=2,"Medium","Low")))</f>
        <v/>
      </c>
    </row>
    <row r="4641">
      <c r="R4641">
        <f>IFERROR(XLOOKUP(XLOOKUP(D4641,tblReleaseChanges[Change_ID],tblReleaseChanges[Oracle_Severity],""),tblSeverityMap[Severity_Text],tblSeverityMap[Score],0),0)</f>
        <v/>
      </c>
      <c r="T4641">
        <f>ROUND((M4641*0.25)+(N4641*0.20)+(O4641*0.15)+(P4641*0.15)+(Q4641*0.10)+(R4641*0.10)+(S4641*0.05),2)</f>
        <v/>
      </c>
      <c r="U4641">
        <f>IF(T4641&gt;=4.25,"Critical",IF(T4641&gt;=3.5,"High",IF(T4641&gt;=2,"Medium","Low")))</f>
        <v/>
      </c>
    </row>
    <row r="4642">
      <c r="R4642">
        <f>IFERROR(XLOOKUP(XLOOKUP(D4642,tblReleaseChanges[Change_ID],tblReleaseChanges[Oracle_Severity],""),tblSeverityMap[Severity_Text],tblSeverityMap[Score],0),0)</f>
        <v/>
      </c>
      <c r="T4642">
        <f>ROUND((M4642*0.25)+(N4642*0.20)+(O4642*0.15)+(P4642*0.15)+(Q4642*0.10)+(R4642*0.10)+(S4642*0.05),2)</f>
        <v/>
      </c>
      <c r="U4642">
        <f>IF(T4642&gt;=4.25,"Critical",IF(T4642&gt;=3.5,"High",IF(T4642&gt;=2,"Medium","Low")))</f>
        <v/>
      </c>
    </row>
    <row r="4643">
      <c r="R4643">
        <f>IFERROR(XLOOKUP(XLOOKUP(D4643,tblReleaseChanges[Change_ID],tblReleaseChanges[Oracle_Severity],""),tblSeverityMap[Severity_Text],tblSeverityMap[Score],0),0)</f>
        <v/>
      </c>
      <c r="T4643">
        <f>ROUND((M4643*0.25)+(N4643*0.20)+(O4643*0.15)+(P4643*0.15)+(Q4643*0.10)+(R4643*0.10)+(S4643*0.05),2)</f>
        <v/>
      </c>
      <c r="U4643">
        <f>IF(T4643&gt;=4.25,"Critical",IF(T4643&gt;=3.5,"High",IF(T4643&gt;=2,"Medium","Low")))</f>
        <v/>
      </c>
    </row>
    <row r="4644">
      <c r="R4644">
        <f>IFERROR(XLOOKUP(XLOOKUP(D4644,tblReleaseChanges[Change_ID],tblReleaseChanges[Oracle_Severity],""),tblSeverityMap[Severity_Text],tblSeverityMap[Score],0),0)</f>
        <v/>
      </c>
      <c r="T4644">
        <f>ROUND((M4644*0.25)+(N4644*0.20)+(O4644*0.15)+(P4644*0.15)+(Q4644*0.10)+(R4644*0.10)+(S4644*0.05),2)</f>
        <v/>
      </c>
      <c r="U4644">
        <f>IF(T4644&gt;=4.25,"Critical",IF(T4644&gt;=3.5,"High",IF(T4644&gt;=2,"Medium","Low")))</f>
        <v/>
      </c>
    </row>
    <row r="4645">
      <c r="R4645">
        <f>IFERROR(XLOOKUP(XLOOKUP(D4645,tblReleaseChanges[Change_ID],tblReleaseChanges[Oracle_Severity],""),tblSeverityMap[Severity_Text],tblSeverityMap[Score],0),0)</f>
        <v/>
      </c>
      <c r="T4645">
        <f>ROUND((M4645*0.25)+(N4645*0.20)+(O4645*0.15)+(P4645*0.15)+(Q4645*0.10)+(R4645*0.10)+(S4645*0.05),2)</f>
        <v/>
      </c>
      <c r="U4645">
        <f>IF(T4645&gt;=4.25,"Critical",IF(T4645&gt;=3.5,"High",IF(T4645&gt;=2,"Medium","Low")))</f>
        <v/>
      </c>
    </row>
    <row r="4646">
      <c r="R4646">
        <f>IFERROR(XLOOKUP(XLOOKUP(D4646,tblReleaseChanges[Change_ID],tblReleaseChanges[Oracle_Severity],""),tblSeverityMap[Severity_Text],tblSeverityMap[Score],0),0)</f>
        <v/>
      </c>
      <c r="T4646">
        <f>ROUND((M4646*0.25)+(N4646*0.20)+(O4646*0.15)+(P4646*0.15)+(Q4646*0.10)+(R4646*0.10)+(S4646*0.05),2)</f>
        <v/>
      </c>
      <c r="U4646">
        <f>IF(T4646&gt;=4.25,"Critical",IF(T4646&gt;=3.5,"High",IF(T4646&gt;=2,"Medium","Low")))</f>
        <v/>
      </c>
    </row>
    <row r="4647">
      <c r="R4647">
        <f>IFERROR(XLOOKUP(XLOOKUP(D4647,tblReleaseChanges[Change_ID],tblReleaseChanges[Oracle_Severity],""),tblSeverityMap[Severity_Text],tblSeverityMap[Score],0),0)</f>
        <v/>
      </c>
      <c r="T4647">
        <f>ROUND((M4647*0.25)+(N4647*0.20)+(O4647*0.15)+(P4647*0.15)+(Q4647*0.10)+(R4647*0.10)+(S4647*0.05),2)</f>
        <v/>
      </c>
      <c r="U4647">
        <f>IF(T4647&gt;=4.25,"Critical",IF(T4647&gt;=3.5,"High",IF(T4647&gt;=2,"Medium","Low")))</f>
        <v/>
      </c>
    </row>
    <row r="4648">
      <c r="R4648">
        <f>IFERROR(XLOOKUP(XLOOKUP(D4648,tblReleaseChanges[Change_ID],tblReleaseChanges[Oracle_Severity],""),tblSeverityMap[Severity_Text],tblSeverityMap[Score],0),0)</f>
        <v/>
      </c>
      <c r="T4648">
        <f>ROUND((M4648*0.25)+(N4648*0.20)+(O4648*0.15)+(P4648*0.15)+(Q4648*0.10)+(R4648*0.10)+(S4648*0.05),2)</f>
        <v/>
      </c>
      <c r="U4648">
        <f>IF(T4648&gt;=4.25,"Critical",IF(T4648&gt;=3.5,"High",IF(T4648&gt;=2,"Medium","Low")))</f>
        <v/>
      </c>
    </row>
    <row r="4649">
      <c r="R4649">
        <f>IFERROR(XLOOKUP(XLOOKUP(D4649,tblReleaseChanges[Change_ID],tblReleaseChanges[Oracle_Severity],""),tblSeverityMap[Severity_Text],tblSeverityMap[Score],0),0)</f>
        <v/>
      </c>
      <c r="T4649">
        <f>ROUND((M4649*0.25)+(N4649*0.20)+(O4649*0.15)+(P4649*0.15)+(Q4649*0.10)+(R4649*0.10)+(S4649*0.05),2)</f>
        <v/>
      </c>
      <c r="U4649">
        <f>IF(T4649&gt;=4.25,"Critical",IF(T4649&gt;=3.5,"High",IF(T4649&gt;=2,"Medium","Low")))</f>
        <v/>
      </c>
    </row>
    <row r="4650">
      <c r="R4650">
        <f>IFERROR(XLOOKUP(XLOOKUP(D4650,tblReleaseChanges[Change_ID],tblReleaseChanges[Oracle_Severity],""),tblSeverityMap[Severity_Text],tblSeverityMap[Score],0),0)</f>
        <v/>
      </c>
      <c r="T4650">
        <f>ROUND((M4650*0.25)+(N4650*0.20)+(O4650*0.15)+(P4650*0.15)+(Q4650*0.10)+(R4650*0.10)+(S4650*0.05),2)</f>
        <v/>
      </c>
      <c r="U4650">
        <f>IF(T4650&gt;=4.25,"Critical",IF(T4650&gt;=3.5,"High",IF(T4650&gt;=2,"Medium","Low")))</f>
        <v/>
      </c>
    </row>
    <row r="4651">
      <c r="R4651">
        <f>IFERROR(XLOOKUP(XLOOKUP(D4651,tblReleaseChanges[Change_ID],tblReleaseChanges[Oracle_Severity],""),tblSeverityMap[Severity_Text],tblSeverityMap[Score],0),0)</f>
        <v/>
      </c>
      <c r="T4651">
        <f>ROUND((M4651*0.25)+(N4651*0.20)+(O4651*0.15)+(P4651*0.15)+(Q4651*0.10)+(R4651*0.10)+(S4651*0.05),2)</f>
        <v/>
      </c>
      <c r="U4651">
        <f>IF(T4651&gt;=4.25,"Critical",IF(T4651&gt;=3.5,"High",IF(T4651&gt;=2,"Medium","Low")))</f>
        <v/>
      </c>
    </row>
    <row r="4652">
      <c r="R4652">
        <f>IFERROR(XLOOKUP(XLOOKUP(D4652,tblReleaseChanges[Change_ID],tblReleaseChanges[Oracle_Severity],""),tblSeverityMap[Severity_Text],tblSeverityMap[Score],0),0)</f>
        <v/>
      </c>
      <c r="T4652">
        <f>ROUND((M4652*0.25)+(N4652*0.20)+(O4652*0.15)+(P4652*0.15)+(Q4652*0.10)+(R4652*0.10)+(S4652*0.05),2)</f>
        <v/>
      </c>
      <c r="U4652">
        <f>IF(T4652&gt;=4.25,"Critical",IF(T4652&gt;=3.5,"High",IF(T4652&gt;=2,"Medium","Low")))</f>
        <v/>
      </c>
    </row>
    <row r="4653">
      <c r="R4653">
        <f>IFERROR(XLOOKUP(XLOOKUP(D4653,tblReleaseChanges[Change_ID],tblReleaseChanges[Oracle_Severity],""),tblSeverityMap[Severity_Text],tblSeverityMap[Score],0),0)</f>
        <v/>
      </c>
      <c r="T4653">
        <f>ROUND((M4653*0.25)+(N4653*0.20)+(O4653*0.15)+(P4653*0.15)+(Q4653*0.10)+(R4653*0.10)+(S4653*0.05),2)</f>
        <v/>
      </c>
      <c r="U4653">
        <f>IF(T4653&gt;=4.25,"Critical",IF(T4653&gt;=3.5,"High",IF(T4653&gt;=2,"Medium","Low")))</f>
        <v/>
      </c>
    </row>
    <row r="4654">
      <c r="R4654">
        <f>IFERROR(XLOOKUP(XLOOKUP(D4654,tblReleaseChanges[Change_ID],tblReleaseChanges[Oracle_Severity],""),tblSeverityMap[Severity_Text],tblSeverityMap[Score],0),0)</f>
        <v/>
      </c>
      <c r="T4654">
        <f>ROUND((M4654*0.25)+(N4654*0.20)+(O4654*0.15)+(P4654*0.15)+(Q4654*0.10)+(R4654*0.10)+(S4654*0.05),2)</f>
        <v/>
      </c>
      <c r="U4654">
        <f>IF(T4654&gt;=4.25,"Critical",IF(T4654&gt;=3.5,"High",IF(T4654&gt;=2,"Medium","Low")))</f>
        <v/>
      </c>
    </row>
    <row r="4655">
      <c r="R4655">
        <f>IFERROR(XLOOKUP(XLOOKUP(D4655,tblReleaseChanges[Change_ID],tblReleaseChanges[Oracle_Severity],""),tblSeverityMap[Severity_Text],tblSeverityMap[Score],0),0)</f>
        <v/>
      </c>
      <c r="T4655">
        <f>ROUND((M4655*0.25)+(N4655*0.20)+(O4655*0.15)+(P4655*0.15)+(Q4655*0.10)+(R4655*0.10)+(S4655*0.05),2)</f>
        <v/>
      </c>
      <c r="U4655">
        <f>IF(T4655&gt;=4.25,"Critical",IF(T4655&gt;=3.5,"High",IF(T4655&gt;=2,"Medium","Low")))</f>
        <v/>
      </c>
    </row>
    <row r="4656">
      <c r="R4656">
        <f>IFERROR(XLOOKUP(XLOOKUP(D4656,tblReleaseChanges[Change_ID],tblReleaseChanges[Oracle_Severity],""),tblSeverityMap[Severity_Text],tblSeverityMap[Score],0),0)</f>
        <v/>
      </c>
      <c r="T4656">
        <f>ROUND((M4656*0.25)+(N4656*0.20)+(O4656*0.15)+(P4656*0.15)+(Q4656*0.10)+(R4656*0.10)+(S4656*0.05),2)</f>
        <v/>
      </c>
      <c r="U4656">
        <f>IF(T4656&gt;=4.25,"Critical",IF(T4656&gt;=3.5,"High",IF(T4656&gt;=2,"Medium","Low")))</f>
        <v/>
      </c>
    </row>
    <row r="4657">
      <c r="R4657">
        <f>IFERROR(XLOOKUP(XLOOKUP(D4657,tblReleaseChanges[Change_ID],tblReleaseChanges[Oracle_Severity],""),tblSeverityMap[Severity_Text],tblSeverityMap[Score],0),0)</f>
        <v/>
      </c>
      <c r="T4657">
        <f>ROUND((M4657*0.25)+(N4657*0.20)+(O4657*0.15)+(P4657*0.15)+(Q4657*0.10)+(R4657*0.10)+(S4657*0.05),2)</f>
        <v/>
      </c>
      <c r="U4657">
        <f>IF(T4657&gt;=4.25,"Critical",IF(T4657&gt;=3.5,"High",IF(T4657&gt;=2,"Medium","Low")))</f>
        <v/>
      </c>
    </row>
    <row r="4658">
      <c r="R4658">
        <f>IFERROR(XLOOKUP(XLOOKUP(D4658,tblReleaseChanges[Change_ID],tblReleaseChanges[Oracle_Severity],""),tblSeverityMap[Severity_Text],tblSeverityMap[Score],0),0)</f>
        <v/>
      </c>
      <c r="T4658">
        <f>ROUND((M4658*0.25)+(N4658*0.20)+(O4658*0.15)+(P4658*0.15)+(Q4658*0.10)+(R4658*0.10)+(S4658*0.05),2)</f>
        <v/>
      </c>
      <c r="U4658">
        <f>IF(T4658&gt;=4.25,"Critical",IF(T4658&gt;=3.5,"High",IF(T4658&gt;=2,"Medium","Low")))</f>
        <v/>
      </c>
    </row>
    <row r="4659">
      <c r="R4659">
        <f>IFERROR(XLOOKUP(XLOOKUP(D4659,tblReleaseChanges[Change_ID],tblReleaseChanges[Oracle_Severity],""),tblSeverityMap[Severity_Text],tblSeverityMap[Score],0),0)</f>
        <v/>
      </c>
      <c r="T4659">
        <f>ROUND((M4659*0.25)+(N4659*0.20)+(O4659*0.15)+(P4659*0.15)+(Q4659*0.10)+(R4659*0.10)+(S4659*0.05),2)</f>
        <v/>
      </c>
      <c r="U4659">
        <f>IF(T4659&gt;=4.25,"Critical",IF(T4659&gt;=3.5,"High",IF(T4659&gt;=2,"Medium","Low")))</f>
        <v/>
      </c>
    </row>
    <row r="4660">
      <c r="R4660">
        <f>IFERROR(XLOOKUP(XLOOKUP(D4660,tblReleaseChanges[Change_ID],tblReleaseChanges[Oracle_Severity],""),tblSeverityMap[Severity_Text],tblSeverityMap[Score],0),0)</f>
        <v/>
      </c>
      <c r="T4660">
        <f>ROUND((M4660*0.25)+(N4660*0.20)+(O4660*0.15)+(P4660*0.15)+(Q4660*0.10)+(R4660*0.10)+(S4660*0.05),2)</f>
        <v/>
      </c>
      <c r="U4660">
        <f>IF(T4660&gt;=4.25,"Critical",IF(T4660&gt;=3.5,"High",IF(T4660&gt;=2,"Medium","Low")))</f>
        <v/>
      </c>
    </row>
    <row r="4661">
      <c r="R4661">
        <f>IFERROR(XLOOKUP(XLOOKUP(D4661,tblReleaseChanges[Change_ID],tblReleaseChanges[Oracle_Severity],""),tblSeverityMap[Severity_Text],tblSeverityMap[Score],0),0)</f>
        <v/>
      </c>
      <c r="T4661">
        <f>ROUND((M4661*0.25)+(N4661*0.20)+(O4661*0.15)+(P4661*0.15)+(Q4661*0.10)+(R4661*0.10)+(S4661*0.05),2)</f>
        <v/>
      </c>
      <c r="U4661">
        <f>IF(T4661&gt;=4.25,"Critical",IF(T4661&gt;=3.5,"High",IF(T4661&gt;=2,"Medium","Low")))</f>
        <v/>
      </c>
    </row>
    <row r="4662">
      <c r="R4662">
        <f>IFERROR(XLOOKUP(XLOOKUP(D4662,tblReleaseChanges[Change_ID],tblReleaseChanges[Oracle_Severity],""),tblSeverityMap[Severity_Text],tblSeverityMap[Score],0),0)</f>
        <v/>
      </c>
      <c r="T4662">
        <f>ROUND((M4662*0.25)+(N4662*0.20)+(O4662*0.15)+(P4662*0.15)+(Q4662*0.10)+(R4662*0.10)+(S4662*0.05),2)</f>
        <v/>
      </c>
      <c r="U4662">
        <f>IF(T4662&gt;=4.25,"Critical",IF(T4662&gt;=3.5,"High",IF(T4662&gt;=2,"Medium","Low")))</f>
        <v/>
      </c>
    </row>
    <row r="4663">
      <c r="R4663">
        <f>IFERROR(XLOOKUP(XLOOKUP(D4663,tblReleaseChanges[Change_ID],tblReleaseChanges[Oracle_Severity],""),tblSeverityMap[Severity_Text],tblSeverityMap[Score],0),0)</f>
        <v/>
      </c>
      <c r="T4663">
        <f>ROUND((M4663*0.25)+(N4663*0.20)+(O4663*0.15)+(P4663*0.15)+(Q4663*0.10)+(R4663*0.10)+(S4663*0.05),2)</f>
        <v/>
      </c>
      <c r="U4663">
        <f>IF(T4663&gt;=4.25,"Critical",IF(T4663&gt;=3.5,"High",IF(T4663&gt;=2,"Medium","Low")))</f>
        <v/>
      </c>
    </row>
    <row r="4664">
      <c r="R4664">
        <f>IFERROR(XLOOKUP(XLOOKUP(D4664,tblReleaseChanges[Change_ID],tblReleaseChanges[Oracle_Severity],""),tblSeverityMap[Severity_Text],tblSeverityMap[Score],0),0)</f>
        <v/>
      </c>
      <c r="T4664">
        <f>ROUND((M4664*0.25)+(N4664*0.20)+(O4664*0.15)+(P4664*0.15)+(Q4664*0.10)+(R4664*0.10)+(S4664*0.05),2)</f>
        <v/>
      </c>
      <c r="U4664">
        <f>IF(T4664&gt;=4.25,"Critical",IF(T4664&gt;=3.5,"High",IF(T4664&gt;=2,"Medium","Low")))</f>
        <v/>
      </c>
    </row>
    <row r="4665">
      <c r="R4665">
        <f>IFERROR(XLOOKUP(XLOOKUP(D4665,tblReleaseChanges[Change_ID],tblReleaseChanges[Oracle_Severity],""),tblSeverityMap[Severity_Text],tblSeverityMap[Score],0),0)</f>
        <v/>
      </c>
      <c r="T4665">
        <f>ROUND((M4665*0.25)+(N4665*0.20)+(O4665*0.15)+(P4665*0.15)+(Q4665*0.10)+(R4665*0.10)+(S4665*0.05),2)</f>
        <v/>
      </c>
      <c r="U4665">
        <f>IF(T4665&gt;=4.25,"Critical",IF(T4665&gt;=3.5,"High",IF(T4665&gt;=2,"Medium","Low")))</f>
        <v/>
      </c>
    </row>
    <row r="4666">
      <c r="R4666">
        <f>IFERROR(XLOOKUP(XLOOKUP(D4666,tblReleaseChanges[Change_ID],tblReleaseChanges[Oracle_Severity],""),tblSeverityMap[Severity_Text],tblSeverityMap[Score],0),0)</f>
        <v/>
      </c>
      <c r="T4666">
        <f>ROUND((M4666*0.25)+(N4666*0.20)+(O4666*0.15)+(P4666*0.15)+(Q4666*0.10)+(R4666*0.10)+(S4666*0.05),2)</f>
        <v/>
      </c>
      <c r="U4666">
        <f>IF(T4666&gt;=4.25,"Critical",IF(T4666&gt;=3.5,"High",IF(T4666&gt;=2,"Medium","Low")))</f>
        <v/>
      </c>
    </row>
    <row r="4667">
      <c r="R4667">
        <f>IFERROR(XLOOKUP(XLOOKUP(D4667,tblReleaseChanges[Change_ID],tblReleaseChanges[Oracle_Severity],""),tblSeverityMap[Severity_Text],tblSeverityMap[Score],0),0)</f>
        <v/>
      </c>
      <c r="T4667">
        <f>ROUND((M4667*0.25)+(N4667*0.20)+(O4667*0.15)+(P4667*0.15)+(Q4667*0.10)+(R4667*0.10)+(S4667*0.05),2)</f>
        <v/>
      </c>
      <c r="U4667">
        <f>IF(T4667&gt;=4.25,"Critical",IF(T4667&gt;=3.5,"High",IF(T4667&gt;=2,"Medium","Low")))</f>
        <v/>
      </c>
    </row>
    <row r="4668">
      <c r="R4668">
        <f>IFERROR(XLOOKUP(XLOOKUP(D4668,tblReleaseChanges[Change_ID],tblReleaseChanges[Oracle_Severity],""),tblSeverityMap[Severity_Text],tblSeverityMap[Score],0),0)</f>
        <v/>
      </c>
      <c r="T4668">
        <f>ROUND((M4668*0.25)+(N4668*0.20)+(O4668*0.15)+(P4668*0.15)+(Q4668*0.10)+(R4668*0.10)+(S4668*0.05),2)</f>
        <v/>
      </c>
      <c r="U4668">
        <f>IF(T4668&gt;=4.25,"Critical",IF(T4668&gt;=3.5,"High",IF(T4668&gt;=2,"Medium","Low")))</f>
        <v/>
      </c>
    </row>
    <row r="4669">
      <c r="R4669">
        <f>IFERROR(XLOOKUP(XLOOKUP(D4669,tblReleaseChanges[Change_ID],tblReleaseChanges[Oracle_Severity],""),tblSeverityMap[Severity_Text],tblSeverityMap[Score],0),0)</f>
        <v/>
      </c>
      <c r="T4669">
        <f>ROUND((M4669*0.25)+(N4669*0.20)+(O4669*0.15)+(P4669*0.15)+(Q4669*0.10)+(R4669*0.10)+(S4669*0.05),2)</f>
        <v/>
      </c>
      <c r="U4669">
        <f>IF(T4669&gt;=4.25,"Critical",IF(T4669&gt;=3.5,"High",IF(T4669&gt;=2,"Medium","Low")))</f>
        <v/>
      </c>
    </row>
    <row r="4670">
      <c r="R4670">
        <f>IFERROR(XLOOKUP(XLOOKUP(D4670,tblReleaseChanges[Change_ID],tblReleaseChanges[Oracle_Severity],""),tblSeverityMap[Severity_Text],tblSeverityMap[Score],0),0)</f>
        <v/>
      </c>
      <c r="T4670">
        <f>ROUND((M4670*0.25)+(N4670*0.20)+(O4670*0.15)+(P4670*0.15)+(Q4670*0.10)+(R4670*0.10)+(S4670*0.05),2)</f>
        <v/>
      </c>
      <c r="U4670">
        <f>IF(T4670&gt;=4.25,"Critical",IF(T4670&gt;=3.5,"High",IF(T4670&gt;=2,"Medium","Low")))</f>
        <v/>
      </c>
    </row>
    <row r="4671">
      <c r="R4671">
        <f>IFERROR(XLOOKUP(XLOOKUP(D4671,tblReleaseChanges[Change_ID],tblReleaseChanges[Oracle_Severity],""),tblSeverityMap[Severity_Text],tblSeverityMap[Score],0),0)</f>
        <v/>
      </c>
      <c r="T4671">
        <f>ROUND((M4671*0.25)+(N4671*0.20)+(O4671*0.15)+(P4671*0.15)+(Q4671*0.10)+(R4671*0.10)+(S4671*0.05),2)</f>
        <v/>
      </c>
      <c r="U4671">
        <f>IF(T4671&gt;=4.25,"Critical",IF(T4671&gt;=3.5,"High",IF(T4671&gt;=2,"Medium","Low")))</f>
        <v/>
      </c>
    </row>
    <row r="4672">
      <c r="R4672">
        <f>IFERROR(XLOOKUP(XLOOKUP(D4672,tblReleaseChanges[Change_ID],tblReleaseChanges[Oracle_Severity],""),tblSeverityMap[Severity_Text],tblSeverityMap[Score],0),0)</f>
        <v/>
      </c>
      <c r="T4672">
        <f>ROUND((M4672*0.25)+(N4672*0.20)+(O4672*0.15)+(P4672*0.15)+(Q4672*0.10)+(R4672*0.10)+(S4672*0.05),2)</f>
        <v/>
      </c>
      <c r="U4672">
        <f>IF(T4672&gt;=4.25,"Critical",IF(T4672&gt;=3.5,"High",IF(T4672&gt;=2,"Medium","Low")))</f>
        <v/>
      </c>
    </row>
    <row r="4673">
      <c r="R4673">
        <f>IFERROR(XLOOKUP(XLOOKUP(D4673,tblReleaseChanges[Change_ID],tblReleaseChanges[Oracle_Severity],""),tblSeverityMap[Severity_Text],tblSeverityMap[Score],0),0)</f>
        <v/>
      </c>
      <c r="T4673">
        <f>ROUND((M4673*0.25)+(N4673*0.20)+(O4673*0.15)+(P4673*0.15)+(Q4673*0.10)+(R4673*0.10)+(S4673*0.05),2)</f>
        <v/>
      </c>
      <c r="U4673">
        <f>IF(T4673&gt;=4.25,"Critical",IF(T4673&gt;=3.5,"High",IF(T4673&gt;=2,"Medium","Low")))</f>
        <v/>
      </c>
    </row>
    <row r="4674">
      <c r="R4674">
        <f>IFERROR(XLOOKUP(XLOOKUP(D4674,tblReleaseChanges[Change_ID],tblReleaseChanges[Oracle_Severity],""),tblSeverityMap[Severity_Text],tblSeverityMap[Score],0),0)</f>
        <v/>
      </c>
      <c r="T4674">
        <f>ROUND((M4674*0.25)+(N4674*0.20)+(O4674*0.15)+(P4674*0.15)+(Q4674*0.10)+(R4674*0.10)+(S4674*0.05),2)</f>
        <v/>
      </c>
      <c r="U4674">
        <f>IF(T4674&gt;=4.25,"Critical",IF(T4674&gt;=3.5,"High",IF(T4674&gt;=2,"Medium","Low")))</f>
        <v/>
      </c>
    </row>
    <row r="4675">
      <c r="R4675">
        <f>IFERROR(XLOOKUP(XLOOKUP(D4675,tblReleaseChanges[Change_ID],tblReleaseChanges[Oracle_Severity],""),tblSeverityMap[Severity_Text],tblSeverityMap[Score],0),0)</f>
        <v/>
      </c>
      <c r="T4675">
        <f>ROUND((M4675*0.25)+(N4675*0.20)+(O4675*0.15)+(P4675*0.15)+(Q4675*0.10)+(R4675*0.10)+(S4675*0.05),2)</f>
        <v/>
      </c>
      <c r="U4675">
        <f>IF(T4675&gt;=4.25,"Critical",IF(T4675&gt;=3.5,"High",IF(T4675&gt;=2,"Medium","Low")))</f>
        <v/>
      </c>
    </row>
    <row r="4676">
      <c r="R4676">
        <f>IFERROR(XLOOKUP(XLOOKUP(D4676,tblReleaseChanges[Change_ID],tblReleaseChanges[Oracle_Severity],""),tblSeverityMap[Severity_Text],tblSeverityMap[Score],0),0)</f>
        <v/>
      </c>
      <c r="T4676">
        <f>ROUND((M4676*0.25)+(N4676*0.20)+(O4676*0.15)+(P4676*0.15)+(Q4676*0.10)+(R4676*0.10)+(S4676*0.05),2)</f>
        <v/>
      </c>
      <c r="U4676">
        <f>IF(T4676&gt;=4.25,"Critical",IF(T4676&gt;=3.5,"High",IF(T4676&gt;=2,"Medium","Low")))</f>
        <v/>
      </c>
    </row>
    <row r="4677">
      <c r="R4677">
        <f>IFERROR(XLOOKUP(XLOOKUP(D4677,tblReleaseChanges[Change_ID],tblReleaseChanges[Oracle_Severity],""),tblSeverityMap[Severity_Text],tblSeverityMap[Score],0),0)</f>
        <v/>
      </c>
      <c r="T4677">
        <f>ROUND((M4677*0.25)+(N4677*0.20)+(O4677*0.15)+(P4677*0.15)+(Q4677*0.10)+(R4677*0.10)+(S4677*0.05),2)</f>
        <v/>
      </c>
      <c r="U4677">
        <f>IF(T4677&gt;=4.25,"Critical",IF(T4677&gt;=3.5,"High",IF(T4677&gt;=2,"Medium","Low")))</f>
        <v/>
      </c>
    </row>
    <row r="4678">
      <c r="R4678">
        <f>IFERROR(XLOOKUP(XLOOKUP(D4678,tblReleaseChanges[Change_ID],tblReleaseChanges[Oracle_Severity],""),tblSeverityMap[Severity_Text],tblSeverityMap[Score],0),0)</f>
        <v/>
      </c>
      <c r="T4678">
        <f>ROUND((M4678*0.25)+(N4678*0.20)+(O4678*0.15)+(P4678*0.15)+(Q4678*0.10)+(R4678*0.10)+(S4678*0.05),2)</f>
        <v/>
      </c>
      <c r="U4678">
        <f>IF(T4678&gt;=4.25,"Critical",IF(T4678&gt;=3.5,"High",IF(T4678&gt;=2,"Medium","Low")))</f>
        <v/>
      </c>
    </row>
    <row r="4679">
      <c r="R4679">
        <f>IFERROR(XLOOKUP(XLOOKUP(D4679,tblReleaseChanges[Change_ID],tblReleaseChanges[Oracle_Severity],""),tblSeverityMap[Severity_Text],tblSeverityMap[Score],0),0)</f>
        <v/>
      </c>
      <c r="T4679">
        <f>ROUND((M4679*0.25)+(N4679*0.20)+(O4679*0.15)+(P4679*0.15)+(Q4679*0.10)+(R4679*0.10)+(S4679*0.05),2)</f>
        <v/>
      </c>
      <c r="U4679">
        <f>IF(T4679&gt;=4.25,"Critical",IF(T4679&gt;=3.5,"High",IF(T4679&gt;=2,"Medium","Low")))</f>
        <v/>
      </c>
    </row>
    <row r="4680">
      <c r="R4680">
        <f>IFERROR(XLOOKUP(XLOOKUP(D4680,tblReleaseChanges[Change_ID],tblReleaseChanges[Oracle_Severity],""),tblSeverityMap[Severity_Text],tblSeverityMap[Score],0),0)</f>
        <v/>
      </c>
      <c r="T4680">
        <f>ROUND((M4680*0.25)+(N4680*0.20)+(O4680*0.15)+(P4680*0.15)+(Q4680*0.10)+(R4680*0.10)+(S4680*0.05),2)</f>
        <v/>
      </c>
      <c r="U4680">
        <f>IF(T4680&gt;=4.25,"Critical",IF(T4680&gt;=3.5,"High",IF(T4680&gt;=2,"Medium","Low")))</f>
        <v/>
      </c>
    </row>
    <row r="4681">
      <c r="R4681">
        <f>IFERROR(XLOOKUP(XLOOKUP(D4681,tblReleaseChanges[Change_ID],tblReleaseChanges[Oracle_Severity],""),tblSeverityMap[Severity_Text],tblSeverityMap[Score],0),0)</f>
        <v/>
      </c>
      <c r="T4681">
        <f>ROUND((M4681*0.25)+(N4681*0.20)+(O4681*0.15)+(P4681*0.15)+(Q4681*0.10)+(R4681*0.10)+(S4681*0.05),2)</f>
        <v/>
      </c>
      <c r="U4681">
        <f>IF(T4681&gt;=4.25,"Critical",IF(T4681&gt;=3.5,"High",IF(T4681&gt;=2,"Medium","Low")))</f>
        <v/>
      </c>
    </row>
    <row r="4682">
      <c r="R4682">
        <f>IFERROR(XLOOKUP(XLOOKUP(D4682,tblReleaseChanges[Change_ID],tblReleaseChanges[Oracle_Severity],""),tblSeverityMap[Severity_Text],tblSeverityMap[Score],0),0)</f>
        <v/>
      </c>
      <c r="T4682">
        <f>ROUND((M4682*0.25)+(N4682*0.20)+(O4682*0.15)+(P4682*0.15)+(Q4682*0.10)+(R4682*0.10)+(S4682*0.05),2)</f>
        <v/>
      </c>
      <c r="U4682">
        <f>IF(T4682&gt;=4.25,"Critical",IF(T4682&gt;=3.5,"High",IF(T4682&gt;=2,"Medium","Low")))</f>
        <v/>
      </c>
    </row>
    <row r="4683">
      <c r="R4683">
        <f>IFERROR(XLOOKUP(XLOOKUP(D4683,tblReleaseChanges[Change_ID],tblReleaseChanges[Oracle_Severity],""),tblSeverityMap[Severity_Text],tblSeverityMap[Score],0),0)</f>
        <v/>
      </c>
      <c r="T4683">
        <f>ROUND((M4683*0.25)+(N4683*0.20)+(O4683*0.15)+(P4683*0.15)+(Q4683*0.10)+(R4683*0.10)+(S4683*0.05),2)</f>
        <v/>
      </c>
      <c r="U4683">
        <f>IF(T4683&gt;=4.25,"Critical",IF(T4683&gt;=3.5,"High",IF(T4683&gt;=2,"Medium","Low")))</f>
        <v/>
      </c>
    </row>
    <row r="4684">
      <c r="R4684">
        <f>IFERROR(XLOOKUP(XLOOKUP(D4684,tblReleaseChanges[Change_ID],tblReleaseChanges[Oracle_Severity],""),tblSeverityMap[Severity_Text],tblSeverityMap[Score],0),0)</f>
        <v/>
      </c>
      <c r="T4684">
        <f>ROUND((M4684*0.25)+(N4684*0.20)+(O4684*0.15)+(P4684*0.15)+(Q4684*0.10)+(R4684*0.10)+(S4684*0.05),2)</f>
        <v/>
      </c>
      <c r="U4684">
        <f>IF(T4684&gt;=4.25,"Critical",IF(T4684&gt;=3.5,"High",IF(T4684&gt;=2,"Medium","Low")))</f>
        <v/>
      </c>
    </row>
    <row r="4685">
      <c r="R4685">
        <f>IFERROR(XLOOKUP(XLOOKUP(D4685,tblReleaseChanges[Change_ID],tblReleaseChanges[Oracle_Severity],""),tblSeverityMap[Severity_Text],tblSeverityMap[Score],0),0)</f>
        <v/>
      </c>
      <c r="T4685">
        <f>ROUND((M4685*0.25)+(N4685*0.20)+(O4685*0.15)+(P4685*0.15)+(Q4685*0.10)+(R4685*0.10)+(S4685*0.05),2)</f>
        <v/>
      </c>
      <c r="U4685">
        <f>IF(T4685&gt;=4.25,"Critical",IF(T4685&gt;=3.5,"High",IF(T4685&gt;=2,"Medium","Low")))</f>
        <v/>
      </c>
    </row>
    <row r="4686">
      <c r="R4686">
        <f>IFERROR(XLOOKUP(XLOOKUP(D4686,tblReleaseChanges[Change_ID],tblReleaseChanges[Oracle_Severity],""),tblSeverityMap[Severity_Text],tblSeverityMap[Score],0),0)</f>
        <v/>
      </c>
      <c r="T4686">
        <f>ROUND((M4686*0.25)+(N4686*0.20)+(O4686*0.15)+(P4686*0.15)+(Q4686*0.10)+(R4686*0.10)+(S4686*0.05),2)</f>
        <v/>
      </c>
      <c r="U4686">
        <f>IF(T4686&gt;=4.25,"Critical",IF(T4686&gt;=3.5,"High",IF(T4686&gt;=2,"Medium","Low")))</f>
        <v/>
      </c>
    </row>
    <row r="4687">
      <c r="R4687">
        <f>IFERROR(XLOOKUP(XLOOKUP(D4687,tblReleaseChanges[Change_ID],tblReleaseChanges[Oracle_Severity],""),tblSeverityMap[Severity_Text],tblSeverityMap[Score],0),0)</f>
        <v/>
      </c>
      <c r="T4687">
        <f>ROUND((M4687*0.25)+(N4687*0.20)+(O4687*0.15)+(P4687*0.15)+(Q4687*0.10)+(R4687*0.10)+(S4687*0.05),2)</f>
        <v/>
      </c>
      <c r="U4687">
        <f>IF(T4687&gt;=4.25,"Critical",IF(T4687&gt;=3.5,"High",IF(T4687&gt;=2,"Medium","Low")))</f>
        <v/>
      </c>
    </row>
    <row r="4688">
      <c r="R4688">
        <f>IFERROR(XLOOKUP(XLOOKUP(D4688,tblReleaseChanges[Change_ID],tblReleaseChanges[Oracle_Severity],""),tblSeverityMap[Severity_Text],tblSeverityMap[Score],0),0)</f>
        <v/>
      </c>
      <c r="T4688">
        <f>ROUND((M4688*0.25)+(N4688*0.20)+(O4688*0.15)+(P4688*0.15)+(Q4688*0.10)+(R4688*0.10)+(S4688*0.05),2)</f>
        <v/>
      </c>
      <c r="U4688">
        <f>IF(T4688&gt;=4.25,"Critical",IF(T4688&gt;=3.5,"High",IF(T4688&gt;=2,"Medium","Low")))</f>
        <v/>
      </c>
    </row>
    <row r="4689">
      <c r="R4689">
        <f>IFERROR(XLOOKUP(XLOOKUP(D4689,tblReleaseChanges[Change_ID],tblReleaseChanges[Oracle_Severity],""),tblSeverityMap[Severity_Text],tblSeverityMap[Score],0),0)</f>
        <v/>
      </c>
      <c r="T4689">
        <f>ROUND((M4689*0.25)+(N4689*0.20)+(O4689*0.15)+(P4689*0.15)+(Q4689*0.10)+(R4689*0.10)+(S4689*0.05),2)</f>
        <v/>
      </c>
      <c r="U4689">
        <f>IF(T4689&gt;=4.25,"Critical",IF(T4689&gt;=3.5,"High",IF(T4689&gt;=2,"Medium","Low")))</f>
        <v/>
      </c>
    </row>
    <row r="4690">
      <c r="R4690">
        <f>IFERROR(XLOOKUP(XLOOKUP(D4690,tblReleaseChanges[Change_ID],tblReleaseChanges[Oracle_Severity],""),tblSeverityMap[Severity_Text],tblSeverityMap[Score],0),0)</f>
        <v/>
      </c>
      <c r="T4690">
        <f>ROUND((M4690*0.25)+(N4690*0.20)+(O4690*0.15)+(P4690*0.15)+(Q4690*0.10)+(R4690*0.10)+(S4690*0.05),2)</f>
        <v/>
      </c>
      <c r="U4690">
        <f>IF(T4690&gt;=4.25,"Critical",IF(T4690&gt;=3.5,"High",IF(T4690&gt;=2,"Medium","Low")))</f>
        <v/>
      </c>
    </row>
    <row r="4691">
      <c r="R4691">
        <f>IFERROR(XLOOKUP(XLOOKUP(D4691,tblReleaseChanges[Change_ID],tblReleaseChanges[Oracle_Severity],""),tblSeverityMap[Severity_Text],tblSeverityMap[Score],0),0)</f>
        <v/>
      </c>
      <c r="T4691">
        <f>ROUND((M4691*0.25)+(N4691*0.20)+(O4691*0.15)+(P4691*0.15)+(Q4691*0.10)+(R4691*0.10)+(S4691*0.05),2)</f>
        <v/>
      </c>
      <c r="U4691">
        <f>IF(T4691&gt;=4.25,"Critical",IF(T4691&gt;=3.5,"High",IF(T4691&gt;=2,"Medium","Low")))</f>
        <v/>
      </c>
    </row>
    <row r="4692">
      <c r="R4692">
        <f>IFERROR(XLOOKUP(XLOOKUP(D4692,tblReleaseChanges[Change_ID],tblReleaseChanges[Oracle_Severity],""),tblSeverityMap[Severity_Text],tblSeverityMap[Score],0),0)</f>
        <v/>
      </c>
      <c r="T4692">
        <f>ROUND((M4692*0.25)+(N4692*0.20)+(O4692*0.15)+(P4692*0.15)+(Q4692*0.10)+(R4692*0.10)+(S4692*0.05),2)</f>
        <v/>
      </c>
      <c r="U4692">
        <f>IF(T4692&gt;=4.25,"Critical",IF(T4692&gt;=3.5,"High",IF(T4692&gt;=2,"Medium","Low")))</f>
        <v/>
      </c>
    </row>
    <row r="4693">
      <c r="R4693">
        <f>IFERROR(XLOOKUP(XLOOKUP(D4693,tblReleaseChanges[Change_ID],tblReleaseChanges[Oracle_Severity],""),tblSeverityMap[Severity_Text],tblSeverityMap[Score],0),0)</f>
        <v/>
      </c>
      <c r="T4693">
        <f>ROUND((M4693*0.25)+(N4693*0.20)+(O4693*0.15)+(P4693*0.15)+(Q4693*0.10)+(R4693*0.10)+(S4693*0.05),2)</f>
        <v/>
      </c>
      <c r="U4693">
        <f>IF(T4693&gt;=4.25,"Critical",IF(T4693&gt;=3.5,"High",IF(T4693&gt;=2,"Medium","Low")))</f>
        <v/>
      </c>
    </row>
    <row r="4694">
      <c r="R4694">
        <f>IFERROR(XLOOKUP(XLOOKUP(D4694,tblReleaseChanges[Change_ID],tblReleaseChanges[Oracle_Severity],""),tblSeverityMap[Severity_Text],tblSeverityMap[Score],0),0)</f>
        <v/>
      </c>
      <c r="T4694">
        <f>ROUND((M4694*0.25)+(N4694*0.20)+(O4694*0.15)+(P4694*0.15)+(Q4694*0.10)+(R4694*0.10)+(S4694*0.05),2)</f>
        <v/>
      </c>
      <c r="U4694">
        <f>IF(T4694&gt;=4.25,"Critical",IF(T4694&gt;=3.5,"High",IF(T4694&gt;=2,"Medium","Low")))</f>
        <v/>
      </c>
    </row>
    <row r="4695">
      <c r="R4695">
        <f>IFERROR(XLOOKUP(XLOOKUP(D4695,tblReleaseChanges[Change_ID],tblReleaseChanges[Oracle_Severity],""),tblSeverityMap[Severity_Text],tblSeverityMap[Score],0),0)</f>
        <v/>
      </c>
      <c r="T4695">
        <f>ROUND((M4695*0.25)+(N4695*0.20)+(O4695*0.15)+(P4695*0.15)+(Q4695*0.10)+(R4695*0.10)+(S4695*0.05),2)</f>
        <v/>
      </c>
      <c r="U4695">
        <f>IF(T4695&gt;=4.25,"Critical",IF(T4695&gt;=3.5,"High",IF(T4695&gt;=2,"Medium","Low")))</f>
        <v/>
      </c>
    </row>
    <row r="4696">
      <c r="R4696">
        <f>IFERROR(XLOOKUP(XLOOKUP(D4696,tblReleaseChanges[Change_ID],tblReleaseChanges[Oracle_Severity],""),tblSeverityMap[Severity_Text],tblSeverityMap[Score],0),0)</f>
        <v/>
      </c>
      <c r="T4696">
        <f>ROUND((M4696*0.25)+(N4696*0.20)+(O4696*0.15)+(P4696*0.15)+(Q4696*0.10)+(R4696*0.10)+(S4696*0.05),2)</f>
        <v/>
      </c>
      <c r="U4696">
        <f>IF(T4696&gt;=4.25,"Critical",IF(T4696&gt;=3.5,"High",IF(T4696&gt;=2,"Medium","Low")))</f>
        <v/>
      </c>
    </row>
    <row r="4697">
      <c r="R4697">
        <f>IFERROR(XLOOKUP(XLOOKUP(D4697,tblReleaseChanges[Change_ID],tblReleaseChanges[Oracle_Severity],""),tblSeverityMap[Severity_Text],tblSeverityMap[Score],0),0)</f>
        <v/>
      </c>
      <c r="T4697">
        <f>ROUND((M4697*0.25)+(N4697*0.20)+(O4697*0.15)+(P4697*0.15)+(Q4697*0.10)+(R4697*0.10)+(S4697*0.05),2)</f>
        <v/>
      </c>
      <c r="U4697">
        <f>IF(T4697&gt;=4.25,"Critical",IF(T4697&gt;=3.5,"High",IF(T4697&gt;=2,"Medium","Low")))</f>
        <v/>
      </c>
    </row>
    <row r="4698">
      <c r="R4698">
        <f>IFERROR(XLOOKUP(XLOOKUP(D4698,tblReleaseChanges[Change_ID],tblReleaseChanges[Oracle_Severity],""),tblSeverityMap[Severity_Text],tblSeverityMap[Score],0),0)</f>
        <v/>
      </c>
      <c r="T4698">
        <f>ROUND((M4698*0.25)+(N4698*0.20)+(O4698*0.15)+(P4698*0.15)+(Q4698*0.10)+(R4698*0.10)+(S4698*0.05),2)</f>
        <v/>
      </c>
      <c r="U4698">
        <f>IF(T4698&gt;=4.25,"Critical",IF(T4698&gt;=3.5,"High",IF(T4698&gt;=2,"Medium","Low")))</f>
        <v/>
      </c>
    </row>
    <row r="4699">
      <c r="R4699">
        <f>IFERROR(XLOOKUP(XLOOKUP(D4699,tblReleaseChanges[Change_ID],tblReleaseChanges[Oracle_Severity],""),tblSeverityMap[Severity_Text],tblSeverityMap[Score],0),0)</f>
        <v/>
      </c>
      <c r="T4699">
        <f>ROUND((M4699*0.25)+(N4699*0.20)+(O4699*0.15)+(P4699*0.15)+(Q4699*0.10)+(R4699*0.10)+(S4699*0.05),2)</f>
        <v/>
      </c>
      <c r="U4699">
        <f>IF(T4699&gt;=4.25,"Critical",IF(T4699&gt;=3.5,"High",IF(T4699&gt;=2,"Medium","Low")))</f>
        <v/>
      </c>
    </row>
    <row r="4700">
      <c r="R4700">
        <f>IFERROR(XLOOKUP(XLOOKUP(D4700,tblReleaseChanges[Change_ID],tblReleaseChanges[Oracle_Severity],""),tblSeverityMap[Severity_Text],tblSeverityMap[Score],0),0)</f>
        <v/>
      </c>
      <c r="T4700">
        <f>ROUND((M4700*0.25)+(N4700*0.20)+(O4700*0.15)+(P4700*0.15)+(Q4700*0.10)+(R4700*0.10)+(S4700*0.05),2)</f>
        <v/>
      </c>
      <c r="U4700">
        <f>IF(T4700&gt;=4.25,"Critical",IF(T4700&gt;=3.5,"High",IF(T4700&gt;=2,"Medium","Low")))</f>
        <v/>
      </c>
    </row>
    <row r="4701">
      <c r="R4701">
        <f>IFERROR(XLOOKUP(XLOOKUP(D4701,tblReleaseChanges[Change_ID],tblReleaseChanges[Oracle_Severity],""),tblSeverityMap[Severity_Text],tblSeverityMap[Score],0),0)</f>
        <v/>
      </c>
      <c r="T4701">
        <f>ROUND((M4701*0.25)+(N4701*0.20)+(O4701*0.15)+(P4701*0.15)+(Q4701*0.10)+(R4701*0.10)+(S4701*0.05),2)</f>
        <v/>
      </c>
      <c r="U4701">
        <f>IF(T4701&gt;=4.25,"Critical",IF(T4701&gt;=3.5,"High",IF(T4701&gt;=2,"Medium","Low")))</f>
        <v/>
      </c>
    </row>
    <row r="4702">
      <c r="R4702">
        <f>IFERROR(XLOOKUP(XLOOKUP(D4702,tblReleaseChanges[Change_ID],tblReleaseChanges[Oracle_Severity],""),tblSeverityMap[Severity_Text],tblSeverityMap[Score],0),0)</f>
        <v/>
      </c>
      <c r="T4702">
        <f>ROUND((M4702*0.25)+(N4702*0.20)+(O4702*0.15)+(P4702*0.15)+(Q4702*0.10)+(R4702*0.10)+(S4702*0.05),2)</f>
        <v/>
      </c>
      <c r="U4702">
        <f>IF(T4702&gt;=4.25,"Critical",IF(T4702&gt;=3.5,"High",IF(T4702&gt;=2,"Medium","Low")))</f>
        <v/>
      </c>
    </row>
    <row r="4703">
      <c r="R4703">
        <f>IFERROR(XLOOKUP(XLOOKUP(D4703,tblReleaseChanges[Change_ID],tblReleaseChanges[Oracle_Severity],""),tblSeverityMap[Severity_Text],tblSeverityMap[Score],0),0)</f>
        <v/>
      </c>
      <c r="T4703">
        <f>ROUND((M4703*0.25)+(N4703*0.20)+(O4703*0.15)+(P4703*0.15)+(Q4703*0.10)+(R4703*0.10)+(S4703*0.05),2)</f>
        <v/>
      </c>
      <c r="U4703">
        <f>IF(T4703&gt;=4.25,"Critical",IF(T4703&gt;=3.5,"High",IF(T4703&gt;=2,"Medium","Low")))</f>
        <v/>
      </c>
    </row>
    <row r="4704">
      <c r="R4704">
        <f>IFERROR(XLOOKUP(XLOOKUP(D4704,tblReleaseChanges[Change_ID],tblReleaseChanges[Oracle_Severity],""),tblSeverityMap[Severity_Text],tblSeverityMap[Score],0),0)</f>
        <v/>
      </c>
      <c r="T4704">
        <f>ROUND((M4704*0.25)+(N4704*0.20)+(O4704*0.15)+(P4704*0.15)+(Q4704*0.10)+(R4704*0.10)+(S4704*0.05),2)</f>
        <v/>
      </c>
      <c r="U4704">
        <f>IF(T4704&gt;=4.25,"Critical",IF(T4704&gt;=3.5,"High",IF(T4704&gt;=2,"Medium","Low")))</f>
        <v/>
      </c>
    </row>
    <row r="4705">
      <c r="R4705">
        <f>IFERROR(XLOOKUP(XLOOKUP(D4705,tblReleaseChanges[Change_ID],tblReleaseChanges[Oracle_Severity],""),tblSeverityMap[Severity_Text],tblSeverityMap[Score],0),0)</f>
        <v/>
      </c>
      <c r="T4705">
        <f>ROUND((M4705*0.25)+(N4705*0.20)+(O4705*0.15)+(P4705*0.15)+(Q4705*0.10)+(R4705*0.10)+(S4705*0.05),2)</f>
        <v/>
      </c>
      <c r="U4705">
        <f>IF(T4705&gt;=4.25,"Critical",IF(T4705&gt;=3.5,"High",IF(T4705&gt;=2,"Medium","Low")))</f>
        <v/>
      </c>
    </row>
    <row r="4706">
      <c r="R4706">
        <f>IFERROR(XLOOKUP(XLOOKUP(D4706,tblReleaseChanges[Change_ID],tblReleaseChanges[Oracle_Severity],""),tblSeverityMap[Severity_Text],tblSeverityMap[Score],0),0)</f>
        <v/>
      </c>
      <c r="T4706">
        <f>ROUND((M4706*0.25)+(N4706*0.20)+(O4706*0.15)+(P4706*0.15)+(Q4706*0.10)+(R4706*0.10)+(S4706*0.05),2)</f>
        <v/>
      </c>
      <c r="U4706">
        <f>IF(T4706&gt;=4.25,"Critical",IF(T4706&gt;=3.5,"High",IF(T4706&gt;=2,"Medium","Low")))</f>
        <v/>
      </c>
    </row>
    <row r="4707">
      <c r="R4707">
        <f>IFERROR(XLOOKUP(XLOOKUP(D4707,tblReleaseChanges[Change_ID],tblReleaseChanges[Oracle_Severity],""),tblSeverityMap[Severity_Text],tblSeverityMap[Score],0),0)</f>
        <v/>
      </c>
      <c r="T4707">
        <f>ROUND((M4707*0.25)+(N4707*0.20)+(O4707*0.15)+(P4707*0.15)+(Q4707*0.10)+(R4707*0.10)+(S4707*0.05),2)</f>
        <v/>
      </c>
      <c r="U4707">
        <f>IF(T4707&gt;=4.25,"Critical",IF(T4707&gt;=3.5,"High",IF(T4707&gt;=2,"Medium","Low")))</f>
        <v/>
      </c>
    </row>
    <row r="4708">
      <c r="R4708">
        <f>IFERROR(XLOOKUP(XLOOKUP(D4708,tblReleaseChanges[Change_ID],tblReleaseChanges[Oracle_Severity],""),tblSeverityMap[Severity_Text],tblSeverityMap[Score],0),0)</f>
        <v/>
      </c>
      <c r="T4708">
        <f>ROUND((M4708*0.25)+(N4708*0.20)+(O4708*0.15)+(P4708*0.15)+(Q4708*0.10)+(R4708*0.10)+(S4708*0.05),2)</f>
        <v/>
      </c>
      <c r="U4708">
        <f>IF(T4708&gt;=4.25,"Critical",IF(T4708&gt;=3.5,"High",IF(T4708&gt;=2,"Medium","Low")))</f>
        <v/>
      </c>
    </row>
    <row r="4709">
      <c r="R4709">
        <f>IFERROR(XLOOKUP(XLOOKUP(D4709,tblReleaseChanges[Change_ID],tblReleaseChanges[Oracle_Severity],""),tblSeverityMap[Severity_Text],tblSeverityMap[Score],0),0)</f>
        <v/>
      </c>
      <c r="T4709">
        <f>ROUND((M4709*0.25)+(N4709*0.20)+(O4709*0.15)+(P4709*0.15)+(Q4709*0.10)+(R4709*0.10)+(S4709*0.05),2)</f>
        <v/>
      </c>
      <c r="U4709">
        <f>IF(T4709&gt;=4.25,"Critical",IF(T4709&gt;=3.5,"High",IF(T4709&gt;=2,"Medium","Low")))</f>
        <v/>
      </c>
    </row>
    <row r="4710">
      <c r="R4710">
        <f>IFERROR(XLOOKUP(XLOOKUP(D4710,tblReleaseChanges[Change_ID],tblReleaseChanges[Oracle_Severity],""),tblSeverityMap[Severity_Text],tblSeverityMap[Score],0),0)</f>
        <v/>
      </c>
      <c r="T4710">
        <f>ROUND((M4710*0.25)+(N4710*0.20)+(O4710*0.15)+(P4710*0.15)+(Q4710*0.10)+(R4710*0.10)+(S4710*0.05),2)</f>
        <v/>
      </c>
      <c r="U4710">
        <f>IF(T4710&gt;=4.25,"Critical",IF(T4710&gt;=3.5,"High",IF(T4710&gt;=2,"Medium","Low")))</f>
        <v/>
      </c>
    </row>
    <row r="4711">
      <c r="R4711">
        <f>IFERROR(XLOOKUP(XLOOKUP(D4711,tblReleaseChanges[Change_ID],tblReleaseChanges[Oracle_Severity],""),tblSeverityMap[Severity_Text],tblSeverityMap[Score],0),0)</f>
        <v/>
      </c>
      <c r="T4711">
        <f>ROUND((M4711*0.25)+(N4711*0.20)+(O4711*0.15)+(P4711*0.15)+(Q4711*0.10)+(R4711*0.10)+(S4711*0.05),2)</f>
        <v/>
      </c>
      <c r="U4711">
        <f>IF(T4711&gt;=4.25,"Critical",IF(T4711&gt;=3.5,"High",IF(T4711&gt;=2,"Medium","Low")))</f>
        <v/>
      </c>
    </row>
    <row r="4712">
      <c r="R4712">
        <f>IFERROR(XLOOKUP(XLOOKUP(D4712,tblReleaseChanges[Change_ID],tblReleaseChanges[Oracle_Severity],""),tblSeverityMap[Severity_Text],tblSeverityMap[Score],0),0)</f>
        <v/>
      </c>
      <c r="T4712">
        <f>ROUND((M4712*0.25)+(N4712*0.20)+(O4712*0.15)+(P4712*0.15)+(Q4712*0.10)+(R4712*0.10)+(S4712*0.05),2)</f>
        <v/>
      </c>
      <c r="U4712">
        <f>IF(T4712&gt;=4.25,"Critical",IF(T4712&gt;=3.5,"High",IF(T4712&gt;=2,"Medium","Low")))</f>
        <v/>
      </c>
    </row>
    <row r="4713">
      <c r="R4713">
        <f>IFERROR(XLOOKUP(XLOOKUP(D4713,tblReleaseChanges[Change_ID],tblReleaseChanges[Oracle_Severity],""),tblSeverityMap[Severity_Text],tblSeverityMap[Score],0),0)</f>
        <v/>
      </c>
      <c r="T4713">
        <f>ROUND((M4713*0.25)+(N4713*0.20)+(O4713*0.15)+(P4713*0.15)+(Q4713*0.10)+(R4713*0.10)+(S4713*0.05),2)</f>
        <v/>
      </c>
      <c r="U4713">
        <f>IF(T4713&gt;=4.25,"Critical",IF(T4713&gt;=3.5,"High",IF(T4713&gt;=2,"Medium","Low")))</f>
        <v/>
      </c>
    </row>
    <row r="4714">
      <c r="R4714">
        <f>IFERROR(XLOOKUP(XLOOKUP(D4714,tblReleaseChanges[Change_ID],tblReleaseChanges[Oracle_Severity],""),tblSeverityMap[Severity_Text],tblSeverityMap[Score],0),0)</f>
        <v/>
      </c>
      <c r="T4714">
        <f>ROUND((M4714*0.25)+(N4714*0.20)+(O4714*0.15)+(P4714*0.15)+(Q4714*0.10)+(R4714*0.10)+(S4714*0.05),2)</f>
        <v/>
      </c>
      <c r="U4714">
        <f>IF(T4714&gt;=4.25,"Critical",IF(T4714&gt;=3.5,"High",IF(T4714&gt;=2,"Medium","Low")))</f>
        <v/>
      </c>
    </row>
    <row r="4715">
      <c r="R4715">
        <f>IFERROR(XLOOKUP(XLOOKUP(D4715,tblReleaseChanges[Change_ID],tblReleaseChanges[Oracle_Severity],""),tblSeverityMap[Severity_Text],tblSeverityMap[Score],0),0)</f>
        <v/>
      </c>
      <c r="T4715">
        <f>ROUND((M4715*0.25)+(N4715*0.20)+(O4715*0.15)+(P4715*0.15)+(Q4715*0.10)+(R4715*0.10)+(S4715*0.05),2)</f>
        <v/>
      </c>
      <c r="U4715">
        <f>IF(T4715&gt;=4.25,"Critical",IF(T4715&gt;=3.5,"High",IF(T4715&gt;=2,"Medium","Low")))</f>
        <v/>
      </c>
    </row>
    <row r="4716">
      <c r="R4716">
        <f>IFERROR(XLOOKUP(XLOOKUP(D4716,tblReleaseChanges[Change_ID],tblReleaseChanges[Oracle_Severity],""),tblSeverityMap[Severity_Text],tblSeverityMap[Score],0),0)</f>
        <v/>
      </c>
      <c r="T4716">
        <f>ROUND((M4716*0.25)+(N4716*0.20)+(O4716*0.15)+(P4716*0.15)+(Q4716*0.10)+(R4716*0.10)+(S4716*0.05),2)</f>
        <v/>
      </c>
      <c r="U4716">
        <f>IF(T4716&gt;=4.25,"Critical",IF(T4716&gt;=3.5,"High",IF(T4716&gt;=2,"Medium","Low")))</f>
        <v/>
      </c>
    </row>
    <row r="4717">
      <c r="R4717">
        <f>IFERROR(XLOOKUP(XLOOKUP(D4717,tblReleaseChanges[Change_ID],tblReleaseChanges[Oracle_Severity],""),tblSeverityMap[Severity_Text],tblSeverityMap[Score],0),0)</f>
        <v/>
      </c>
      <c r="T4717">
        <f>ROUND((M4717*0.25)+(N4717*0.20)+(O4717*0.15)+(P4717*0.15)+(Q4717*0.10)+(R4717*0.10)+(S4717*0.05),2)</f>
        <v/>
      </c>
      <c r="U4717">
        <f>IF(T4717&gt;=4.25,"Critical",IF(T4717&gt;=3.5,"High",IF(T4717&gt;=2,"Medium","Low")))</f>
        <v/>
      </c>
    </row>
    <row r="4718">
      <c r="R4718">
        <f>IFERROR(XLOOKUP(XLOOKUP(D4718,tblReleaseChanges[Change_ID],tblReleaseChanges[Oracle_Severity],""),tblSeverityMap[Severity_Text],tblSeverityMap[Score],0),0)</f>
        <v/>
      </c>
      <c r="T4718">
        <f>ROUND((M4718*0.25)+(N4718*0.20)+(O4718*0.15)+(P4718*0.15)+(Q4718*0.10)+(R4718*0.10)+(S4718*0.05),2)</f>
        <v/>
      </c>
      <c r="U4718">
        <f>IF(T4718&gt;=4.25,"Critical",IF(T4718&gt;=3.5,"High",IF(T4718&gt;=2,"Medium","Low")))</f>
        <v/>
      </c>
    </row>
    <row r="4719">
      <c r="R4719">
        <f>IFERROR(XLOOKUP(XLOOKUP(D4719,tblReleaseChanges[Change_ID],tblReleaseChanges[Oracle_Severity],""),tblSeverityMap[Severity_Text],tblSeverityMap[Score],0),0)</f>
        <v/>
      </c>
      <c r="T4719">
        <f>ROUND((M4719*0.25)+(N4719*0.20)+(O4719*0.15)+(P4719*0.15)+(Q4719*0.10)+(R4719*0.10)+(S4719*0.05),2)</f>
        <v/>
      </c>
      <c r="U4719">
        <f>IF(T4719&gt;=4.25,"Critical",IF(T4719&gt;=3.5,"High",IF(T4719&gt;=2,"Medium","Low")))</f>
        <v/>
      </c>
    </row>
    <row r="4720">
      <c r="R4720">
        <f>IFERROR(XLOOKUP(XLOOKUP(D4720,tblReleaseChanges[Change_ID],tblReleaseChanges[Oracle_Severity],""),tblSeverityMap[Severity_Text],tblSeverityMap[Score],0),0)</f>
        <v/>
      </c>
      <c r="T4720">
        <f>ROUND((M4720*0.25)+(N4720*0.20)+(O4720*0.15)+(P4720*0.15)+(Q4720*0.10)+(R4720*0.10)+(S4720*0.05),2)</f>
        <v/>
      </c>
      <c r="U4720">
        <f>IF(T4720&gt;=4.25,"Critical",IF(T4720&gt;=3.5,"High",IF(T4720&gt;=2,"Medium","Low")))</f>
        <v/>
      </c>
    </row>
    <row r="4721">
      <c r="R4721">
        <f>IFERROR(XLOOKUP(XLOOKUP(D4721,tblReleaseChanges[Change_ID],tblReleaseChanges[Oracle_Severity],""),tblSeverityMap[Severity_Text],tblSeverityMap[Score],0),0)</f>
        <v/>
      </c>
      <c r="T4721">
        <f>ROUND((M4721*0.25)+(N4721*0.20)+(O4721*0.15)+(P4721*0.15)+(Q4721*0.10)+(R4721*0.10)+(S4721*0.05),2)</f>
        <v/>
      </c>
      <c r="U4721">
        <f>IF(T4721&gt;=4.25,"Critical",IF(T4721&gt;=3.5,"High",IF(T4721&gt;=2,"Medium","Low")))</f>
        <v/>
      </c>
    </row>
    <row r="4722">
      <c r="R4722">
        <f>IFERROR(XLOOKUP(XLOOKUP(D4722,tblReleaseChanges[Change_ID],tblReleaseChanges[Oracle_Severity],""),tblSeverityMap[Severity_Text],tblSeverityMap[Score],0),0)</f>
        <v/>
      </c>
      <c r="T4722">
        <f>ROUND((M4722*0.25)+(N4722*0.20)+(O4722*0.15)+(P4722*0.15)+(Q4722*0.10)+(R4722*0.10)+(S4722*0.05),2)</f>
        <v/>
      </c>
      <c r="U4722">
        <f>IF(T4722&gt;=4.25,"Critical",IF(T4722&gt;=3.5,"High",IF(T4722&gt;=2,"Medium","Low")))</f>
        <v/>
      </c>
    </row>
    <row r="4723">
      <c r="R4723">
        <f>IFERROR(XLOOKUP(XLOOKUP(D4723,tblReleaseChanges[Change_ID],tblReleaseChanges[Oracle_Severity],""),tblSeverityMap[Severity_Text],tblSeverityMap[Score],0),0)</f>
        <v/>
      </c>
      <c r="T4723">
        <f>ROUND((M4723*0.25)+(N4723*0.20)+(O4723*0.15)+(P4723*0.15)+(Q4723*0.10)+(R4723*0.10)+(S4723*0.05),2)</f>
        <v/>
      </c>
      <c r="U4723">
        <f>IF(T4723&gt;=4.25,"Critical",IF(T4723&gt;=3.5,"High",IF(T4723&gt;=2,"Medium","Low")))</f>
        <v/>
      </c>
    </row>
    <row r="4724">
      <c r="R4724">
        <f>IFERROR(XLOOKUP(XLOOKUP(D4724,tblReleaseChanges[Change_ID],tblReleaseChanges[Oracle_Severity],""),tblSeverityMap[Severity_Text],tblSeverityMap[Score],0),0)</f>
        <v/>
      </c>
      <c r="T4724">
        <f>ROUND((M4724*0.25)+(N4724*0.20)+(O4724*0.15)+(P4724*0.15)+(Q4724*0.10)+(R4724*0.10)+(S4724*0.05),2)</f>
        <v/>
      </c>
      <c r="U4724">
        <f>IF(T4724&gt;=4.25,"Critical",IF(T4724&gt;=3.5,"High",IF(T4724&gt;=2,"Medium","Low")))</f>
        <v/>
      </c>
    </row>
    <row r="4725">
      <c r="R4725">
        <f>IFERROR(XLOOKUP(XLOOKUP(D4725,tblReleaseChanges[Change_ID],tblReleaseChanges[Oracle_Severity],""),tblSeverityMap[Severity_Text],tblSeverityMap[Score],0),0)</f>
        <v/>
      </c>
      <c r="T4725">
        <f>ROUND((M4725*0.25)+(N4725*0.20)+(O4725*0.15)+(P4725*0.15)+(Q4725*0.10)+(R4725*0.10)+(S4725*0.05),2)</f>
        <v/>
      </c>
      <c r="U4725">
        <f>IF(T4725&gt;=4.25,"Critical",IF(T4725&gt;=3.5,"High",IF(T4725&gt;=2,"Medium","Low")))</f>
        <v/>
      </c>
    </row>
    <row r="4726">
      <c r="R4726">
        <f>IFERROR(XLOOKUP(XLOOKUP(D4726,tblReleaseChanges[Change_ID],tblReleaseChanges[Oracle_Severity],""),tblSeverityMap[Severity_Text],tblSeverityMap[Score],0),0)</f>
        <v/>
      </c>
      <c r="T4726">
        <f>ROUND((M4726*0.25)+(N4726*0.20)+(O4726*0.15)+(P4726*0.15)+(Q4726*0.10)+(R4726*0.10)+(S4726*0.05),2)</f>
        <v/>
      </c>
      <c r="U4726">
        <f>IF(T4726&gt;=4.25,"Critical",IF(T4726&gt;=3.5,"High",IF(T4726&gt;=2,"Medium","Low")))</f>
        <v/>
      </c>
    </row>
    <row r="4727">
      <c r="R4727">
        <f>IFERROR(XLOOKUP(XLOOKUP(D4727,tblReleaseChanges[Change_ID],tblReleaseChanges[Oracle_Severity],""),tblSeverityMap[Severity_Text],tblSeverityMap[Score],0),0)</f>
        <v/>
      </c>
      <c r="T4727">
        <f>ROUND((M4727*0.25)+(N4727*0.20)+(O4727*0.15)+(P4727*0.15)+(Q4727*0.10)+(R4727*0.10)+(S4727*0.05),2)</f>
        <v/>
      </c>
      <c r="U4727">
        <f>IF(T4727&gt;=4.25,"Critical",IF(T4727&gt;=3.5,"High",IF(T4727&gt;=2,"Medium","Low")))</f>
        <v/>
      </c>
    </row>
    <row r="4728">
      <c r="R4728">
        <f>IFERROR(XLOOKUP(XLOOKUP(D4728,tblReleaseChanges[Change_ID],tblReleaseChanges[Oracle_Severity],""),tblSeverityMap[Severity_Text],tblSeverityMap[Score],0),0)</f>
        <v/>
      </c>
      <c r="T4728">
        <f>ROUND((M4728*0.25)+(N4728*0.20)+(O4728*0.15)+(P4728*0.15)+(Q4728*0.10)+(R4728*0.10)+(S4728*0.05),2)</f>
        <v/>
      </c>
      <c r="U4728">
        <f>IF(T4728&gt;=4.25,"Critical",IF(T4728&gt;=3.5,"High",IF(T4728&gt;=2,"Medium","Low")))</f>
        <v/>
      </c>
    </row>
    <row r="4729">
      <c r="R4729">
        <f>IFERROR(XLOOKUP(XLOOKUP(D4729,tblReleaseChanges[Change_ID],tblReleaseChanges[Oracle_Severity],""),tblSeverityMap[Severity_Text],tblSeverityMap[Score],0),0)</f>
        <v/>
      </c>
      <c r="T4729">
        <f>ROUND((M4729*0.25)+(N4729*0.20)+(O4729*0.15)+(P4729*0.15)+(Q4729*0.10)+(R4729*0.10)+(S4729*0.05),2)</f>
        <v/>
      </c>
      <c r="U4729">
        <f>IF(T4729&gt;=4.25,"Critical",IF(T4729&gt;=3.5,"High",IF(T4729&gt;=2,"Medium","Low")))</f>
        <v/>
      </c>
    </row>
    <row r="4730">
      <c r="R4730">
        <f>IFERROR(XLOOKUP(XLOOKUP(D4730,tblReleaseChanges[Change_ID],tblReleaseChanges[Oracle_Severity],""),tblSeverityMap[Severity_Text],tblSeverityMap[Score],0),0)</f>
        <v/>
      </c>
      <c r="T4730">
        <f>ROUND((M4730*0.25)+(N4730*0.20)+(O4730*0.15)+(P4730*0.15)+(Q4730*0.10)+(R4730*0.10)+(S4730*0.05),2)</f>
        <v/>
      </c>
      <c r="U4730">
        <f>IF(T4730&gt;=4.25,"Critical",IF(T4730&gt;=3.5,"High",IF(T4730&gt;=2,"Medium","Low")))</f>
        <v/>
      </c>
    </row>
    <row r="4731">
      <c r="R4731">
        <f>IFERROR(XLOOKUP(XLOOKUP(D4731,tblReleaseChanges[Change_ID],tblReleaseChanges[Oracle_Severity],""),tblSeverityMap[Severity_Text],tblSeverityMap[Score],0),0)</f>
        <v/>
      </c>
      <c r="T4731">
        <f>ROUND((M4731*0.25)+(N4731*0.20)+(O4731*0.15)+(P4731*0.15)+(Q4731*0.10)+(R4731*0.10)+(S4731*0.05),2)</f>
        <v/>
      </c>
      <c r="U4731">
        <f>IF(T4731&gt;=4.25,"Critical",IF(T4731&gt;=3.5,"High",IF(T4731&gt;=2,"Medium","Low")))</f>
        <v/>
      </c>
    </row>
    <row r="4732">
      <c r="R4732">
        <f>IFERROR(XLOOKUP(XLOOKUP(D4732,tblReleaseChanges[Change_ID],tblReleaseChanges[Oracle_Severity],""),tblSeverityMap[Severity_Text],tblSeverityMap[Score],0),0)</f>
        <v/>
      </c>
      <c r="T4732">
        <f>ROUND((M4732*0.25)+(N4732*0.20)+(O4732*0.15)+(P4732*0.15)+(Q4732*0.10)+(R4732*0.10)+(S4732*0.05),2)</f>
        <v/>
      </c>
      <c r="U4732">
        <f>IF(T4732&gt;=4.25,"Critical",IF(T4732&gt;=3.5,"High",IF(T4732&gt;=2,"Medium","Low")))</f>
        <v/>
      </c>
    </row>
    <row r="4733">
      <c r="R4733">
        <f>IFERROR(XLOOKUP(XLOOKUP(D4733,tblReleaseChanges[Change_ID],tblReleaseChanges[Oracle_Severity],""),tblSeverityMap[Severity_Text],tblSeverityMap[Score],0),0)</f>
        <v/>
      </c>
      <c r="T4733">
        <f>ROUND((M4733*0.25)+(N4733*0.20)+(O4733*0.15)+(P4733*0.15)+(Q4733*0.10)+(R4733*0.10)+(S4733*0.05),2)</f>
        <v/>
      </c>
      <c r="U4733">
        <f>IF(T4733&gt;=4.25,"Critical",IF(T4733&gt;=3.5,"High",IF(T4733&gt;=2,"Medium","Low")))</f>
        <v/>
      </c>
    </row>
    <row r="4734">
      <c r="R4734">
        <f>IFERROR(XLOOKUP(XLOOKUP(D4734,tblReleaseChanges[Change_ID],tblReleaseChanges[Oracle_Severity],""),tblSeverityMap[Severity_Text],tblSeverityMap[Score],0),0)</f>
        <v/>
      </c>
      <c r="T4734">
        <f>ROUND((M4734*0.25)+(N4734*0.20)+(O4734*0.15)+(P4734*0.15)+(Q4734*0.10)+(R4734*0.10)+(S4734*0.05),2)</f>
        <v/>
      </c>
      <c r="U4734">
        <f>IF(T4734&gt;=4.25,"Critical",IF(T4734&gt;=3.5,"High",IF(T4734&gt;=2,"Medium","Low")))</f>
        <v/>
      </c>
    </row>
    <row r="4735">
      <c r="R4735">
        <f>IFERROR(XLOOKUP(XLOOKUP(D4735,tblReleaseChanges[Change_ID],tblReleaseChanges[Oracle_Severity],""),tblSeverityMap[Severity_Text],tblSeverityMap[Score],0),0)</f>
        <v/>
      </c>
      <c r="T4735">
        <f>ROUND((M4735*0.25)+(N4735*0.20)+(O4735*0.15)+(P4735*0.15)+(Q4735*0.10)+(R4735*0.10)+(S4735*0.05),2)</f>
        <v/>
      </c>
      <c r="U4735">
        <f>IF(T4735&gt;=4.25,"Critical",IF(T4735&gt;=3.5,"High",IF(T4735&gt;=2,"Medium","Low")))</f>
        <v/>
      </c>
    </row>
    <row r="4736">
      <c r="R4736">
        <f>IFERROR(XLOOKUP(XLOOKUP(D4736,tblReleaseChanges[Change_ID],tblReleaseChanges[Oracle_Severity],""),tblSeverityMap[Severity_Text],tblSeverityMap[Score],0),0)</f>
        <v/>
      </c>
      <c r="T4736">
        <f>ROUND((M4736*0.25)+(N4736*0.20)+(O4736*0.15)+(P4736*0.15)+(Q4736*0.10)+(R4736*0.10)+(S4736*0.05),2)</f>
        <v/>
      </c>
      <c r="U4736">
        <f>IF(T4736&gt;=4.25,"Critical",IF(T4736&gt;=3.5,"High",IF(T4736&gt;=2,"Medium","Low")))</f>
        <v/>
      </c>
    </row>
    <row r="4737">
      <c r="R4737">
        <f>IFERROR(XLOOKUP(XLOOKUP(D4737,tblReleaseChanges[Change_ID],tblReleaseChanges[Oracle_Severity],""),tblSeverityMap[Severity_Text],tblSeverityMap[Score],0),0)</f>
        <v/>
      </c>
      <c r="T4737">
        <f>ROUND((M4737*0.25)+(N4737*0.20)+(O4737*0.15)+(P4737*0.15)+(Q4737*0.10)+(R4737*0.10)+(S4737*0.05),2)</f>
        <v/>
      </c>
      <c r="U4737">
        <f>IF(T4737&gt;=4.25,"Critical",IF(T4737&gt;=3.5,"High",IF(T4737&gt;=2,"Medium","Low")))</f>
        <v/>
      </c>
    </row>
    <row r="4738">
      <c r="R4738">
        <f>IFERROR(XLOOKUP(XLOOKUP(D4738,tblReleaseChanges[Change_ID],tblReleaseChanges[Oracle_Severity],""),tblSeverityMap[Severity_Text],tblSeverityMap[Score],0),0)</f>
        <v/>
      </c>
      <c r="T4738">
        <f>ROUND((M4738*0.25)+(N4738*0.20)+(O4738*0.15)+(P4738*0.15)+(Q4738*0.10)+(R4738*0.10)+(S4738*0.05),2)</f>
        <v/>
      </c>
      <c r="U4738">
        <f>IF(T4738&gt;=4.25,"Critical",IF(T4738&gt;=3.5,"High",IF(T4738&gt;=2,"Medium","Low")))</f>
        <v/>
      </c>
    </row>
    <row r="4739">
      <c r="R4739">
        <f>IFERROR(XLOOKUP(XLOOKUP(D4739,tblReleaseChanges[Change_ID],tblReleaseChanges[Oracle_Severity],""),tblSeverityMap[Severity_Text],tblSeverityMap[Score],0),0)</f>
        <v/>
      </c>
      <c r="T4739">
        <f>ROUND((M4739*0.25)+(N4739*0.20)+(O4739*0.15)+(P4739*0.15)+(Q4739*0.10)+(R4739*0.10)+(S4739*0.05),2)</f>
        <v/>
      </c>
      <c r="U4739">
        <f>IF(T4739&gt;=4.25,"Critical",IF(T4739&gt;=3.5,"High",IF(T4739&gt;=2,"Medium","Low")))</f>
        <v/>
      </c>
    </row>
    <row r="4740">
      <c r="R4740">
        <f>IFERROR(XLOOKUP(XLOOKUP(D4740,tblReleaseChanges[Change_ID],tblReleaseChanges[Oracle_Severity],""),tblSeverityMap[Severity_Text],tblSeverityMap[Score],0),0)</f>
        <v/>
      </c>
      <c r="T4740">
        <f>ROUND((M4740*0.25)+(N4740*0.20)+(O4740*0.15)+(P4740*0.15)+(Q4740*0.10)+(R4740*0.10)+(S4740*0.05),2)</f>
        <v/>
      </c>
      <c r="U4740">
        <f>IF(T4740&gt;=4.25,"Critical",IF(T4740&gt;=3.5,"High",IF(T4740&gt;=2,"Medium","Low")))</f>
        <v/>
      </c>
    </row>
    <row r="4741">
      <c r="R4741">
        <f>IFERROR(XLOOKUP(XLOOKUP(D4741,tblReleaseChanges[Change_ID],tblReleaseChanges[Oracle_Severity],""),tblSeverityMap[Severity_Text],tblSeverityMap[Score],0),0)</f>
        <v/>
      </c>
      <c r="T4741">
        <f>ROUND((M4741*0.25)+(N4741*0.20)+(O4741*0.15)+(P4741*0.15)+(Q4741*0.10)+(R4741*0.10)+(S4741*0.05),2)</f>
        <v/>
      </c>
      <c r="U4741">
        <f>IF(T4741&gt;=4.25,"Critical",IF(T4741&gt;=3.5,"High",IF(T4741&gt;=2,"Medium","Low")))</f>
        <v/>
      </c>
    </row>
    <row r="4742">
      <c r="R4742">
        <f>IFERROR(XLOOKUP(XLOOKUP(D4742,tblReleaseChanges[Change_ID],tblReleaseChanges[Oracle_Severity],""),tblSeverityMap[Severity_Text],tblSeverityMap[Score],0),0)</f>
        <v/>
      </c>
      <c r="T4742">
        <f>ROUND((M4742*0.25)+(N4742*0.20)+(O4742*0.15)+(P4742*0.15)+(Q4742*0.10)+(R4742*0.10)+(S4742*0.05),2)</f>
        <v/>
      </c>
      <c r="U4742">
        <f>IF(T4742&gt;=4.25,"Critical",IF(T4742&gt;=3.5,"High",IF(T4742&gt;=2,"Medium","Low")))</f>
        <v/>
      </c>
    </row>
    <row r="4743">
      <c r="R4743">
        <f>IFERROR(XLOOKUP(XLOOKUP(D4743,tblReleaseChanges[Change_ID],tblReleaseChanges[Oracle_Severity],""),tblSeverityMap[Severity_Text],tblSeverityMap[Score],0),0)</f>
        <v/>
      </c>
      <c r="T4743">
        <f>ROUND((M4743*0.25)+(N4743*0.20)+(O4743*0.15)+(P4743*0.15)+(Q4743*0.10)+(R4743*0.10)+(S4743*0.05),2)</f>
        <v/>
      </c>
      <c r="U4743">
        <f>IF(T4743&gt;=4.25,"Critical",IF(T4743&gt;=3.5,"High",IF(T4743&gt;=2,"Medium","Low")))</f>
        <v/>
      </c>
    </row>
    <row r="4744">
      <c r="R4744">
        <f>IFERROR(XLOOKUP(XLOOKUP(D4744,tblReleaseChanges[Change_ID],tblReleaseChanges[Oracle_Severity],""),tblSeverityMap[Severity_Text],tblSeverityMap[Score],0),0)</f>
        <v/>
      </c>
      <c r="T4744">
        <f>ROUND((M4744*0.25)+(N4744*0.20)+(O4744*0.15)+(P4744*0.15)+(Q4744*0.10)+(R4744*0.10)+(S4744*0.05),2)</f>
        <v/>
      </c>
      <c r="U4744">
        <f>IF(T4744&gt;=4.25,"Critical",IF(T4744&gt;=3.5,"High",IF(T4744&gt;=2,"Medium","Low")))</f>
        <v/>
      </c>
    </row>
    <row r="4745">
      <c r="R4745">
        <f>IFERROR(XLOOKUP(XLOOKUP(D4745,tblReleaseChanges[Change_ID],tblReleaseChanges[Oracle_Severity],""),tblSeverityMap[Severity_Text],tblSeverityMap[Score],0),0)</f>
        <v/>
      </c>
      <c r="T4745">
        <f>ROUND((M4745*0.25)+(N4745*0.20)+(O4745*0.15)+(P4745*0.15)+(Q4745*0.10)+(R4745*0.10)+(S4745*0.05),2)</f>
        <v/>
      </c>
      <c r="U4745">
        <f>IF(T4745&gt;=4.25,"Critical",IF(T4745&gt;=3.5,"High",IF(T4745&gt;=2,"Medium","Low")))</f>
        <v/>
      </c>
    </row>
    <row r="4746">
      <c r="R4746">
        <f>IFERROR(XLOOKUP(XLOOKUP(D4746,tblReleaseChanges[Change_ID],tblReleaseChanges[Oracle_Severity],""),tblSeverityMap[Severity_Text],tblSeverityMap[Score],0),0)</f>
        <v/>
      </c>
      <c r="T4746">
        <f>ROUND((M4746*0.25)+(N4746*0.20)+(O4746*0.15)+(P4746*0.15)+(Q4746*0.10)+(R4746*0.10)+(S4746*0.05),2)</f>
        <v/>
      </c>
      <c r="U4746">
        <f>IF(T4746&gt;=4.25,"Critical",IF(T4746&gt;=3.5,"High",IF(T4746&gt;=2,"Medium","Low")))</f>
        <v/>
      </c>
    </row>
    <row r="4747">
      <c r="R4747">
        <f>IFERROR(XLOOKUP(XLOOKUP(D4747,tblReleaseChanges[Change_ID],tblReleaseChanges[Oracle_Severity],""),tblSeverityMap[Severity_Text],tblSeverityMap[Score],0),0)</f>
        <v/>
      </c>
      <c r="T4747">
        <f>ROUND((M4747*0.25)+(N4747*0.20)+(O4747*0.15)+(P4747*0.15)+(Q4747*0.10)+(R4747*0.10)+(S4747*0.05),2)</f>
        <v/>
      </c>
      <c r="U4747">
        <f>IF(T4747&gt;=4.25,"Critical",IF(T4747&gt;=3.5,"High",IF(T4747&gt;=2,"Medium","Low")))</f>
        <v/>
      </c>
    </row>
    <row r="4748">
      <c r="R4748">
        <f>IFERROR(XLOOKUP(XLOOKUP(D4748,tblReleaseChanges[Change_ID],tblReleaseChanges[Oracle_Severity],""),tblSeverityMap[Severity_Text],tblSeverityMap[Score],0),0)</f>
        <v/>
      </c>
      <c r="T4748">
        <f>ROUND((M4748*0.25)+(N4748*0.20)+(O4748*0.15)+(P4748*0.15)+(Q4748*0.10)+(R4748*0.10)+(S4748*0.05),2)</f>
        <v/>
      </c>
      <c r="U4748">
        <f>IF(T4748&gt;=4.25,"Critical",IF(T4748&gt;=3.5,"High",IF(T4748&gt;=2,"Medium","Low")))</f>
        <v/>
      </c>
    </row>
    <row r="4749">
      <c r="R4749">
        <f>IFERROR(XLOOKUP(XLOOKUP(D4749,tblReleaseChanges[Change_ID],tblReleaseChanges[Oracle_Severity],""),tblSeverityMap[Severity_Text],tblSeverityMap[Score],0),0)</f>
        <v/>
      </c>
      <c r="T4749">
        <f>ROUND((M4749*0.25)+(N4749*0.20)+(O4749*0.15)+(P4749*0.15)+(Q4749*0.10)+(R4749*0.10)+(S4749*0.05),2)</f>
        <v/>
      </c>
      <c r="U4749">
        <f>IF(T4749&gt;=4.25,"Critical",IF(T4749&gt;=3.5,"High",IF(T4749&gt;=2,"Medium","Low")))</f>
        <v/>
      </c>
    </row>
    <row r="4750">
      <c r="R4750">
        <f>IFERROR(XLOOKUP(XLOOKUP(D4750,tblReleaseChanges[Change_ID],tblReleaseChanges[Oracle_Severity],""),tblSeverityMap[Severity_Text],tblSeverityMap[Score],0),0)</f>
        <v/>
      </c>
      <c r="T4750">
        <f>ROUND((M4750*0.25)+(N4750*0.20)+(O4750*0.15)+(P4750*0.15)+(Q4750*0.10)+(R4750*0.10)+(S4750*0.05),2)</f>
        <v/>
      </c>
      <c r="U4750">
        <f>IF(T4750&gt;=4.25,"Critical",IF(T4750&gt;=3.5,"High",IF(T4750&gt;=2,"Medium","Low")))</f>
        <v/>
      </c>
    </row>
    <row r="4751">
      <c r="R4751">
        <f>IFERROR(XLOOKUP(XLOOKUP(D4751,tblReleaseChanges[Change_ID],tblReleaseChanges[Oracle_Severity],""),tblSeverityMap[Severity_Text],tblSeverityMap[Score],0),0)</f>
        <v/>
      </c>
      <c r="T4751">
        <f>ROUND((M4751*0.25)+(N4751*0.20)+(O4751*0.15)+(P4751*0.15)+(Q4751*0.10)+(R4751*0.10)+(S4751*0.05),2)</f>
        <v/>
      </c>
      <c r="U4751">
        <f>IF(T4751&gt;=4.25,"Critical",IF(T4751&gt;=3.5,"High",IF(T4751&gt;=2,"Medium","Low")))</f>
        <v/>
      </c>
    </row>
    <row r="4752">
      <c r="R4752">
        <f>IFERROR(XLOOKUP(XLOOKUP(D4752,tblReleaseChanges[Change_ID],tblReleaseChanges[Oracle_Severity],""),tblSeverityMap[Severity_Text],tblSeverityMap[Score],0),0)</f>
        <v/>
      </c>
      <c r="T4752">
        <f>ROUND((M4752*0.25)+(N4752*0.20)+(O4752*0.15)+(P4752*0.15)+(Q4752*0.10)+(R4752*0.10)+(S4752*0.05),2)</f>
        <v/>
      </c>
      <c r="U4752">
        <f>IF(T4752&gt;=4.25,"Critical",IF(T4752&gt;=3.5,"High",IF(T4752&gt;=2,"Medium","Low")))</f>
        <v/>
      </c>
    </row>
    <row r="4753">
      <c r="R4753">
        <f>IFERROR(XLOOKUP(XLOOKUP(D4753,tblReleaseChanges[Change_ID],tblReleaseChanges[Oracle_Severity],""),tblSeverityMap[Severity_Text],tblSeverityMap[Score],0),0)</f>
        <v/>
      </c>
      <c r="T4753">
        <f>ROUND((M4753*0.25)+(N4753*0.20)+(O4753*0.15)+(P4753*0.15)+(Q4753*0.10)+(R4753*0.10)+(S4753*0.05),2)</f>
        <v/>
      </c>
      <c r="U4753">
        <f>IF(T4753&gt;=4.25,"Critical",IF(T4753&gt;=3.5,"High",IF(T4753&gt;=2,"Medium","Low")))</f>
        <v/>
      </c>
    </row>
    <row r="4754">
      <c r="R4754">
        <f>IFERROR(XLOOKUP(XLOOKUP(D4754,tblReleaseChanges[Change_ID],tblReleaseChanges[Oracle_Severity],""),tblSeverityMap[Severity_Text],tblSeverityMap[Score],0),0)</f>
        <v/>
      </c>
      <c r="T4754">
        <f>ROUND((M4754*0.25)+(N4754*0.20)+(O4754*0.15)+(P4754*0.15)+(Q4754*0.10)+(R4754*0.10)+(S4754*0.05),2)</f>
        <v/>
      </c>
      <c r="U4754">
        <f>IF(T4754&gt;=4.25,"Critical",IF(T4754&gt;=3.5,"High",IF(T4754&gt;=2,"Medium","Low")))</f>
        <v/>
      </c>
    </row>
    <row r="4755">
      <c r="R4755">
        <f>IFERROR(XLOOKUP(XLOOKUP(D4755,tblReleaseChanges[Change_ID],tblReleaseChanges[Oracle_Severity],""),tblSeverityMap[Severity_Text],tblSeverityMap[Score],0),0)</f>
        <v/>
      </c>
      <c r="T4755">
        <f>ROUND((M4755*0.25)+(N4755*0.20)+(O4755*0.15)+(P4755*0.15)+(Q4755*0.10)+(R4755*0.10)+(S4755*0.05),2)</f>
        <v/>
      </c>
      <c r="U4755">
        <f>IF(T4755&gt;=4.25,"Critical",IF(T4755&gt;=3.5,"High",IF(T4755&gt;=2,"Medium","Low")))</f>
        <v/>
      </c>
    </row>
    <row r="4756">
      <c r="R4756">
        <f>IFERROR(XLOOKUP(XLOOKUP(D4756,tblReleaseChanges[Change_ID],tblReleaseChanges[Oracle_Severity],""),tblSeverityMap[Severity_Text],tblSeverityMap[Score],0),0)</f>
        <v/>
      </c>
      <c r="T4756">
        <f>ROUND((M4756*0.25)+(N4756*0.20)+(O4756*0.15)+(P4756*0.15)+(Q4756*0.10)+(R4756*0.10)+(S4756*0.05),2)</f>
        <v/>
      </c>
      <c r="U4756">
        <f>IF(T4756&gt;=4.25,"Critical",IF(T4756&gt;=3.5,"High",IF(T4756&gt;=2,"Medium","Low")))</f>
        <v/>
      </c>
    </row>
    <row r="4757">
      <c r="R4757">
        <f>IFERROR(XLOOKUP(XLOOKUP(D4757,tblReleaseChanges[Change_ID],tblReleaseChanges[Oracle_Severity],""),tblSeverityMap[Severity_Text],tblSeverityMap[Score],0),0)</f>
        <v/>
      </c>
      <c r="T4757">
        <f>ROUND((M4757*0.25)+(N4757*0.20)+(O4757*0.15)+(P4757*0.15)+(Q4757*0.10)+(R4757*0.10)+(S4757*0.05),2)</f>
        <v/>
      </c>
      <c r="U4757">
        <f>IF(T4757&gt;=4.25,"Critical",IF(T4757&gt;=3.5,"High",IF(T4757&gt;=2,"Medium","Low")))</f>
        <v/>
      </c>
    </row>
    <row r="4758">
      <c r="R4758">
        <f>IFERROR(XLOOKUP(XLOOKUP(D4758,tblReleaseChanges[Change_ID],tblReleaseChanges[Oracle_Severity],""),tblSeverityMap[Severity_Text],tblSeverityMap[Score],0),0)</f>
        <v/>
      </c>
      <c r="T4758">
        <f>ROUND((M4758*0.25)+(N4758*0.20)+(O4758*0.15)+(P4758*0.15)+(Q4758*0.10)+(R4758*0.10)+(S4758*0.05),2)</f>
        <v/>
      </c>
      <c r="U4758">
        <f>IF(T4758&gt;=4.25,"Critical",IF(T4758&gt;=3.5,"High",IF(T4758&gt;=2,"Medium","Low")))</f>
        <v/>
      </c>
    </row>
    <row r="4759">
      <c r="R4759">
        <f>IFERROR(XLOOKUP(XLOOKUP(D4759,tblReleaseChanges[Change_ID],tblReleaseChanges[Oracle_Severity],""),tblSeverityMap[Severity_Text],tblSeverityMap[Score],0),0)</f>
        <v/>
      </c>
      <c r="T4759">
        <f>ROUND((M4759*0.25)+(N4759*0.20)+(O4759*0.15)+(P4759*0.15)+(Q4759*0.10)+(R4759*0.10)+(S4759*0.05),2)</f>
        <v/>
      </c>
      <c r="U4759">
        <f>IF(T4759&gt;=4.25,"Critical",IF(T4759&gt;=3.5,"High",IF(T4759&gt;=2,"Medium","Low")))</f>
        <v/>
      </c>
    </row>
    <row r="4760">
      <c r="R4760">
        <f>IFERROR(XLOOKUP(XLOOKUP(D4760,tblReleaseChanges[Change_ID],tblReleaseChanges[Oracle_Severity],""),tblSeverityMap[Severity_Text],tblSeverityMap[Score],0),0)</f>
        <v/>
      </c>
      <c r="T4760">
        <f>ROUND((M4760*0.25)+(N4760*0.20)+(O4760*0.15)+(P4760*0.15)+(Q4760*0.10)+(R4760*0.10)+(S4760*0.05),2)</f>
        <v/>
      </c>
      <c r="U4760">
        <f>IF(T4760&gt;=4.25,"Critical",IF(T4760&gt;=3.5,"High",IF(T4760&gt;=2,"Medium","Low")))</f>
        <v/>
      </c>
    </row>
    <row r="4761">
      <c r="R4761">
        <f>IFERROR(XLOOKUP(XLOOKUP(D4761,tblReleaseChanges[Change_ID],tblReleaseChanges[Oracle_Severity],""),tblSeverityMap[Severity_Text],tblSeverityMap[Score],0),0)</f>
        <v/>
      </c>
      <c r="T4761">
        <f>ROUND((M4761*0.25)+(N4761*0.20)+(O4761*0.15)+(P4761*0.15)+(Q4761*0.10)+(R4761*0.10)+(S4761*0.05),2)</f>
        <v/>
      </c>
      <c r="U4761">
        <f>IF(T4761&gt;=4.25,"Critical",IF(T4761&gt;=3.5,"High",IF(T4761&gt;=2,"Medium","Low")))</f>
        <v/>
      </c>
    </row>
    <row r="4762">
      <c r="R4762">
        <f>IFERROR(XLOOKUP(XLOOKUP(D4762,tblReleaseChanges[Change_ID],tblReleaseChanges[Oracle_Severity],""),tblSeverityMap[Severity_Text],tblSeverityMap[Score],0),0)</f>
        <v/>
      </c>
      <c r="T4762">
        <f>ROUND((M4762*0.25)+(N4762*0.20)+(O4762*0.15)+(P4762*0.15)+(Q4762*0.10)+(R4762*0.10)+(S4762*0.05),2)</f>
        <v/>
      </c>
      <c r="U4762">
        <f>IF(T4762&gt;=4.25,"Critical",IF(T4762&gt;=3.5,"High",IF(T4762&gt;=2,"Medium","Low")))</f>
        <v/>
      </c>
    </row>
    <row r="4763">
      <c r="R4763">
        <f>IFERROR(XLOOKUP(XLOOKUP(D4763,tblReleaseChanges[Change_ID],tblReleaseChanges[Oracle_Severity],""),tblSeverityMap[Severity_Text],tblSeverityMap[Score],0),0)</f>
        <v/>
      </c>
      <c r="T4763">
        <f>ROUND((M4763*0.25)+(N4763*0.20)+(O4763*0.15)+(P4763*0.15)+(Q4763*0.10)+(R4763*0.10)+(S4763*0.05),2)</f>
        <v/>
      </c>
      <c r="U4763">
        <f>IF(T4763&gt;=4.25,"Critical",IF(T4763&gt;=3.5,"High",IF(T4763&gt;=2,"Medium","Low")))</f>
        <v/>
      </c>
    </row>
    <row r="4764">
      <c r="R4764">
        <f>IFERROR(XLOOKUP(XLOOKUP(D4764,tblReleaseChanges[Change_ID],tblReleaseChanges[Oracle_Severity],""),tblSeverityMap[Severity_Text],tblSeverityMap[Score],0),0)</f>
        <v/>
      </c>
      <c r="T4764">
        <f>ROUND((M4764*0.25)+(N4764*0.20)+(O4764*0.15)+(P4764*0.15)+(Q4764*0.10)+(R4764*0.10)+(S4764*0.05),2)</f>
        <v/>
      </c>
      <c r="U4764">
        <f>IF(T4764&gt;=4.25,"Critical",IF(T4764&gt;=3.5,"High",IF(T4764&gt;=2,"Medium","Low")))</f>
        <v/>
      </c>
    </row>
    <row r="4765">
      <c r="R4765">
        <f>IFERROR(XLOOKUP(XLOOKUP(D4765,tblReleaseChanges[Change_ID],tblReleaseChanges[Oracle_Severity],""),tblSeverityMap[Severity_Text],tblSeverityMap[Score],0),0)</f>
        <v/>
      </c>
      <c r="T4765">
        <f>ROUND((M4765*0.25)+(N4765*0.20)+(O4765*0.15)+(P4765*0.15)+(Q4765*0.10)+(R4765*0.10)+(S4765*0.05),2)</f>
        <v/>
      </c>
      <c r="U4765">
        <f>IF(T4765&gt;=4.25,"Critical",IF(T4765&gt;=3.5,"High",IF(T4765&gt;=2,"Medium","Low")))</f>
        <v/>
      </c>
    </row>
    <row r="4766">
      <c r="R4766">
        <f>IFERROR(XLOOKUP(XLOOKUP(D4766,tblReleaseChanges[Change_ID],tblReleaseChanges[Oracle_Severity],""),tblSeverityMap[Severity_Text],tblSeverityMap[Score],0),0)</f>
        <v/>
      </c>
      <c r="T4766">
        <f>ROUND((M4766*0.25)+(N4766*0.20)+(O4766*0.15)+(P4766*0.15)+(Q4766*0.10)+(R4766*0.10)+(S4766*0.05),2)</f>
        <v/>
      </c>
      <c r="U4766">
        <f>IF(T4766&gt;=4.25,"Critical",IF(T4766&gt;=3.5,"High",IF(T4766&gt;=2,"Medium","Low")))</f>
        <v/>
      </c>
    </row>
    <row r="4767">
      <c r="R4767">
        <f>IFERROR(XLOOKUP(XLOOKUP(D4767,tblReleaseChanges[Change_ID],tblReleaseChanges[Oracle_Severity],""),tblSeverityMap[Severity_Text],tblSeverityMap[Score],0),0)</f>
        <v/>
      </c>
      <c r="T4767">
        <f>ROUND((M4767*0.25)+(N4767*0.20)+(O4767*0.15)+(P4767*0.15)+(Q4767*0.10)+(R4767*0.10)+(S4767*0.05),2)</f>
        <v/>
      </c>
      <c r="U4767">
        <f>IF(T4767&gt;=4.25,"Critical",IF(T4767&gt;=3.5,"High",IF(T4767&gt;=2,"Medium","Low")))</f>
        <v/>
      </c>
    </row>
    <row r="4768">
      <c r="R4768">
        <f>IFERROR(XLOOKUP(XLOOKUP(D4768,tblReleaseChanges[Change_ID],tblReleaseChanges[Oracle_Severity],""),tblSeverityMap[Severity_Text],tblSeverityMap[Score],0),0)</f>
        <v/>
      </c>
      <c r="T4768">
        <f>ROUND((M4768*0.25)+(N4768*0.20)+(O4768*0.15)+(P4768*0.15)+(Q4768*0.10)+(R4768*0.10)+(S4768*0.05),2)</f>
        <v/>
      </c>
      <c r="U4768">
        <f>IF(T4768&gt;=4.25,"Critical",IF(T4768&gt;=3.5,"High",IF(T4768&gt;=2,"Medium","Low")))</f>
        <v/>
      </c>
    </row>
    <row r="4769">
      <c r="R4769">
        <f>IFERROR(XLOOKUP(XLOOKUP(D4769,tblReleaseChanges[Change_ID],tblReleaseChanges[Oracle_Severity],""),tblSeverityMap[Severity_Text],tblSeverityMap[Score],0),0)</f>
        <v/>
      </c>
      <c r="T4769">
        <f>ROUND((M4769*0.25)+(N4769*0.20)+(O4769*0.15)+(P4769*0.15)+(Q4769*0.10)+(R4769*0.10)+(S4769*0.05),2)</f>
        <v/>
      </c>
      <c r="U4769">
        <f>IF(T4769&gt;=4.25,"Critical",IF(T4769&gt;=3.5,"High",IF(T4769&gt;=2,"Medium","Low")))</f>
        <v/>
      </c>
    </row>
    <row r="4770">
      <c r="R4770">
        <f>IFERROR(XLOOKUP(XLOOKUP(D4770,tblReleaseChanges[Change_ID],tblReleaseChanges[Oracle_Severity],""),tblSeverityMap[Severity_Text],tblSeverityMap[Score],0),0)</f>
        <v/>
      </c>
      <c r="T4770">
        <f>ROUND((M4770*0.25)+(N4770*0.20)+(O4770*0.15)+(P4770*0.15)+(Q4770*0.10)+(R4770*0.10)+(S4770*0.05),2)</f>
        <v/>
      </c>
      <c r="U4770">
        <f>IF(T4770&gt;=4.25,"Critical",IF(T4770&gt;=3.5,"High",IF(T4770&gt;=2,"Medium","Low")))</f>
        <v/>
      </c>
    </row>
    <row r="4771">
      <c r="R4771">
        <f>IFERROR(XLOOKUP(XLOOKUP(D4771,tblReleaseChanges[Change_ID],tblReleaseChanges[Oracle_Severity],""),tblSeverityMap[Severity_Text],tblSeverityMap[Score],0),0)</f>
        <v/>
      </c>
      <c r="T4771">
        <f>ROUND((M4771*0.25)+(N4771*0.20)+(O4771*0.15)+(P4771*0.15)+(Q4771*0.10)+(R4771*0.10)+(S4771*0.05),2)</f>
        <v/>
      </c>
      <c r="U4771">
        <f>IF(T4771&gt;=4.25,"Critical",IF(T4771&gt;=3.5,"High",IF(T4771&gt;=2,"Medium","Low")))</f>
        <v/>
      </c>
    </row>
    <row r="4772">
      <c r="R4772">
        <f>IFERROR(XLOOKUP(XLOOKUP(D4772,tblReleaseChanges[Change_ID],tblReleaseChanges[Oracle_Severity],""),tblSeverityMap[Severity_Text],tblSeverityMap[Score],0),0)</f>
        <v/>
      </c>
      <c r="T4772">
        <f>ROUND((M4772*0.25)+(N4772*0.20)+(O4772*0.15)+(P4772*0.15)+(Q4772*0.10)+(R4772*0.10)+(S4772*0.05),2)</f>
        <v/>
      </c>
      <c r="U4772">
        <f>IF(T4772&gt;=4.25,"Critical",IF(T4772&gt;=3.5,"High",IF(T4772&gt;=2,"Medium","Low")))</f>
        <v/>
      </c>
    </row>
    <row r="4773">
      <c r="R4773">
        <f>IFERROR(XLOOKUP(XLOOKUP(D4773,tblReleaseChanges[Change_ID],tblReleaseChanges[Oracle_Severity],""),tblSeverityMap[Severity_Text],tblSeverityMap[Score],0),0)</f>
        <v/>
      </c>
      <c r="T4773">
        <f>ROUND((M4773*0.25)+(N4773*0.20)+(O4773*0.15)+(P4773*0.15)+(Q4773*0.10)+(R4773*0.10)+(S4773*0.05),2)</f>
        <v/>
      </c>
      <c r="U4773">
        <f>IF(T4773&gt;=4.25,"Critical",IF(T4773&gt;=3.5,"High",IF(T4773&gt;=2,"Medium","Low")))</f>
        <v/>
      </c>
    </row>
    <row r="4774">
      <c r="R4774">
        <f>IFERROR(XLOOKUP(XLOOKUP(D4774,tblReleaseChanges[Change_ID],tblReleaseChanges[Oracle_Severity],""),tblSeverityMap[Severity_Text],tblSeverityMap[Score],0),0)</f>
        <v/>
      </c>
      <c r="T4774">
        <f>ROUND((M4774*0.25)+(N4774*0.20)+(O4774*0.15)+(P4774*0.15)+(Q4774*0.10)+(R4774*0.10)+(S4774*0.05),2)</f>
        <v/>
      </c>
      <c r="U4774">
        <f>IF(T4774&gt;=4.25,"Critical",IF(T4774&gt;=3.5,"High",IF(T4774&gt;=2,"Medium","Low")))</f>
        <v/>
      </c>
    </row>
    <row r="4775">
      <c r="R4775">
        <f>IFERROR(XLOOKUP(XLOOKUP(D4775,tblReleaseChanges[Change_ID],tblReleaseChanges[Oracle_Severity],""),tblSeverityMap[Severity_Text],tblSeverityMap[Score],0),0)</f>
        <v/>
      </c>
      <c r="T4775">
        <f>ROUND((M4775*0.25)+(N4775*0.20)+(O4775*0.15)+(P4775*0.15)+(Q4775*0.10)+(R4775*0.10)+(S4775*0.05),2)</f>
        <v/>
      </c>
      <c r="U4775">
        <f>IF(T4775&gt;=4.25,"Critical",IF(T4775&gt;=3.5,"High",IF(T4775&gt;=2,"Medium","Low")))</f>
        <v/>
      </c>
    </row>
    <row r="4776">
      <c r="R4776">
        <f>IFERROR(XLOOKUP(XLOOKUP(D4776,tblReleaseChanges[Change_ID],tblReleaseChanges[Oracle_Severity],""),tblSeverityMap[Severity_Text],tblSeverityMap[Score],0),0)</f>
        <v/>
      </c>
      <c r="T4776">
        <f>ROUND((M4776*0.25)+(N4776*0.20)+(O4776*0.15)+(P4776*0.15)+(Q4776*0.10)+(R4776*0.10)+(S4776*0.05),2)</f>
        <v/>
      </c>
      <c r="U4776">
        <f>IF(T4776&gt;=4.25,"Critical",IF(T4776&gt;=3.5,"High",IF(T4776&gt;=2,"Medium","Low")))</f>
        <v/>
      </c>
    </row>
    <row r="4777">
      <c r="R4777">
        <f>IFERROR(XLOOKUP(XLOOKUP(D4777,tblReleaseChanges[Change_ID],tblReleaseChanges[Oracle_Severity],""),tblSeverityMap[Severity_Text],tblSeverityMap[Score],0),0)</f>
        <v/>
      </c>
      <c r="T4777">
        <f>ROUND((M4777*0.25)+(N4777*0.20)+(O4777*0.15)+(P4777*0.15)+(Q4777*0.10)+(R4777*0.10)+(S4777*0.05),2)</f>
        <v/>
      </c>
      <c r="U4777">
        <f>IF(T4777&gt;=4.25,"Critical",IF(T4777&gt;=3.5,"High",IF(T4777&gt;=2,"Medium","Low")))</f>
        <v/>
      </c>
    </row>
    <row r="4778">
      <c r="R4778">
        <f>IFERROR(XLOOKUP(XLOOKUP(D4778,tblReleaseChanges[Change_ID],tblReleaseChanges[Oracle_Severity],""),tblSeverityMap[Severity_Text],tblSeverityMap[Score],0),0)</f>
        <v/>
      </c>
      <c r="T4778">
        <f>ROUND((M4778*0.25)+(N4778*0.20)+(O4778*0.15)+(P4778*0.15)+(Q4778*0.10)+(R4778*0.10)+(S4778*0.05),2)</f>
        <v/>
      </c>
      <c r="U4778">
        <f>IF(T4778&gt;=4.25,"Critical",IF(T4778&gt;=3.5,"High",IF(T4778&gt;=2,"Medium","Low")))</f>
        <v/>
      </c>
    </row>
    <row r="4779">
      <c r="R4779">
        <f>IFERROR(XLOOKUP(XLOOKUP(D4779,tblReleaseChanges[Change_ID],tblReleaseChanges[Oracle_Severity],""),tblSeverityMap[Severity_Text],tblSeverityMap[Score],0),0)</f>
        <v/>
      </c>
      <c r="T4779">
        <f>ROUND((M4779*0.25)+(N4779*0.20)+(O4779*0.15)+(P4779*0.15)+(Q4779*0.10)+(R4779*0.10)+(S4779*0.05),2)</f>
        <v/>
      </c>
      <c r="U4779">
        <f>IF(T4779&gt;=4.25,"Critical",IF(T4779&gt;=3.5,"High",IF(T4779&gt;=2,"Medium","Low")))</f>
        <v/>
      </c>
    </row>
    <row r="4780">
      <c r="R4780">
        <f>IFERROR(XLOOKUP(XLOOKUP(D4780,tblReleaseChanges[Change_ID],tblReleaseChanges[Oracle_Severity],""),tblSeverityMap[Severity_Text],tblSeverityMap[Score],0),0)</f>
        <v/>
      </c>
      <c r="T4780">
        <f>ROUND((M4780*0.25)+(N4780*0.20)+(O4780*0.15)+(P4780*0.15)+(Q4780*0.10)+(R4780*0.10)+(S4780*0.05),2)</f>
        <v/>
      </c>
      <c r="U4780">
        <f>IF(T4780&gt;=4.25,"Critical",IF(T4780&gt;=3.5,"High",IF(T4780&gt;=2,"Medium","Low")))</f>
        <v/>
      </c>
    </row>
    <row r="4781">
      <c r="R4781">
        <f>IFERROR(XLOOKUP(XLOOKUP(D4781,tblReleaseChanges[Change_ID],tblReleaseChanges[Oracle_Severity],""),tblSeverityMap[Severity_Text],tblSeverityMap[Score],0),0)</f>
        <v/>
      </c>
      <c r="T4781">
        <f>ROUND((M4781*0.25)+(N4781*0.20)+(O4781*0.15)+(P4781*0.15)+(Q4781*0.10)+(R4781*0.10)+(S4781*0.05),2)</f>
        <v/>
      </c>
      <c r="U4781">
        <f>IF(T4781&gt;=4.25,"Critical",IF(T4781&gt;=3.5,"High",IF(T4781&gt;=2,"Medium","Low")))</f>
        <v/>
      </c>
    </row>
    <row r="4782">
      <c r="R4782">
        <f>IFERROR(XLOOKUP(XLOOKUP(D4782,tblReleaseChanges[Change_ID],tblReleaseChanges[Oracle_Severity],""),tblSeverityMap[Severity_Text],tblSeverityMap[Score],0),0)</f>
        <v/>
      </c>
      <c r="T4782">
        <f>ROUND((M4782*0.25)+(N4782*0.20)+(O4782*0.15)+(P4782*0.15)+(Q4782*0.10)+(R4782*0.10)+(S4782*0.05),2)</f>
        <v/>
      </c>
      <c r="U4782">
        <f>IF(T4782&gt;=4.25,"Critical",IF(T4782&gt;=3.5,"High",IF(T4782&gt;=2,"Medium","Low")))</f>
        <v/>
      </c>
    </row>
    <row r="4783">
      <c r="R4783">
        <f>IFERROR(XLOOKUP(XLOOKUP(D4783,tblReleaseChanges[Change_ID],tblReleaseChanges[Oracle_Severity],""),tblSeverityMap[Severity_Text],tblSeverityMap[Score],0),0)</f>
        <v/>
      </c>
      <c r="T4783">
        <f>ROUND((M4783*0.25)+(N4783*0.20)+(O4783*0.15)+(P4783*0.15)+(Q4783*0.10)+(R4783*0.10)+(S4783*0.05),2)</f>
        <v/>
      </c>
      <c r="U4783">
        <f>IF(T4783&gt;=4.25,"Critical",IF(T4783&gt;=3.5,"High",IF(T4783&gt;=2,"Medium","Low")))</f>
        <v/>
      </c>
    </row>
    <row r="4784">
      <c r="R4784">
        <f>IFERROR(XLOOKUP(XLOOKUP(D4784,tblReleaseChanges[Change_ID],tblReleaseChanges[Oracle_Severity],""),tblSeverityMap[Severity_Text],tblSeverityMap[Score],0),0)</f>
        <v/>
      </c>
      <c r="T4784">
        <f>ROUND((M4784*0.25)+(N4784*0.20)+(O4784*0.15)+(P4784*0.15)+(Q4784*0.10)+(R4784*0.10)+(S4784*0.05),2)</f>
        <v/>
      </c>
      <c r="U4784">
        <f>IF(T4784&gt;=4.25,"Critical",IF(T4784&gt;=3.5,"High",IF(T4784&gt;=2,"Medium","Low")))</f>
        <v/>
      </c>
    </row>
    <row r="4785">
      <c r="R4785">
        <f>IFERROR(XLOOKUP(XLOOKUP(D4785,tblReleaseChanges[Change_ID],tblReleaseChanges[Oracle_Severity],""),tblSeverityMap[Severity_Text],tblSeverityMap[Score],0),0)</f>
        <v/>
      </c>
      <c r="T4785">
        <f>ROUND((M4785*0.25)+(N4785*0.20)+(O4785*0.15)+(P4785*0.15)+(Q4785*0.10)+(R4785*0.10)+(S4785*0.05),2)</f>
        <v/>
      </c>
      <c r="U4785">
        <f>IF(T4785&gt;=4.25,"Critical",IF(T4785&gt;=3.5,"High",IF(T4785&gt;=2,"Medium","Low")))</f>
        <v/>
      </c>
    </row>
    <row r="4786">
      <c r="R4786">
        <f>IFERROR(XLOOKUP(XLOOKUP(D4786,tblReleaseChanges[Change_ID],tblReleaseChanges[Oracle_Severity],""),tblSeverityMap[Severity_Text],tblSeverityMap[Score],0),0)</f>
        <v/>
      </c>
      <c r="T4786">
        <f>ROUND((M4786*0.25)+(N4786*0.20)+(O4786*0.15)+(P4786*0.15)+(Q4786*0.10)+(R4786*0.10)+(S4786*0.05),2)</f>
        <v/>
      </c>
      <c r="U4786">
        <f>IF(T4786&gt;=4.25,"Critical",IF(T4786&gt;=3.5,"High",IF(T4786&gt;=2,"Medium","Low")))</f>
        <v/>
      </c>
    </row>
    <row r="4787">
      <c r="R4787">
        <f>IFERROR(XLOOKUP(XLOOKUP(D4787,tblReleaseChanges[Change_ID],tblReleaseChanges[Oracle_Severity],""),tblSeverityMap[Severity_Text],tblSeverityMap[Score],0),0)</f>
        <v/>
      </c>
      <c r="T4787">
        <f>ROUND((M4787*0.25)+(N4787*0.20)+(O4787*0.15)+(P4787*0.15)+(Q4787*0.10)+(R4787*0.10)+(S4787*0.05),2)</f>
        <v/>
      </c>
      <c r="U4787">
        <f>IF(T4787&gt;=4.25,"Critical",IF(T4787&gt;=3.5,"High",IF(T4787&gt;=2,"Medium","Low")))</f>
        <v/>
      </c>
    </row>
    <row r="4788">
      <c r="R4788">
        <f>IFERROR(XLOOKUP(XLOOKUP(D4788,tblReleaseChanges[Change_ID],tblReleaseChanges[Oracle_Severity],""),tblSeverityMap[Severity_Text],tblSeverityMap[Score],0),0)</f>
        <v/>
      </c>
      <c r="T4788">
        <f>ROUND((M4788*0.25)+(N4788*0.20)+(O4788*0.15)+(P4788*0.15)+(Q4788*0.10)+(R4788*0.10)+(S4788*0.05),2)</f>
        <v/>
      </c>
      <c r="U4788">
        <f>IF(T4788&gt;=4.25,"Critical",IF(T4788&gt;=3.5,"High",IF(T4788&gt;=2,"Medium","Low")))</f>
        <v/>
      </c>
    </row>
    <row r="4789">
      <c r="R4789">
        <f>IFERROR(XLOOKUP(XLOOKUP(D4789,tblReleaseChanges[Change_ID],tblReleaseChanges[Oracle_Severity],""),tblSeverityMap[Severity_Text],tblSeverityMap[Score],0),0)</f>
        <v/>
      </c>
      <c r="T4789">
        <f>ROUND((M4789*0.25)+(N4789*0.20)+(O4789*0.15)+(P4789*0.15)+(Q4789*0.10)+(R4789*0.10)+(S4789*0.05),2)</f>
        <v/>
      </c>
      <c r="U4789">
        <f>IF(T4789&gt;=4.25,"Critical",IF(T4789&gt;=3.5,"High",IF(T4789&gt;=2,"Medium","Low")))</f>
        <v/>
      </c>
    </row>
    <row r="4790">
      <c r="R4790">
        <f>IFERROR(XLOOKUP(XLOOKUP(D4790,tblReleaseChanges[Change_ID],tblReleaseChanges[Oracle_Severity],""),tblSeverityMap[Severity_Text],tblSeverityMap[Score],0),0)</f>
        <v/>
      </c>
      <c r="T4790">
        <f>ROUND((M4790*0.25)+(N4790*0.20)+(O4790*0.15)+(P4790*0.15)+(Q4790*0.10)+(R4790*0.10)+(S4790*0.05),2)</f>
        <v/>
      </c>
      <c r="U4790">
        <f>IF(T4790&gt;=4.25,"Critical",IF(T4790&gt;=3.5,"High",IF(T4790&gt;=2,"Medium","Low")))</f>
        <v/>
      </c>
    </row>
    <row r="4791">
      <c r="R4791">
        <f>IFERROR(XLOOKUP(XLOOKUP(D4791,tblReleaseChanges[Change_ID],tblReleaseChanges[Oracle_Severity],""),tblSeverityMap[Severity_Text],tblSeverityMap[Score],0),0)</f>
        <v/>
      </c>
      <c r="T4791">
        <f>ROUND((M4791*0.25)+(N4791*0.20)+(O4791*0.15)+(P4791*0.15)+(Q4791*0.10)+(R4791*0.10)+(S4791*0.05),2)</f>
        <v/>
      </c>
      <c r="U4791">
        <f>IF(T4791&gt;=4.25,"Critical",IF(T4791&gt;=3.5,"High",IF(T4791&gt;=2,"Medium","Low")))</f>
        <v/>
      </c>
    </row>
    <row r="4792">
      <c r="R4792">
        <f>IFERROR(XLOOKUP(XLOOKUP(D4792,tblReleaseChanges[Change_ID],tblReleaseChanges[Oracle_Severity],""),tblSeverityMap[Severity_Text],tblSeverityMap[Score],0),0)</f>
        <v/>
      </c>
      <c r="T4792">
        <f>ROUND((M4792*0.25)+(N4792*0.20)+(O4792*0.15)+(P4792*0.15)+(Q4792*0.10)+(R4792*0.10)+(S4792*0.05),2)</f>
        <v/>
      </c>
      <c r="U4792">
        <f>IF(T4792&gt;=4.25,"Critical",IF(T4792&gt;=3.5,"High",IF(T4792&gt;=2,"Medium","Low")))</f>
        <v/>
      </c>
    </row>
    <row r="4793">
      <c r="R4793">
        <f>IFERROR(XLOOKUP(XLOOKUP(D4793,tblReleaseChanges[Change_ID],tblReleaseChanges[Oracle_Severity],""),tblSeverityMap[Severity_Text],tblSeverityMap[Score],0),0)</f>
        <v/>
      </c>
      <c r="T4793">
        <f>ROUND((M4793*0.25)+(N4793*0.20)+(O4793*0.15)+(P4793*0.15)+(Q4793*0.10)+(R4793*0.10)+(S4793*0.05),2)</f>
        <v/>
      </c>
      <c r="U4793">
        <f>IF(T4793&gt;=4.25,"Critical",IF(T4793&gt;=3.5,"High",IF(T4793&gt;=2,"Medium","Low")))</f>
        <v/>
      </c>
    </row>
    <row r="4794">
      <c r="R4794">
        <f>IFERROR(XLOOKUP(XLOOKUP(D4794,tblReleaseChanges[Change_ID],tblReleaseChanges[Oracle_Severity],""),tblSeverityMap[Severity_Text],tblSeverityMap[Score],0),0)</f>
        <v/>
      </c>
      <c r="T4794">
        <f>ROUND((M4794*0.25)+(N4794*0.20)+(O4794*0.15)+(P4794*0.15)+(Q4794*0.10)+(R4794*0.10)+(S4794*0.05),2)</f>
        <v/>
      </c>
      <c r="U4794">
        <f>IF(T4794&gt;=4.25,"Critical",IF(T4794&gt;=3.5,"High",IF(T4794&gt;=2,"Medium","Low")))</f>
        <v/>
      </c>
    </row>
    <row r="4795">
      <c r="R4795">
        <f>IFERROR(XLOOKUP(XLOOKUP(D4795,tblReleaseChanges[Change_ID],tblReleaseChanges[Oracle_Severity],""),tblSeverityMap[Severity_Text],tblSeverityMap[Score],0),0)</f>
        <v/>
      </c>
      <c r="T4795">
        <f>ROUND((M4795*0.25)+(N4795*0.20)+(O4795*0.15)+(P4795*0.15)+(Q4795*0.10)+(R4795*0.10)+(S4795*0.05),2)</f>
        <v/>
      </c>
      <c r="U4795">
        <f>IF(T4795&gt;=4.25,"Critical",IF(T4795&gt;=3.5,"High",IF(T4795&gt;=2,"Medium","Low")))</f>
        <v/>
      </c>
    </row>
    <row r="4796">
      <c r="R4796">
        <f>IFERROR(XLOOKUP(XLOOKUP(D4796,tblReleaseChanges[Change_ID],tblReleaseChanges[Oracle_Severity],""),tblSeverityMap[Severity_Text],tblSeverityMap[Score],0),0)</f>
        <v/>
      </c>
      <c r="T4796">
        <f>ROUND((M4796*0.25)+(N4796*0.20)+(O4796*0.15)+(P4796*0.15)+(Q4796*0.10)+(R4796*0.10)+(S4796*0.05),2)</f>
        <v/>
      </c>
      <c r="U4796">
        <f>IF(T4796&gt;=4.25,"Critical",IF(T4796&gt;=3.5,"High",IF(T4796&gt;=2,"Medium","Low")))</f>
        <v/>
      </c>
    </row>
    <row r="4797">
      <c r="R4797">
        <f>IFERROR(XLOOKUP(XLOOKUP(D4797,tblReleaseChanges[Change_ID],tblReleaseChanges[Oracle_Severity],""),tblSeverityMap[Severity_Text],tblSeverityMap[Score],0),0)</f>
        <v/>
      </c>
      <c r="T4797">
        <f>ROUND((M4797*0.25)+(N4797*0.20)+(O4797*0.15)+(P4797*0.15)+(Q4797*0.10)+(R4797*0.10)+(S4797*0.05),2)</f>
        <v/>
      </c>
      <c r="U4797">
        <f>IF(T4797&gt;=4.25,"Critical",IF(T4797&gt;=3.5,"High",IF(T4797&gt;=2,"Medium","Low")))</f>
        <v/>
      </c>
    </row>
    <row r="4798">
      <c r="R4798">
        <f>IFERROR(XLOOKUP(XLOOKUP(D4798,tblReleaseChanges[Change_ID],tblReleaseChanges[Oracle_Severity],""),tblSeverityMap[Severity_Text],tblSeverityMap[Score],0),0)</f>
        <v/>
      </c>
      <c r="T4798">
        <f>ROUND((M4798*0.25)+(N4798*0.20)+(O4798*0.15)+(P4798*0.15)+(Q4798*0.10)+(R4798*0.10)+(S4798*0.05),2)</f>
        <v/>
      </c>
      <c r="U4798">
        <f>IF(T4798&gt;=4.25,"Critical",IF(T4798&gt;=3.5,"High",IF(T4798&gt;=2,"Medium","Low")))</f>
        <v/>
      </c>
    </row>
    <row r="4799">
      <c r="R4799">
        <f>IFERROR(XLOOKUP(XLOOKUP(D4799,tblReleaseChanges[Change_ID],tblReleaseChanges[Oracle_Severity],""),tblSeverityMap[Severity_Text],tblSeverityMap[Score],0),0)</f>
        <v/>
      </c>
      <c r="T4799">
        <f>ROUND((M4799*0.25)+(N4799*0.20)+(O4799*0.15)+(P4799*0.15)+(Q4799*0.10)+(R4799*0.10)+(S4799*0.05),2)</f>
        <v/>
      </c>
      <c r="U4799">
        <f>IF(T4799&gt;=4.25,"Critical",IF(T4799&gt;=3.5,"High",IF(T4799&gt;=2,"Medium","Low")))</f>
        <v/>
      </c>
    </row>
    <row r="4800">
      <c r="R4800">
        <f>IFERROR(XLOOKUP(XLOOKUP(D4800,tblReleaseChanges[Change_ID],tblReleaseChanges[Oracle_Severity],""),tblSeverityMap[Severity_Text],tblSeverityMap[Score],0),0)</f>
        <v/>
      </c>
      <c r="T4800">
        <f>ROUND((M4800*0.25)+(N4800*0.20)+(O4800*0.15)+(P4800*0.15)+(Q4800*0.10)+(R4800*0.10)+(S4800*0.05),2)</f>
        <v/>
      </c>
      <c r="U4800">
        <f>IF(T4800&gt;=4.25,"Critical",IF(T4800&gt;=3.5,"High",IF(T4800&gt;=2,"Medium","Low")))</f>
        <v/>
      </c>
    </row>
    <row r="4801">
      <c r="R4801">
        <f>IFERROR(XLOOKUP(XLOOKUP(D4801,tblReleaseChanges[Change_ID],tblReleaseChanges[Oracle_Severity],""),tblSeverityMap[Severity_Text],tblSeverityMap[Score],0),0)</f>
        <v/>
      </c>
      <c r="T4801">
        <f>ROUND((M4801*0.25)+(N4801*0.20)+(O4801*0.15)+(P4801*0.15)+(Q4801*0.10)+(R4801*0.10)+(S4801*0.05),2)</f>
        <v/>
      </c>
      <c r="U4801">
        <f>IF(T4801&gt;=4.25,"Critical",IF(T4801&gt;=3.5,"High",IF(T4801&gt;=2,"Medium","Low")))</f>
        <v/>
      </c>
    </row>
    <row r="4802">
      <c r="R4802">
        <f>IFERROR(XLOOKUP(XLOOKUP(D4802,tblReleaseChanges[Change_ID],tblReleaseChanges[Oracle_Severity],""),tblSeverityMap[Severity_Text],tblSeverityMap[Score],0),0)</f>
        <v/>
      </c>
      <c r="T4802">
        <f>ROUND((M4802*0.25)+(N4802*0.20)+(O4802*0.15)+(P4802*0.15)+(Q4802*0.10)+(R4802*0.10)+(S4802*0.05),2)</f>
        <v/>
      </c>
      <c r="U4802">
        <f>IF(T4802&gt;=4.25,"Critical",IF(T4802&gt;=3.5,"High",IF(T4802&gt;=2,"Medium","Low")))</f>
        <v/>
      </c>
    </row>
    <row r="4803">
      <c r="R4803">
        <f>IFERROR(XLOOKUP(XLOOKUP(D4803,tblReleaseChanges[Change_ID],tblReleaseChanges[Oracle_Severity],""),tblSeverityMap[Severity_Text],tblSeverityMap[Score],0),0)</f>
        <v/>
      </c>
      <c r="T4803">
        <f>ROUND((M4803*0.25)+(N4803*0.20)+(O4803*0.15)+(P4803*0.15)+(Q4803*0.10)+(R4803*0.10)+(S4803*0.05),2)</f>
        <v/>
      </c>
      <c r="U4803">
        <f>IF(T4803&gt;=4.25,"Critical",IF(T4803&gt;=3.5,"High",IF(T4803&gt;=2,"Medium","Low")))</f>
        <v/>
      </c>
    </row>
    <row r="4804">
      <c r="R4804">
        <f>IFERROR(XLOOKUP(XLOOKUP(D4804,tblReleaseChanges[Change_ID],tblReleaseChanges[Oracle_Severity],""),tblSeverityMap[Severity_Text],tblSeverityMap[Score],0),0)</f>
        <v/>
      </c>
      <c r="T4804">
        <f>ROUND((M4804*0.25)+(N4804*0.20)+(O4804*0.15)+(P4804*0.15)+(Q4804*0.10)+(R4804*0.10)+(S4804*0.05),2)</f>
        <v/>
      </c>
      <c r="U4804">
        <f>IF(T4804&gt;=4.25,"Critical",IF(T4804&gt;=3.5,"High",IF(T4804&gt;=2,"Medium","Low")))</f>
        <v/>
      </c>
    </row>
    <row r="4805">
      <c r="R4805">
        <f>IFERROR(XLOOKUP(XLOOKUP(D4805,tblReleaseChanges[Change_ID],tblReleaseChanges[Oracle_Severity],""),tblSeverityMap[Severity_Text],tblSeverityMap[Score],0),0)</f>
        <v/>
      </c>
      <c r="T4805">
        <f>ROUND((M4805*0.25)+(N4805*0.20)+(O4805*0.15)+(P4805*0.15)+(Q4805*0.10)+(R4805*0.10)+(S4805*0.05),2)</f>
        <v/>
      </c>
      <c r="U4805">
        <f>IF(T4805&gt;=4.25,"Critical",IF(T4805&gt;=3.5,"High",IF(T4805&gt;=2,"Medium","Low")))</f>
        <v/>
      </c>
    </row>
    <row r="4806">
      <c r="R4806">
        <f>IFERROR(XLOOKUP(XLOOKUP(D4806,tblReleaseChanges[Change_ID],tblReleaseChanges[Oracle_Severity],""),tblSeverityMap[Severity_Text],tblSeverityMap[Score],0),0)</f>
        <v/>
      </c>
      <c r="T4806">
        <f>ROUND((M4806*0.25)+(N4806*0.20)+(O4806*0.15)+(P4806*0.15)+(Q4806*0.10)+(R4806*0.10)+(S4806*0.05),2)</f>
        <v/>
      </c>
      <c r="U4806">
        <f>IF(T4806&gt;=4.25,"Critical",IF(T4806&gt;=3.5,"High",IF(T4806&gt;=2,"Medium","Low")))</f>
        <v/>
      </c>
    </row>
    <row r="4807">
      <c r="R4807">
        <f>IFERROR(XLOOKUP(XLOOKUP(D4807,tblReleaseChanges[Change_ID],tblReleaseChanges[Oracle_Severity],""),tblSeverityMap[Severity_Text],tblSeverityMap[Score],0),0)</f>
        <v/>
      </c>
      <c r="T4807">
        <f>ROUND((M4807*0.25)+(N4807*0.20)+(O4807*0.15)+(P4807*0.15)+(Q4807*0.10)+(R4807*0.10)+(S4807*0.05),2)</f>
        <v/>
      </c>
      <c r="U4807">
        <f>IF(T4807&gt;=4.25,"Critical",IF(T4807&gt;=3.5,"High",IF(T4807&gt;=2,"Medium","Low")))</f>
        <v/>
      </c>
    </row>
    <row r="4808">
      <c r="R4808">
        <f>IFERROR(XLOOKUP(XLOOKUP(D4808,tblReleaseChanges[Change_ID],tblReleaseChanges[Oracle_Severity],""),tblSeverityMap[Severity_Text],tblSeverityMap[Score],0),0)</f>
        <v/>
      </c>
      <c r="T4808">
        <f>ROUND((M4808*0.25)+(N4808*0.20)+(O4808*0.15)+(P4808*0.15)+(Q4808*0.10)+(R4808*0.10)+(S4808*0.05),2)</f>
        <v/>
      </c>
      <c r="U4808">
        <f>IF(T4808&gt;=4.25,"Critical",IF(T4808&gt;=3.5,"High",IF(T4808&gt;=2,"Medium","Low")))</f>
        <v/>
      </c>
    </row>
    <row r="4809">
      <c r="R4809">
        <f>IFERROR(XLOOKUP(XLOOKUP(D4809,tblReleaseChanges[Change_ID],tblReleaseChanges[Oracle_Severity],""),tblSeverityMap[Severity_Text],tblSeverityMap[Score],0),0)</f>
        <v/>
      </c>
      <c r="T4809">
        <f>ROUND((M4809*0.25)+(N4809*0.20)+(O4809*0.15)+(P4809*0.15)+(Q4809*0.10)+(R4809*0.10)+(S4809*0.05),2)</f>
        <v/>
      </c>
      <c r="U4809">
        <f>IF(T4809&gt;=4.25,"Critical",IF(T4809&gt;=3.5,"High",IF(T4809&gt;=2,"Medium","Low")))</f>
        <v/>
      </c>
    </row>
    <row r="4810">
      <c r="R4810">
        <f>IFERROR(XLOOKUP(XLOOKUP(D4810,tblReleaseChanges[Change_ID],tblReleaseChanges[Oracle_Severity],""),tblSeverityMap[Severity_Text],tblSeverityMap[Score],0),0)</f>
        <v/>
      </c>
      <c r="T4810">
        <f>ROUND((M4810*0.25)+(N4810*0.20)+(O4810*0.15)+(P4810*0.15)+(Q4810*0.10)+(R4810*0.10)+(S4810*0.05),2)</f>
        <v/>
      </c>
      <c r="U4810">
        <f>IF(T4810&gt;=4.25,"Critical",IF(T4810&gt;=3.5,"High",IF(T4810&gt;=2,"Medium","Low")))</f>
        <v/>
      </c>
    </row>
    <row r="4811">
      <c r="R4811">
        <f>IFERROR(XLOOKUP(XLOOKUP(D4811,tblReleaseChanges[Change_ID],tblReleaseChanges[Oracle_Severity],""),tblSeverityMap[Severity_Text],tblSeverityMap[Score],0),0)</f>
        <v/>
      </c>
      <c r="T4811">
        <f>ROUND((M4811*0.25)+(N4811*0.20)+(O4811*0.15)+(P4811*0.15)+(Q4811*0.10)+(R4811*0.10)+(S4811*0.05),2)</f>
        <v/>
      </c>
      <c r="U4811">
        <f>IF(T4811&gt;=4.25,"Critical",IF(T4811&gt;=3.5,"High",IF(T4811&gt;=2,"Medium","Low")))</f>
        <v/>
      </c>
    </row>
    <row r="4812">
      <c r="R4812">
        <f>IFERROR(XLOOKUP(XLOOKUP(D4812,tblReleaseChanges[Change_ID],tblReleaseChanges[Oracle_Severity],""),tblSeverityMap[Severity_Text],tblSeverityMap[Score],0),0)</f>
        <v/>
      </c>
      <c r="T4812">
        <f>ROUND((M4812*0.25)+(N4812*0.20)+(O4812*0.15)+(P4812*0.15)+(Q4812*0.10)+(R4812*0.10)+(S4812*0.05),2)</f>
        <v/>
      </c>
      <c r="U4812">
        <f>IF(T4812&gt;=4.25,"Critical",IF(T4812&gt;=3.5,"High",IF(T4812&gt;=2,"Medium","Low")))</f>
        <v/>
      </c>
    </row>
    <row r="4813">
      <c r="R4813">
        <f>IFERROR(XLOOKUP(XLOOKUP(D4813,tblReleaseChanges[Change_ID],tblReleaseChanges[Oracle_Severity],""),tblSeverityMap[Severity_Text],tblSeverityMap[Score],0),0)</f>
        <v/>
      </c>
      <c r="T4813">
        <f>ROUND((M4813*0.25)+(N4813*0.20)+(O4813*0.15)+(P4813*0.15)+(Q4813*0.10)+(R4813*0.10)+(S4813*0.05),2)</f>
        <v/>
      </c>
      <c r="U4813">
        <f>IF(T4813&gt;=4.25,"Critical",IF(T4813&gt;=3.5,"High",IF(T4813&gt;=2,"Medium","Low")))</f>
        <v/>
      </c>
    </row>
    <row r="4814">
      <c r="R4814">
        <f>IFERROR(XLOOKUP(XLOOKUP(D4814,tblReleaseChanges[Change_ID],tblReleaseChanges[Oracle_Severity],""),tblSeverityMap[Severity_Text],tblSeverityMap[Score],0),0)</f>
        <v/>
      </c>
      <c r="T4814">
        <f>ROUND((M4814*0.25)+(N4814*0.20)+(O4814*0.15)+(P4814*0.15)+(Q4814*0.10)+(R4814*0.10)+(S4814*0.05),2)</f>
        <v/>
      </c>
      <c r="U4814">
        <f>IF(T4814&gt;=4.25,"Critical",IF(T4814&gt;=3.5,"High",IF(T4814&gt;=2,"Medium","Low")))</f>
        <v/>
      </c>
    </row>
    <row r="4815">
      <c r="R4815">
        <f>IFERROR(XLOOKUP(XLOOKUP(D4815,tblReleaseChanges[Change_ID],tblReleaseChanges[Oracle_Severity],""),tblSeverityMap[Severity_Text],tblSeverityMap[Score],0),0)</f>
        <v/>
      </c>
      <c r="T4815">
        <f>ROUND((M4815*0.25)+(N4815*0.20)+(O4815*0.15)+(P4815*0.15)+(Q4815*0.10)+(R4815*0.10)+(S4815*0.05),2)</f>
        <v/>
      </c>
      <c r="U4815">
        <f>IF(T4815&gt;=4.25,"Critical",IF(T4815&gt;=3.5,"High",IF(T4815&gt;=2,"Medium","Low")))</f>
        <v/>
      </c>
    </row>
    <row r="4816">
      <c r="R4816">
        <f>IFERROR(XLOOKUP(XLOOKUP(D4816,tblReleaseChanges[Change_ID],tblReleaseChanges[Oracle_Severity],""),tblSeverityMap[Severity_Text],tblSeverityMap[Score],0),0)</f>
        <v/>
      </c>
      <c r="T4816">
        <f>ROUND((M4816*0.25)+(N4816*0.20)+(O4816*0.15)+(P4816*0.15)+(Q4816*0.10)+(R4816*0.10)+(S4816*0.05),2)</f>
        <v/>
      </c>
      <c r="U4816">
        <f>IF(T4816&gt;=4.25,"Critical",IF(T4816&gt;=3.5,"High",IF(T4816&gt;=2,"Medium","Low")))</f>
        <v/>
      </c>
    </row>
    <row r="4817">
      <c r="R4817">
        <f>IFERROR(XLOOKUP(XLOOKUP(D4817,tblReleaseChanges[Change_ID],tblReleaseChanges[Oracle_Severity],""),tblSeverityMap[Severity_Text],tblSeverityMap[Score],0),0)</f>
        <v/>
      </c>
      <c r="T4817">
        <f>ROUND((M4817*0.25)+(N4817*0.20)+(O4817*0.15)+(P4817*0.15)+(Q4817*0.10)+(R4817*0.10)+(S4817*0.05),2)</f>
        <v/>
      </c>
      <c r="U4817">
        <f>IF(T4817&gt;=4.25,"Critical",IF(T4817&gt;=3.5,"High",IF(T4817&gt;=2,"Medium","Low")))</f>
        <v/>
      </c>
    </row>
    <row r="4818">
      <c r="R4818">
        <f>IFERROR(XLOOKUP(XLOOKUP(D4818,tblReleaseChanges[Change_ID],tblReleaseChanges[Oracle_Severity],""),tblSeverityMap[Severity_Text],tblSeverityMap[Score],0),0)</f>
        <v/>
      </c>
      <c r="T4818">
        <f>ROUND((M4818*0.25)+(N4818*0.20)+(O4818*0.15)+(P4818*0.15)+(Q4818*0.10)+(R4818*0.10)+(S4818*0.05),2)</f>
        <v/>
      </c>
      <c r="U4818">
        <f>IF(T4818&gt;=4.25,"Critical",IF(T4818&gt;=3.5,"High",IF(T4818&gt;=2,"Medium","Low")))</f>
        <v/>
      </c>
    </row>
    <row r="4819">
      <c r="R4819">
        <f>IFERROR(XLOOKUP(XLOOKUP(D4819,tblReleaseChanges[Change_ID],tblReleaseChanges[Oracle_Severity],""),tblSeverityMap[Severity_Text],tblSeverityMap[Score],0),0)</f>
        <v/>
      </c>
      <c r="T4819">
        <f>ROUND((M4819*0.25)+(N4819*0.20)+(O4819*0.15)+(P4819*0.15)+(Q4819*0.10)+(R4819*0.10)+(S4819*0.05),2)</f>
        <v/>
      </c>
      <c r="U4819">
        <f>IF(T4819&gt;=4.25,"Critical",IF(T4819&gt;=3.5,"High",IF(T4819&gt;=2,"Medium","Low")))</f>
        <v/>
      </c>
    </row>
    <row r="4820">
      <c r="R4820">
        <f>IFERROR(XLOOKUP(XLOOKUP(D4820,tblReleaseChanges[Change_ID],tblReleaseChanges[Oracle_Severity],""),tblSeverityMap[Severity_Text],tblSeverityMap[Score],0),0)</f>
        <v/>
      </c>
      <c r="T4820">
        <f>ROUND((M4820*0.25)+(N4820*0.20)+(O4820*0.15)+(P4820*0.15)+(Q4820*0.10)+(R4820*0.10)+(S4820*0.05),2)</f>
        <v/>
      </c>
      <c r="U4820">
        <f>IF(T4820&gt;=4.25,"Critical",IF(T4820&gt;=3.5,"High",IF(T4820&gt;=2,"Medium","Low")))</f>
        <v/>
      </c>
    </row>
    <row r="4821">
      <c r="R4821">
        <f>IFERROR(XLOOKUP(XLOOKUP(D4821,tblReleaseChanges[Change_ID],tblReleaseChanges[Oracle_Severity],""),tblSeverityMap[Severity_Text],tblSeverityMap[Score],0),0)</f>
        <v/>
      </c>
      <c r="T4821">
        <f>ROUND((M4821*0.25)+(N4821*0.20)+(O4821*0.15)+(P4821*0.15)+(Q4821*0.10)+(R4821*0.10)+(S4821*0.05),2)</f>
        <v/>
      </c>
      <c r="U4821">
        <f>IF(T4821&gt;=4.25,"Critical",IF(T4821&gt;=3.5,"High",IF(T4821&gt;=2,"Medium","Low")))</f>
        <v/>
      </c>
    </row>
    <row r="4822">
      <c r="R4822">
        <f>IFERROR(XLOOKUP(XLOOKUP(D4822,tblReleaseChanges[Change_ID],tblReleaseChanges[Oracle_Severity],""),tblSeverityMap[Severity_Text],tblSeverityMap[Score],0),0)</f>
        <v/>
      </c>
      <c r="T4822">
        <f>ROUND((M4822*0.25)+(N4822*0.20)+(O4822*0.15)+(P4822*0.15)+(Q4822*0.10)+(R4822*0.10)+(S4822*0.05),2)</f>
        <v/>
      </c>
      <c r="U4822">
        <f>IF(T4822&gt;=4.25,"Critical",IF(T4822&gt;=3.5,"High",IF(T4822&gt;=2,"Medium","Low")))</f>
        <v/>
      </c>
    </row>
    <row r="4823">
      <c r="R4823">
        <f>IFERROR(XLOOKUP(XLOOKUP(D4823,tblReleaseChanges[Change_ID],tblReleaseChanges[Oracle_Severity],""),tblSeverityMap[Severity_Text],tblSeverityMap[Score],0),0)</f>
        <v/>
      </c>
      <c r="T4823">
        <f>ROUND((M4823*0.25)+(N4823*0.20)+(O4823*0.15)+(P4823*0.15)+(Q4823*0.10)+(R4823*0.10)+(S4823*0.05),2)</f>
        <v/>
      </c>
      <c r="U4823">
        <f>IF(T4823&gt;=4.25,"Critical",IF(T4823&gt;=3.5,"High",IF(T4823&gt;=2,"Medium","Low")))</f>
        <v/>
      </c>
    </row>
    <row r="4824">
      <c r="R4824">
        <f>IFERROR(XLOOKUP(XLOOKUP(D4824,tblReleaseChanges[Change_ID],tblReleaseChanges[Oracle_Severity],""),tblSeverityMap[Severity_Text],tblSeverityMap[Score],0),0)</f>
        <v/>
      </c>
      <c r="T4824">
        <f>ROUND((M4824*0.25)+(N4824*0.20)+(O4824*0.15)+(P4824*0.15)+(Q4824*0.10)+(R4824*0.10)+(S4824*0.05),2)</f>
        <v/>
      </c>
      <c r="U4824">
        <f>IF(T4824&gt;=4.25,"Critical",IF(T4824&gt;=3.5,"High",IF(T4824&gt;=2,"Medium","Low")))</f>
        <v/>
      </c>
    </row>
    <row r="4825">
      <c r="R4825">
        <f>IFERROR(XLOOKUP(XLOOKUP(D4825,tblReleaseChanges[Change_ID],tblReleaseChanges[Oracle_Severity],""),tblSeverityMap[Severity_Text],tblSeverityMap[Score],0),0)</f>
        <v/>
      </c>
      <c r="T4825">
        <f>ROUND((M4825*0.25)+(N4825*0.20)+(O4825*0.15)+(P4825*0.15)+(Q4825*0.10)+(R4825*0.10)+(S4825*0.05),2)</f>
        <v/>
      </c>
      <c r="U4825">
        <f>IF(T4825&gt;=4.25,"Critical",IF(T4825&gt;=3.5,"High",IF(T4825&gt;=2,"Medium","Low")))</f>
        <v/>
      </c>
    </row>
    <row r="4826">
      <c r="R4826">
        <f>IFERROR(XLOOKUP(XLOOKUP(D4826,tblReleaseChanges[Change_ID],tblReleaseChanges[Oracle_Severity],""),tblSeverityMap[Severity_Text],tblSeverityMap[Score],0),0)</f>
        <v/>
      </c>
      <c r="T4826">
        <f>ROUND((M4826*0.25)+(N4826*0.20)+(O4826*0.15)+(P4826*0.15)+(Q4826*0.10)+(R4826*0.10)+(S4826*0.05),2)</f>
        <v/>
      </c>
      <c r="U4826">
        <f>IF(T4826&gt;=4.25,"Critical",IF(T4826&gt;=3.5,"High",IF(T4826&gt;=2,"Medium","Low")))</f>
        <v/>
      </c>
    </row>
    <row r="4827">
      <c r="R4827">
        <f>IFERROR(XLOOKUP(XLOOKUP(D4827,tblReleaseChanges[Change_ID],tblReleaseChanges[Oracle_Severity],""),tblSeverityMap[Severity_Text],tblSeverityMap[Score],0),0)</f>
        <v/>
      </c>
      <c r="T4827">
        <f>ROUND((M4827*0.25)+(N4827*0.20)+(O4827*0.15)+(P4827*0.15)+(Q4827*0.10)+(R4827*0.10)+(S4827*0.05),2)</f>
        <v/>
      </c>
      <c r="U4827">
        <f>IF(T4827&gt;=4.25,"Critical",IF(T4827&gt;=3.5,"High",IF(T4827&gt;=2,"Medium","Low")))</f>
        <v/>
      </c>
    </row>
    <row r="4828">
      <c r="R4828">
        <f>IFERROR(XLOOKUP(XLOOKUP(D4828,tblReleaseChanges[Change_ID],tblReleaseChanges[Oracle_Severity],""),tblSeverityMap[Severity_Text],tblSeverityMap[Score],0),0)</f>
        <v/>
      </c>
      <c r="T4828">
        <f>ROUND((M4828*0.25)+(N4828*0.20)+(O4828*0.15)+(P4828*0.15)+(Q4828*0.10)+(R4828*0.10)+(S4828*0.05),2)</f>
        <v/>
      </c>
      <c r="U4828">
        <f>IF(T4828&gt;=4.25,"Critical",IF(T4828&gt;=3.5,"High",IF(T4828&gt;=2,"Medium","Low")))</f>
        <v/>
      </c>
    </row>
    <row r="4829">
      <c r="R4829">
        <f>IFERROR(XLOOKUP(XLOOKUP(D4829,tblReleaseChanges[Change_ID],tblReleaseChanges[Oracle_Severity],""),tblSeverityMap[Severity_Text],tblSeverityMap[Score],0),0)</f>
        <v/>
      </c>
      <c r="T4829">
        <f>ROUND((M4829*0.25)+(N4829*0.20)+(O4829*0.15)+(P4829*0.15)+(Q4829*0.10)+(R4829*0.10)+(S4829*0.05),2)</f>
        <v/>
      </c>
      <c r="U4829">
        <f>IF(T4829&gt;=4.25,"Critical",IF(T4829&gt;=3.5,"High",IF(T4829&gt;=2,"Medium","Low")))</f>
        <v/>
      </c>
    </row>
    <row r="4830">
      <c r="R4830">
        <f>IFERROR(XLOOKUP(XLOOKUP(D4830,tblReleaseChanges[Change_ID],tblReleaseChanges[Oracle_Severity],""),tblSeverityMap[Severity_Text],tblSeverityMap[Score],0),0)</f>
        <v/>
      </c>
      <c r="T4830">
        <f>ROUND((M4830*0.25)+(N4830*0.20)+(O4830*0.15)+(P4830*0.15)+(Q4830*0.10)+(R4830*0.10)+(S4830*0.05),2)</f>
        <v/>
      </c>
      <c r="U4830">
        <f>IF(T4830&gt;=4.25,"Critical",IF(T4830&gt;=3.5,"High",IF(T4830&gt;=2,"Medium","Low")))</f>
        <v/>
      </c>
    </row>
    <row r="4831">
      <c r="R4831">
        <f>IFERROR(XLOOKUP(XLOOKUP(D4831,tblReleaseChanges[Change_ID],tblReleaseChanges[Oracle_Severity],""),tblSeverityMap[Severity_Text],tblSeverityMap[Score],0),0)</f>
        <v/>
      </c>
      <c r="T4831">
        <f>ROUND((M4831*0.25)+(N4831*0.20)+(O4831*0.15)+(P4831*0.15)+(Q4831*0.10)+(R4831*0.10)+(S4831*0.05),2)</f>
        <v/>
      </c>
      <c r="U4831">
        <f>IF(T4831&gt;=4.25,"Critical",IF(T4831&gt;=3.5,"High",IF(T4831&gt;=2,"Medium","Low")))</f>
        <v/>
      </c>
    </row>
    <row r="4832">
      <c r="R4832">
        <f>IFERROR(XLOOKUP(XLOOKUP(D4832,tblReleaseChanges[Change_ID],tblReleaseChanges[Oracle_Severity],""),tblSeverityMap[Severity_Text],tblSeverityMap[Score],0),0)</f>
        <v/>
      </c>
      <c r="T4832">
        <f>ROUND((M4832*0.25)+(N4832*0.20)+(O4832*0.15)+(P4832*0.15)+(Q4832*0.10)+(R4832*0.10)+(S4832*0.05),2)</f>
        <v/>
      </c>
      <c r="U4832">
        <f>IF(T4832&gt;=4.25,"Critical",IF(T4832&gt;=3.5,"High",IF(T4832&gt;=2,"Medium","Low")))</f>
        <v/>
      </c>
    </row>
    <row r="4833">
      <c r="R4833">
        <f>IFERROR(XLOOKUP(XLOOKUP(D4833,tblReleaseChanges[Change_ID],tblReleaseChanges[Oracle_Severity],""),tblSeverityMap[Severity_Text],tblSeverityMap[Score],0),0)</f>
        <v/>
      </c>
      <c r="T4833">
        <f>ROUND((M4833*0.25)+(N4833*0.20)+(O4833*0.15)+(P4833*0.15)+(Q4833*0.10)+(R4833*0.10)+(S4833*0.05),2)</f>
        <v/>
      </c>
      <c r="U4833">
        <f>IF(T4833&gt;=4.25,"Critical",IF(T4833&gt;=3.5,"High",IF(T4833&gt;=2,"Medium","Low")))</f>
        <v/>
      </c>
    </row>
    <row r="4834">
      <c r="R4834">
        <f>IFERROR(XLOOKUP(XLOOKUP(D4834,tblReleaseChanges[Change_ID],tblReleaseChanges[Oracle_Severity],""),tblSeverityMap[Severity_Text],tblSeverityMap[Score],0),0)</f>
        <v/>
      </c>
      <c r="T4834">
        <f>ROUND((M4834*0.25)+(N4834*0.20)+(O4834*0.15)+(P4834*0.15)+(Q4834*0.10)+(R4834*0.10)+(S4834*0.05),2)</f>
        <v/>
      </c>
      <c r="U4834">
        <f>IF(T4834&gt;=4.25,"Critical",IF(T4834&gt;=3.5,"High",IF(T4834&gt;=2,"Medium","Low")))</f>
        <v/>
      </c>
    </row>
    <row r="4835">
      <c r="R4835">
        <f>IFERROR(XLOOKUP(XLOOKUP(D4835,tblReleaseChanges[Change_ID],tblReleaseChanges[Oracle_Severity],""),tblSeverityMap[Severity_Text],tblSeverityMap[Score],0),0)</f>
        <v/>
      </c>
      <c r="T4835">
        <f>ROUND((M4835*0.25)+(N4835*0.20)+(O4835*0.15)+(P4835*0.15)+(Q4835*0.10)+(R4835*0.10)+(S4835*0.05),2)</f>
        <v/>
      </c>
      <c r="U4835">
        <f>IF(T4835&gt;=4.25,"Critical",IF(T4835&gt;=3.5,"High",IF(T4835&gt;=2,"Medium","Low")))</f>
        <v/>
      </c>
    </row>
    <row r="4836">
      <c r="R4836">
        <f>IFERROR(XLOOKUP(XLOOKUP(D4836,tblReleaseChanges[Change_ID],tblReleaseChanges[Oracle_Severity],""),tblSeverityMap[Severity_Text],tblSeverityMap[Score],0),0)</f>
        <v/>
      </c>
      <c r="T4836">
        <f>ROUND((M4836*0.25)+(N4836*0.20)+(O4836*0.15)+(P4836*0.15)+(Q4836*0.10)+(R4836*0.10)+(S4836*0.05),2)</f>
        <v/>
      </c>
      <c r="U4836">
        <f>IF(T4836&gt;=4.25,"Critical",IF(T4836&gt;=3.5,"High",IF(T4836&gt;=2,"Medium","Low")))</f>
        <v/>
      </c>
    </row>
    <row r="4837">
      <c r="R4837">
        <f>IFERROR(XLOOKUP(XLOOKUP(D4837,tblReleaseChanges[Change_ID],tblReleaseChanges[Oracle_Severity],""),tblSeverityMap[Severity_Text],tblSeverityMap[Score],0),0)</f>
        <v/>
      </c>
      <c r="T4837">
        <f>ROUND((M4837*0.25)+(N4837*0.20)+(O4837*0.15)+(P4837*0.15)+(Q4837*0.10)+(R4837*0.10)+(S4837*0.05),2)</f>
        <v/>
      </c>
      <c r="U4837">
        <f>IF(T4837&gt;=4.25,"Critical",IF(T4837&gt;=3.5,"High",IF(T4837&gt;=2,"Medium","Low")))</f>
        <v/>
      </c>
    </row>
    <row r="4838">
      <c r="R4838">
        <f>IFERROR(XLOOKUP(XLOOKUP(D4838,tblReleaseChanges[Change_ID],tblReleaseChanges[Oracle_Severity],""),tblSeverityMap[Severity_Text],tblSeverityMap[Score],0),0)</f>
        <v/>
      </c>
      <c r="T4838">
        <f>ROUND((M4838*0.25)+(N4838*0.20)+(O4838*0.15)+(P4838*0.15)+(Q4838*0.10)+(R4838*0.10)+(S4838*0.05),2)</f>
        <v/>
      </c>
      <c r="U4838">
        <f>IF(T4838&gt;=4.25,"Critical",IF(T4838&gt;=3.5,"High",IF(T4838&gt;=2,"Medium","Low")))</f>
        <v/>
      </c>
    </row>
    <row r="4839">
      <c r="R4839">
        <f>IFERROR(XLOOKUP(XLOOKUP(D4839,tblReleaseChanges[Change_ID],tblReleaseChanges[Oracle_Severity],""),tblSeverityMap[Severity_Text],tblSeverityMap[Score],0),0)</f>
        <v/>
      </c>
      <c r="T4839">
        <f>ROUND((M4839*0.25)+(N4839*0.20)+(O4839*0.15)+(P4839*0.15)+(Q4839*0.10)+(R4839*0.10)+(S4839*0.05),2)</f>
        <v/>
      </c>
      <c r="U4839">
        <f>IF(T4839&gt;=4.25,"Critical",IF(T4839&gt;=3.5,"High",IF(T4839&gt;=2,"Medium","Low")))</f>
        <v/>
      </c>
    </row>
    <row r="4840">
      <c r="R4840">
        <f>IFERROR(XLOOKUP(XLOOKUP(D4840,tblReleaseChanges[Change_ID],tblReleaseChanges[Oracle_Severity],""),tblSeverityMap[Severity_Text],tblSeverityMap[Score],0),0)</f>
        <v/>
      </c>
      <c r="T4840">
        <f>ROUND((M4840*0.25)+(N4840*0.20)+(O4840*0.15)+(P4840*0.15)+(Q4840*0.10)+(R4840*0.10)+(S4840*0.05),2)</f>
        <v/>
      </c>
      <c r="U4840">
        <f>IF(T4840&gt;=4.25,"Critical",IF(T4840&gt;=3.5,"High",IF(T4840&gt;=2,"Medium","Low")))</f>
        <v/>
      </c>
    </row>
    <row r="4841">
      <c r="R4841">
        <f>IFERROR(XLOOKUP(XLOOKUP(D4841,tblReleaseChanges[Change_ID],tblReleaseChanges[Oracle_Severity],""),tblSeverityMap[Severity_Text],tblSeverityMap[Score],0),0)</f>
        <v/>
      </c>
      <c r="T4841">
        <f>ROUND((M4841*0.25)+(N4841*0.20)+(O4841*0.15)+(P4841*0.15)+(Q4841*0.10)+(R4841*0.10)+(S4841*0.05),2)</f>
        <v/>
      </c>
      <c r="U4841">
        <f>IF(T4841&gt;=4.25,"Critical",IF(T4841&gt;=3.5,"High",IF(T4841&gt;=2,"Medium","Low")))</f>
        <v/>
      </c>
    </row>
    <row r="4842">
      <c r="R4842">
        <f>IFERROR(XLOOKUP(XLOOKUP(D4842,tblReleaseChanges[Change_ID],tblReleaseChanges[Oracle_Severity],""),tblSeverityMap[Severity_Text],tblSeverityMap[Score],0),0)</f>
        <v/>
      </c>
      <c r="T4842">
        <f>ROUND((M4842*0.25)+(N4842*0.20)+(O4842*0.15)+(P4842*0.15)+(Q4842*0.10)+(R4842*0.10)+(S4842*0.05),2)</f>
        <v/>
      </c>
      <c r="U4842">
        <f>IF(T4842&gt;=4.25,"Critical",IF(T4842&gt;=3.5,"High",IF(T4842&gt;=2,"Medium","Low")))</f>
        <v/>
      </c>
    </row>
    <row r="4843">
      <c r="R4843">
        <f>IFERROR(XLOOKUP(XLOOKUP(D4843,tblReleaseChanges[Change_ID],tblReleaseChanges[Oracle_Severity],""),tblSeverityMap[Severity_Text],tblSeverityMap[Score],0),0)</f>
        <v/>
      </c>
      <c r="T4843">
        <f>ROUND((M4843*0.25)+(N4843*0.20)+(O4843*0.15)+(P4843*0.15)+(Q4843*0.10)+(R4843*0.10)+(S4843*0.05),2)</f>
        <v/>
      </c>
      <c r="U4843">
        <f>IF(T4843&gt;=4.25,"Critical",IF(T4843&gt;=3.5,"High",IF(T4843&gt;=2,"Medium","Low")))</f>
        <v/>
      </c>
    </row>
    <row r="4844">
      <c r="R4844">
        <f>IFERROR(XLOOKUP(XLOOKUP(D4844,tblReleaseChanges[Change_ID],tblReleaseChanges[Oracle_Severity],""),tblSeverityMap[Severity_Text],tblSeverityMap[Score],0),0)</f>
        <v/>
      </c>
      <c r="T4844">
        <f>ROUND((M4844*0.25)+(N4844*0.20)+(O4844*0.15)+(P4844*0.15)+(Q4844*0.10)+(R4844*0.10)+(S4844*0.05),2)</f>
        <v/>
      </c>
      <c r="U4844">
        <f>IF(T4844&gt;=4.25,"Critical",IF(T4844&gt;=3.5,"High",IF(T4844&gt;=2,"Medium","Low")))</f>
        <v/>
      </c>
    </row>
    <row r="4845">
      <c r="R4845">
        <f>IFERROR(XLOOKUP(XLOOKUP(D4845,tblReleaseChanges[Change_ID],tblReleaseChanges[Oracle_Severity],""),tblSeverityMap[Severity_Text],tblSeverityMap[Score],0),0)</f>
        <v/>
      </c>
      <c r="T4845">
        <f>ROUND((M4845*0.25)+(N4845*0.20)+(O4845*0.15)+(P4845*0.15)+(Q4845*0.10)+(R4845*0.10)+(S4845*0.05),2)</f>
        <v/>
      </c>
      <c r="U4845">
        <f>IF(T4845&gt;=4.25,"Critical",IF(T4845&gt;=3.5,"High",IF(T4845&gt;=2,"Medium","Low")))</f>
        <v/>
      </c>
    </row>
    <row r="4846">
      <c r="R4846">
        <f>IFERROR(XLOOKUP(XLOOKUP(D4846,tblReleaseChanges[Change_ID],tblReleaseChanges[Oracle_Severity],""),tblSeverityMap[Severity_Text],tblSeverityMap[Score],0),0)</f>
        <v/>
      </c>
      <c r="T4846">
        <f>ROUND((M4846*0.25)+(N4846*0.20)+(O4846*0.15)+(P4846*0.15)+(Q4846*0.10)+(R4846*0.10)+(S4846*0.05),2)</f>
        <v/>
      </c>
      <c r="U4846">
        <f>IF(T4846&gt;=4.25,"Critical",IF(T4846&gt;=3.5,"High",IF(T4846&gt;=2,"Medium","Low")))</f>
        <v/>
      </c>
    </row>
    <row r="4847">
      <c r="R4847">
        <f>IFERROR(XLOOKUP(XLOOKUP(D4847,tblReleaseChanges[Change_ID],tblReleaseChanges[Oracle_Severity],""),tblSeverityMap[Severity_Text],tblSeverityMap[Score],0),0)</f>
        <v/>
      </c>
      <c r="T4847">
        <f>ROUND((M4847*0.25)+(N4847*0.20)+(O4847*0.15)+(P4847*0.15)+(Q4847*0.10)+(R4847*0.10)+(S4847*0.05),2)</f>
        <v/>
      </c>
      <c r="U4847">
        <f>IF(T4847&gt;=4.25,"Critical",IF(T4847&gt;=3.5,"High",IF(T4847&gt;=2,"Medium","Low")))</f>
        <v/>
      </c>
    </row>
    <row r="4848">
      <c r="R4848">
        <f>IFERROR(XLOOKUP(XLOOKUP(D4848,tblReleaseChanges[Change_ID],tblReleaseChanges[Oracle_Severity],""),tblSeverityMap[Severity_Text],tblSeverityMap[Score],0),0)</f>
        <v/>
      </c>
      <c r="T4848">
        <f>ROUND((M4848*0.25)+(N4848*0.20)+(O4848*0.15)+(P4848*0.15)+(Q4848*0.10)+(R4848*0.10)+(S4848*0.05),2)</f>
        <v/>
      </c>
      <c r="U4848">
        <f>IF(T4848&gt;=4.25,"Critical",IF(T4848&gt;=3.5,"High",IF(T4848&gt;=2,"Medium","Low")))</f>
        <v/>
      </c>
    </row>
    <row r="4849">
      <c r="R4849">
        <f>IFERROR(XLOOKUP(XLOOKUP(D4849,tblReleaseChanges[Change_ID],tblReleaseChanges[Oracle_Severity],""),tblSeverityMap[Severity_Text],tblSeverityMap[Score],0),0)</f>
        <v/>
      </c>
      <c r="T4849">
        <f>ROUND((M4849*0.25)+(N4849*0.20)+(O4849*0.15)+(P4849*0.15)+(Q4849*0.10)+(R4849*0.10)+(S4849*0.05),2)</f>
        <v/>
      </c>
      <c r="U4849">
        <f>IF(T4849&gt;=4.25,"Critical",IF(T4849&gt;=3.5,"High",IF(T4849&gt;=2,"Medium","Low")))</f>
        <v/>
      </c>
    </row>
    <row r="4850">
      <c r="R4850">
        <f>IFERROR(XLOOKUP(XLOOKUP(D4850,tblReleaseChanges[Change_ID],tblReleaseChanges[Oracle_Severity],""),tblSeverityMap[Severity_Text],tblSeverityMap[Score],0),0)</f>
        <v/>
      </c>
      <c r="T4850">
        <f>ROUND((M4850*0.25)+(N4850*0.20)+(O4850*0.15)+(P4850*0.15)+(Q4850*0.10)+(R4850*0.10)+(S4850*0.05),2)</f>
        <v/>
      </c>
      <c r="U4850">
        <f>IF(T4850&gt;=4.25,"Critical",IF(T4850&gt;=3.5,"High",IF(T4850&gt;=2,"Medium","Low")))</f>
        <v/>
      </c>
    </row>
    <row r="4851">
      <c r="R4851">
        <f>IFERROR(XLOOKUP(XLOOKUP(D4851,tblReleaseChanges[Change_ID],tblReleaseChanges[Oracle_Severity],""),tblSeverityMap[Severity_Text],tblSeverityMap[Score],0),0)</f>
        <v/>
      </c>
      <c r="T4851">
        <f>ROUND((M4851*0.25)+(N4851*0.20)+(O4851*0.15)+(P4851*0.15)+(Q4851*0.10)+(R4851*0.10)+(S4851*0.05),2)</f>
        <v/>
      </c>
      <c r="U4851">
        <f>IF(T4851&gt;=4.25,"Critical",IF(T4851&gt;=3.5,"High",IF(T4851&gt;=2,"Medium","Low")))</f>
        <v/>
      </c>
    </row>
    <row r="4852">
      <c r="R4852">
        <f>IFERROR(XLOOKUP(XLOOKUP(D4852,tblReleaseChanges[Change_ID],tblReleaseChanges[Oracle_Severity],""),tblSeverityMap[Severity_Text],tblSeverityMap[Score],0),0)</f>
        <v/>
      </c>
      <c r="T4852">
        <f>ROUND((M4852*0.25)+(N4852*0.20)+(O4852*0.15)+(P4852*0.15)+(Q4852*0.10)+(R4852*0.10)+(S4852*0.05),2)</f>
        <v/>
      </c>
      <c r="U4852">
        <f>IF(T4852&gt;=4.25,"Critical",IF(T4852&gt;=3.5,"High",IF(T4852&gt;=2,"Medium","Low")))</f>
        <v/>
      </c>
    </row>
    <row r="4853">
      <c r="R4853">
        <f>IFERROR(XLOOKUP(XLOOKUP(D4853,tblReleaseChanges[Change_ID],tblReleaseChanges[Oracle_Severity],""),tblSeverityMap[Severity_Text],tblSeverityMap[Score],0),0)</f>
        <v/>
      </c>
      <c r="T4853">
        <f>ROUND((M4853*0.25)+(N4853*0.20)+(O4853*0.15)+(P4853*0.15)+(Q4853*0.10)+(R4853*0.10)+(S4853*0.05),2)</f>
        <v/>
      </c>
      <c r="U4853">
        <f>IF(T4853&gt;=4.25,"Critical",IF(T4853&gt;=3.5,"High",IF(T4853&gt;=2,"Medium","Low")))</f>
        <v/>
      </c>
    </row>
    <row r="4854">
      <c r="R4854">
        <f>IFERROR(XLOOKUP(XLOOKUP(D4854,tblReleaseChanges[Change_ID],tblReleaseChanges[Oracle_Severity],""),tblSeverityMap[Severity_Text],tblSeverityMap[Score],0),0)</f>
        <v/>
      </c>
      <c r="T4854">
        <f>ROUND((M4854*0.25)+(N4854*0.20)+(O4854*0.15)+(P4854*0.15)+(Q4854*0.10)+(R4854*0.10)+(S4854*0.05),2)</f>
        <v/>
      </c>
      <c r="U4854">
        <f>IF(T4854&gt;=4.25,"Critical",IF(T4854&gt;=3.5,"High",IF(T4854&gt;=2,"Medium","Low")))</f>
        <v/>
      </c>
    </row>
    <row r="4855">
      <c r="R4855">
        <f>IFERROR(XLOOKUP(XLOOKUP(D4855,tblReleaseChanges[Change_ID],tblReleaseChanges[Oracle_Severity],""),tblSeverityMap[Severity_Text],tblSeverityMap[Score],0),0)</f>
        <v/>
      </c>
      <c r="T4855">
        <f>ROUND((M4855*0.25)+(N4855*0.20)+(O4855*0.15)+(P4855*0.15)+(Q4855*0.10)+(R4855*0.10)+(S4855*0.05),2)</f>
        <v/>
      </c>
      <c r="U4855">
        <f>IF(T4855&gt;=4.25,"Critical",IF(T4855&gt;=3.5,"High",IF(T4855&gt;=2,"Medium","Low")))</f>
        <v/>
      </c>
    </row>
    <row r="4856">
      <c r="R4856">
        <f>IFERROR(XLOOKUP(XLOOKUP(D4856,tblReleaseChanges[Change_ID],tblReleaseChanges[Oracle_Severity],""),tblSeverityMap[Severity_Text],tblSeverityMap[Score],0),0)</f>
        <v/>
      </c>
      <c r="T4856">
        <f>ROUND((M4856*0.25)+(N4856*0.20)+(O4856*0.15)+(P4856*0.15)+(Q4856*0.10)+(R4856*0.10)+(S4856*0.05),2)</f>
        <v/>
      </c>
      <c r="U4856">
        <f>IF(T4856&gt;=4.25,"Critical",IF(T4856&gt;=3.5,"High",IF(T4856&gt;=2,"Medium","Low")))</f>
        <v/>
      </c>
    </row>
    <row r="4857">
      <c r="R4857">
        <f>IFERROR(XLOOKUP(XLOOKUP(D4857,tblReleaseChanges[Change_ID],tblReleaseChanges[Oracle_Severity],""),tblSeverityMap[Severity_Text],tblSeverityMap[Score],0),0)</f>
        <v/>
      </c>
      <c r="T4857">
        <f>ROUND((M4857*0.25)+(N4857*0.20)+(O4857*0.15)+(P4857*0.15)+(Q4857*0.10)+(R4857*0.10)+(S4857*0.05),2)</f>
        <v/>
      </c>
      <c r="U4857">
        <f>IF(T4857&gt;=4.25,"Critical",IF(T4857&gt;=3.5,"High",IF(T4857&gt;=2,"Medium","Low")))</f>
        <v/>
      </c>
    </row>
    <row r="4858">
      <c r="R4858">
        <f>IFERROR(XLOOKUP(XLOOKUP(D4858,tblReleaseChanges[Change_ID],tblReleaseChanges[Oracle_Severity],""),tblSeverityMap[Severity_Text],tblSeverityMap[Score],0),0)</f>
        <v/>
      </c>
      <c r="T4858">
        <f>ROUND((M4858*0.25)+(N4858*0.20)+(O4858*0.15)+(P4858*0.15)+(Q4858*0.10)+(R4858*0.10)+(S4858*0.05),2)</f>
        <v/>
      </c>
      <c r="U4858">
        <f>IF(T4858&gt;=4.25,"Critical",IF(T4858&gt;=3.5,"High",IF(T4858&gt;=2,"Medium","Low")))</f>
        <v/>
      </c>
    </row>
    <row r="4859">
      <c r="R4859">
        <f>IFERROR(XLOOKUP(XLOOKUP(D4859,tblReleaseChanges[Change_ID],tblReleaseChanges[Oracle_Severity],""),tblSeverityMap[Severity_Text],tblSeverityMap[Score],0),0)</f>
        <v/>
      </c>
      <c r="T4859">
        <f>ROUND((M4859*0.25)+(N4859*0.20)+(O4859*0.15)+(P4859*0.15)+(Q4859*0.10)+(R4859*0.10)+(S4859*0.05),2)</f>
        <v/>
      </c>
      <c r="U4859">
        <f>IF(T4859&gt;=4.25,"Critical",IF(T4859&gt;=3.5,"High",IF(T4859&gt;=2,"Medium","Low")))</f>
        <v/>
      </c>
    </row>
    <row r="4860">
      <c r="R4860">
        <f>IFERROR(XLOOKUP(XLOOKUP(D4860,tblReleaseChanges[Change_ID],tblReleaseChanges[Oracle_Severity],""),tblSeverityMap[Severity_Text],tblSeverityMap[Score],0),0)</f>
        <v/>
      </c>
      <c r="T4860">
        <f>ROUND((M4860*0.25)+(N4860*0.20)+(O4860*0.15)+(P4860*0.15)+(Q4860*0.10)+(R4860*0.10)+(S4860*0.05),2)</f>
        <v/>
      </c>
      <c r="U4860">
        <f>IF(T4860&gt;=4.25,"Critical",IF(T4860&gt;=3.5,"High",IF(T4860&gt;=2,"Medium","Low")))</f>
        <v/>
      </c>
    </row>
    <row r="4861">
      <c r="R4861">
        <f>IFERROR(XLOOKUP(XLOOKUP(D4861,tblReleaseChanges[Change_ID],tblReleaseChanges[Oracle_Severity],""),tblSeverityMap[Severity_Text],tblSeverityMap[Score],0),0)</f>
        <v/>
      </c>
      <c r="T4861">
        <f>ROUND((M4861*0.25)+(N4861*0.20)+(O4861*0.15)+(P4861*0.15)+(Q4861*0.10)+(R4861*0.10)+(S4861*0.05),2)</f>
        <v/>
      </c>
      <c r="U4861">
        <f>IF(T4861&gt;=4.25,"Critical",IF(T4861&gt;=3.5,"High",IF(T4861&gt;=2,"Medium","Low")))</f>
        <v/>
      </c>
    </row>
    <row r="4862">
      <c r="R4862">
        <f>IFERROR(XLOOKUP(XLOOKUP(D4862,tblReleaseChanges[Change_ID],tblReleaseChanges[Oracle_Severity],""),tblSeverityMap[Severity_Text],tblSeverityMap[Score],0),0)</f>
        <v/>
      </c>
      <c r="T4862">
        <f>ROUND((M4862*0.25)+(N4862*0.20)+(O4862*0.15)+(P4862*0.15)+(Q4862*0.10)+(R4862*0.10)+(S4862*0.05),2)</f>
        <v/>
      </c>
      <c r="U4862">
        <f>IF(T4862&gt;=4.25,"Critical",IF(T4862&gt;=3.5,"High",IF(T4862&gt;=2,"Medium","Low")))</f>
        <v/>
      </c>
    </row>
    <row r="4863">
      <c r="R4863">
        <f>IFERROR(XLOOKUP(XLOOKUP(D4863,tblReleaseChanges[Change_ID],tblReleaseChanges[Oracle_Severity],""),tblSeverityMap[Severity_Text],tblSeverityMap[Score],0),0)</f>
        <v/>
      </c>
      <c r="T4863">
        <f>ROUND((M4863*0.25)+(N4863*0.20)+(O4863*0.15)+(P4863*0.15)+(Q4863*0.10)+(R4863*0.10)+(S4863*0.05),2)</f>
        <v/>
      </c>
      <c r="U4863">
        <f>IF(T4863&gt;=4.25,"Critical",IF(T4863&gt;=3.5,"High",IF(T4863&gt;=2,"Medium","Low")))</f>
        <v/>
      </c>
    </row>
    <row r="4864">
      <c r="R4864">
        <f>IFERROR(XLOOKUP(XLOOKUP(D4864,tblReleaseChanges[Change_ID],tblReleaseChanges[Oracle_Severity],""),tblSeverityMap[Severity_Text],tblSeverityMap[Score],0),0)</f>
        <v/>
      </c>
      <c r="T4864">
        <f>ROUND((M4864*0.25)+(N4864*0.20)+(O4864*0.15)+(P4864*0.15)+(Q4864*0.10)+(R4864*0.10)+(S4864*0.05),2)</f>
        <v/>
      </c>
      <c r="U4864">
        <f>IF(T4864&gt;=4.25,"Critical",IF(T4864&gt;=3.5,"High",IF(T4864&gt;=2,"Medium","Low")))</f>
        <v/>
      </c>
    </row>
    <row r="4865">
      <c r="R4865">
        <f>IFERROR(XLOOKUP(XLOOKUP(D4865,tblReleaseChanges[Change_ID],tblReleaseChanges[Oracle_Severity],""),tblSeverityMap[Severity_Text],tblSeverityMap[Score],0),0)</f>
        <v/>
      </c>
      <c r="T4865">
        <f>ROUND((M4865*0.25)+(N4865*0.20)+(O4865*0.15)+(P4865*0.15)+(Q4865*0.10)+(R4865*0.10)+(S4865*0.05),2)</f>
        <v/>
      </c>
      <c r="U4865">
        <f>IF(T4865&gt;=4.25,"Critical",IF(T4865&gt;=3.5,"High",IF(T4865&gt;=2,"Medium","Low")))</f>
        <v/>
      </c>
    </row>
    <row r="4866">
      <c r="R4866">
        <f>IFERROR(XLOOKUP(XLOOKUP(D4866,tblReleaseChanges[Change_ID],tblReleaseChanges[Oracle_Severity],""),tblSeverityMap[Severity_Text],tblSeverityMap[Score],0),0)</f>
        <v/>
      </c>
      <c r="T4866">
        <f>ROUND((M4866*0.25)+(N4866*0.20)+(O4866*0.15)+(P4866*0.15)+(Q4866*0.10)+(R4866*0.10)+(S4866*0.05),2)</f>
        <v/>
      </c>
      <c r="U4866">
        <f>IF(T4866&gt;=4.25,"Critical",IF(T4866&gt;=3.5,"High",IF(T4866&gt;=2,"Medium","Low")))</f>
        <v/>
      </c>
    </row>
    <row r="4867">
      <c r="R4867">
        <f>IFERROR(XLOOKUP(XLOOKUP(D4867,tblReleaseChanges[Change_ID],tblReleaseChanges[Oracle_Severity],""),tblSeverityMap[Severity_Text],tblSeverityMap[Score],0),0)</f>
        <v/>
      </c>
      <c r="T4867">
        <f>ROUND((M4867*0.25)+(N4867*0.20)+(O4867*0.15)+(P4867*0.15)+(Q4867*0.10)+(R4867*0.10)+(S4867*0.05),2)</f>
        <v/>
      </c>
      <c r="U4867">
        <f>IF(T4867&gt;=4.25,"Critical",IF(T4867&gt;=3.5,"High",IF(T4867&gt;=2,"Medium","Low")))</f>
        <v/>
      </c>
    </row>
    <row r="4868">
      <c r="R4868">
        <f>IFERROR(XLOOKUP(XLOOKUP(D4868,tblReleaseChanges[Change_ID],tblReleaseChanges[Oracle_Severity],""),tblSeverityMap[Severity_Text],tblSeverityMap[Score],0),0)</f>
        <v/>
      </c>
      <c r="T4868">
        <f>ROUND((M4868*0.25)+(N4868*0.20)+(O4868*0.15)+(P4868*0.15)+(Q4868*0.10)+(R4868*0.10)+(S4868*0.05),2)</f>
        <v/>
      </c>
      <c r="U4868">
        <f>IF(T4868&gt;=4.25,"Critical",IF(T4868&gt;=3.5,"High",IF(T4868&gt;=2,"Medium","Low")))</f>
        <v/>
      </c>
    </row>
    <row r="4869">
      <c r="R4869">
        <f>IFERROR(XLOOKUP(XLOOKUP(D4869,tblReleaseChanges[Change_ID],tblReleaseChanges[Oracle_Severity],""),tblSeverityMap[Severity_Text],tblSeverityMap[Score],0),0)</f>
        <v/>
      </c>
      <c r="T4869">
        <f>ROUND((M4869*0.25)+(N4869*0.20)+(O4869*0.15)+(P4869*0.15)+(Q4869*0.10)+(R4869*0.10)+(S4869*0.05),2)</f>
        <v/>
      </c>
      <c r="U4869">
        <f>IF(T4869&gt;=4.25,"Critical",IF(T4869&gt;=3.5,"High",IF(T4869&gt;=2,"Medium","Low")))</f>
        <v/>
      </c>
    </row>
    <row r="4870">
      <c r="R4870">
        <f>IFERROR(XLOOKUP(XLOOKUP(D4870,tblReleaseChanges[Change_ID],tblReleaseChanges[Oracle_Severity],""),tblSeverityMap[Severity_Text],tblSeverityMap[Score],0),0)</f>
        <v/>
      </c>
      <c r="T4870">
        <f>ROUND((M4870*0.25)+(N4870*0.20)+(O4870*0.15)+(P4870*0.15)+(Q4870*0.10)+(R4870*0.10)+(S4870*0.05),2)</f>
        <v/>
      </c>
      <c r="U4870">
        <f>IF(T4870&gt;=4.25,"Critical",IF(T4870&gt;=3.5,"High",IF(T4870&gt;=2,"Medium","Low")))</f>
        <v/>
      </c>
    </row>
    <row r="4871">
      <c r="R4871">
        <f>IFERROR(XLOOKUP(XLOOKUP(D4871,tblReleaseChanges[Change_ID],tblReleaseChanges[Oracle_Severity],""),tblSeverityMap[Severity_Text],tblSeverityMap[Score],0),0)</f>
        <v/>
      </c>
      <c r="T4871">
        <f>ROUND((M4871*0.25)+(N4871*0.20)+(O4871*0.15)+(P4871*0.15)+(Q4871*0.10)+(R4871*0.10)+(S4871*0.05),2)</f>
        <v/>
      </c>
      <c r="U4871">
        <f>IF(T4871&gt;=4.25,"Critical",IF(T4871&gt;=3.5,"High",IF(T4871&gt;=2,"Medium","Low")))</f>
        <v/>
      </c>
    </row>
    <row r="4872">
      <c r="R4872">
        <f>IFERROR(XLOOKUP(XLOOKUP(D4872,tblReleaseChanges[Change_ID],tblReleaseChanges[Oracle_Severity],""),tblSeverityMap[Severity_Text],tblSeverityMap[Score],0),0)</f>
        <v/>
      </c>
      <c r="T4872">
        <f>ROUND((M4872*0.25)+(N4872*0.20)+(O4872*0.15)+(P4872*0.15)+(Q4872*0.10)+(R4872*0.10)+(S4872*0.05),2)</f>
        <v/>
      </c>
      <c r="U4872">
        <f>IF(T4872&gt;=4.25,"Critical",IF(T4872&gt;=3.5,"High",IF(T4872&gt;=2,"Medium","Low")))</f>
        <v/>
      </c>
    </row>
    <row r="4873">
      <c r="R4873">
        <f>IFERROR(XLOOKUP(XLOOKUP(D4873,tblReleaseChanges[Change_ID],tblReleaseChanges[Oracle_Severity],""),tblSeverityMap[Severity_Text],tblSeverityMap[Score],0),0)</f>
        <v/>
      </c>
      <c r="T4873">
        <f>ROUND((M4873*0.25)+(N4873*0.20)+(O4873*0.15)+(P4873*0.15)+(Q4873*0.10)+(R4873*0.10)+(S4873*0.05),2)</f>
        <v/>
      </c>
      <c r="U4873">
        <f>IF(T4873&gt;=4.25,"Critical",IF(T4873&gt;=3.5,"High",IF(T4873&gt;=2,"Medium","Low")))</f>
        <v/>
      </c>
    </row>
    <row r="4874">
      <c r="R4874">
        <f>IFERROR(XLOOKUP(XLOOKUP(D4874,tblReleaseChanges[Change_ID],tblReleaseChanges[Oracle_Severity],""),tblSeverityMap[Severity_Text],tblSeverityMap[Score],0),0)</f>
        <v/>
      </c>
      <c r="T4874">
        <f>ROUND((M4874*0.25)+(N4874*0.20)+(O4874*0.15)+(P4874*0.15)+(Q4874*0.10)+(R4874*0.10)+(S4874*0.05),2)</f>
        <v/>
      </c>
      <c r="U4874">
        <f>IF(T4874&gt;=4.25,"Critical",IF(T4874&gt;=3.5,"High",IF(T4874&gt;=2,"Medium","Low")))</f>
        <v/>
      </c>
    </row>
    <row r="4875">
      <c r="R4875">
        <f>IFERROR(XLOOKUP(XLOOKUP(D4875,tblReleaseChanges[Change_ID],tblReleaseChanges[Oracle_Severity],""),tblSeverityMap[Severity_Text],tblSeverityMap[Score],0),0)</f>
        <v/>
      </c>
      <c r="T4875">
        <f>ROUND((M4875*0.25)+(N4875*0.20)+(O4875*0.15)+(P4875*0.15)+(Q4875*0.10)+(R4875*0.10)+(S4875*0.05),2)</f>
        <v/>
      </c>
      <c r="U4875">
        <f>IF(T4875&gt;=4.25,"Critical",IF(T4875&gt;=3.5,"High",IF(T4875&gt;=2,"Medium","Low")))</f>
        <v/>
      </c>
    </row>
    <row r="4876">
      <c r="R4876">
        <f>IFERROR(XLOOKUP(XLOOKUP(D4876,tblReleaseChanges[Change_ID],tblReleaseChanges[Oracle_Severity],""),tblSeverityMap[Severity_Text],tblSeverityMap[Score],0),0)</f>
        <v/>
      </c>
      <c r="T4876">
        <f>ROUND((M4876*0.25)+(N4876*0.20)+(O4876*0.15)+(P4876*0.15)+(Q4876*0.10)+(R4876*0.10)+(S4876*0.05),2)</f>
        <v/>
      </c>
      <c r="U4876">
        <f>IF(T4876&gt;=4.25,"Critical",IF(T4876&gt;=3.5,"High",IF(T4876&gt;=2,"Medium","Low")))</f>
        <v/>
      </c>
    </row>
    <row r="4877">
      <c r="R4877">
        <f>IFERROR(XLOOKUP(XLOOKUP(D4877,tblReleaseChanges[Change_ID],tblReleaseChanges[Oracle_Severity],""),tblSeverityMap[Severity_Text],tblSeverityMap[Score],0),0)</f>
        <v/>
      </c>
      <c r="T4877">
        <f>ROUND((M4877*0.25)+(N4877*0.20)+(O4877*0.15)+(P4877*0.15)+(Q4877*0.10)+(R4877*0.10)+(S4877*0.05),2)</f>
        <v/>
      </c>
      <c r="U4877">
        <f>IF(T4877&gt;=4.25,"Critical",IF(T4877&gt;=3.5,"High",IF(T4877&gt;=2,"Medium","Low")))</f>
        <v/>
      </c>
    </row>
    <row r="4878">
      <c r="R4878">
        <f>IFERROR(XLOOKUP(XLOOKUP(D4878,tblReleaseChanges[Change_ID],tblReleaseChanges[Oracle_Severity],""),tblSeverityMap[Severity_Text],tblSeverityMap[Score],0),0)</f>
        <v/>
      </c>
      <c r="T4878">
        <f>ROUND((M4878*0.25)+(N4878*0.20)+(O4878*0.15)+(P4878*0.15)+(Q4878*0.10)+(R4878*0.10)+(S4878*0.05),2)</f>
        <v/>
      </c>
      <c r="U4878">
        <f>IF(T4878&gt;=4.25,"Critical",IF(T4878&gt;=3.5,"High",IF(T4878&gt;=2,"Medium","Low")))</f>
        <v/>
      </c>
    </row>
    <row r="4879">
      <c r="R4879">
        <f>IFERROR(XLOOKUP(XLOOKUP(D4879,tblReleaseChanges[Change_ID],tblReleaseChanges[Oracle_Severity],""),tblSeverityMap[Severity_Text],tblSeverityMap[Score],0),0)</f>
        <v/>
      </c>
      <c r="T4879">
        <f>ROUND((M4879*0.25)+(N4879*0.20)+(O4879*0.15)+(P4879*0.15)+(Q4879*0.10)+(R4879*0.10)+(S4879*0.05),2)</f>
        <v/>
      </c>
      <c r="U4879">
        <f>IF(T4879&gt;=4.25,"Critical",IF(T4879&gt;=3.5,"High",IF(T4879&gt;=2,"Medium","Low")))</f>
        <v/>
      </c>
    </row>
    <row r="4880">
      <c r="R4880">
        <f>IFERROR(XLOOKUP(XLOOKUP(D4880,tblReleaseChanges[Change_ID],tblReleaseChanges[Oracle_Severity],""),tblSeverityMap[Severity_Text],tblSeverityMap[Score],0),0)</f>
        <v/>
      </c>
      <c r="T4880">
        <f>ROUND((M4880*0.25)+(N4880*0.20)+(O4880*0.15)+(P4880*0.15)+(Q4880*0.10)+(R4880*0.10)+(S4880*0.05),2)</f>
        <v/>
      </c>
      <c r="U4880">
        <f>IF(T4880&gt;=4.25,"Critical",IF(T4880&gt;=3.5,"High",IF(T4880&gt;=2,"Medium","Low")))</f>
        <v/>
      </c>
    </row>
    <row r="4881">
      <c r="R4881">
        <f>IFERROR(XLOOKUP(XLOOKUP(D4881,tblReleaseChanges[Change_ID],tblReleaseChanges[Oracle_Severity],""),tblSeverityMap[Severity_Text],tblSeverityMap[Score],0),0)</f>
        <v/>
      </c>
      <c r="T4881">
        <f>ROUND((M4881*0.25)+(N4881*0.20)+(O4881*0.15)+(P4881*0.15)+(Q4881*0.10)+(R4881*0.10)+(S4881*0.05),2)</f>
        <v/>
      </c>
      <c r="U4881">
        <f>IF(T4881&gt;=4.25,"Critical",IF(T4881&gt;=3.5,"High",IF(T4881&gt;=2,"Medium","Low")))</f>
        <v/>
      </c>
    </row>
    <row r="4882">
      <c r="R4882">
        <f>IFERROR(XLOOKUP(XLOOKUP(D4882,tblReleaseChanges[Change_ID],tblReleaseChanges[Oracle_Severity],""),tblSeverityMap[Severity_Text],tblSeverityMap[Score],0),0)</f>
        <v/>
      </c>
      <c r="T4882">
        <f>ROUND((M4882*0.25)+(N4882*0.20)+(O4882*0.15)+(P4882*0.15)+(Q4882*0.10)+(R4882*0.10)+(S4882*0.05),2)</f>
        <v/>
      </c>
      <c r="U4882">
        <f>IF(T4882&gt;=4.25,"Critical",IF(T4882&gt;=3.5,"High",IF(T4882&gt;=2,"Medium","Low")))</f>
        <v/>
      </c>
    </row>
    <row r="4883">
      <c r="R4883">
        <f>IFERROR(XLOOKUP(XLOOKUP(D4883,tblReleaseChanges[Change_ID],tblReleaseChanges[Oracle_Severity],""),tblSeverityMap[Severity_Text],tblSeverityMap[Score],0),0)</f>
        <v/>
      </c>
      <c r="T4883">
        <f>ROUND((M4883*0.25)+(N4883*0.20)+(O4883*0.15)+(P4883*0.15)+(Q4883*0.10)+(R4883*0.10)+(S4883*0.05),2)</f>
        <v/>
      </c>
      <c r="U4883">
        <f>IF(T4883&gt;=4.25,"Critical",IF(T4883&gt;=3.5,"High",IF(T4883&gt;=2,"Medium","Low")))</f>
        <v/>
      </c>
    </row>
    <row r="4884">
      <c r="R4884">
        <f>IFERROR(XLOOKUP(XLOOKUP(D4884,tblReleaseChanges[Change_ID],tblReleaseChanges[Oracle_Severity],""),tblSeverityMap[Severity_Text],tblSeverityMap[Score],0),0)</f>
        <v/>
      </c>
      <c r="T4884">
        <f>ROUND((M4884*0.25)+(N4884*0.20)+(O4884*0.15)+(P4884*0.15)+(Q4884*0.10)+(R4884*0.10)+(S4884*0.05),2)</f>
        <v/>
      </c>
      <c r="U4884">
        <f>IF(T4884&gt;=4.25,"Critical",IF(T4884&gt;=3.5,"High",IF(T4884&gt;=2,"Medium","Low")))</f>
        <v/>
      </c>
    </row>
    <row r="4885">
      <c r="R4885">
        <f>IFERROR(XLOOKUP(XLOOKUP(D4885,tblReleaseChanges[Change_ID],tblReleaseChanges[Oracle_Severity],""),tblSeverityMap[Severity_Text],tblSeverityMap[Score],0),0)</f>
        <v/>
      </c>
      <c r="T4885">
        <f>ROUND((M4885*0.25)+(N4885*0.20)+(O4885*0.15)+(P4885*0.15)+(Q4885*0.10)+(R4885*0.10)+(S4885*0.05),2)</f>
        <v/>
      </c>
      <c r="U4885">
        <f>IF(T4885&gt;=4.25,"Critical",IF(T4885&gt;=3.5,"High",IF(T4885&gt;=2,"Medium","Low")))</f>
        <v/>
      </c>
    </row>
    <row r="4886">
      <c r="R4886">
        <f>IFERROR(XLOOKUP(XLOOKUP(D4886,tblReleaseChanges[Change_ID],tblReleaseChanges[Oracle_Severity],""),tblSeverityMap[Severity_Text],tblSeverityMap[Score],0),0)</f>
        <v/>
      </c>
      <c r="T4886">
        <f>ROUND((M4886*0.25)+(N4886*0.20)+(O4886*0.15)+(P4886*0.15)+(Q4886*0.10)+(R4886*0.10)+(S4886*0.05),2)</f>
        <v/>
      </c>
      <c r="U4886">
        <f>IF(T4886&gt;=4.25,"Critical",IF(T4886&gt;=3.5,"High",IF(T4886&gt;=2,"Medium","Low")))</f>
        <v/>
      </c>
    </row>
    <row r="4887">
      <c r="R4887">
        <f>IFERROR(XLOOKUP(XLOOKUP(D4887,tblReleaseChanges[Change_ID],tblReleaseChanges[Oracle_Severity],""),tblSeverityMap[Severity_Text],tblSeverityMap[Score],0),0)</f>
        <v/>
      </c>
      <c r="T4887">
        <f>ROUND((M4887*0.25)+(N4887*0.20)+(O4887*0.15)+(P4887*0.15)+(Q4887*0.10)+(R4887*0.10)+(S4887*0.05),2)</f>
        <v/>
      </c>
      <c r="U4887">
        <f>IF(T4887&gt;=4.25,"Critical",IF(T4887&gt;=3.5,"High",IF(T4887&gt;=2,"Medium","Low")))</f>
        <v/>
      </c>
    </row>
    <row r="4888">
      <c r="R4888">
        <f>IFERROR(XLOOKUP(XLOOKUP(D4888,tblReleaseChanges[Change_ID],tblReleaseChanges[Oracle_Severity],""),tblSeverityMap[Severity_Text],tblSeverityMap[Score],0),0)</f>
        <v/>
      </c>
      <c r="T4888">
        <f>ROUND((M4888*0.25)+(N4888*0.20)+(O4888*0.15)+(P4888*0.15)+(Q4888*0.10)+(R4888*0.10)+(S4888*0.05),2)</f>
        <v/>
      </c>
      <c r="U4888">
        <f>IF(T4888&gt;=4.25,"Critical",IF(T4888&gt;=3.5,"High",IF(T4888&gt;=2,"Medium","Low")))</f>
        <v/>
      </c>
    </row>
    <row r="4889">
      <c r="R4889">
        <f>IFERROR(XLOOKUP(XLOOKUP(D4889,tblReleaseChanges[Change_ID],tblReleaseChanges[Oracle_Severity],""),tblSeverityMap[Severity_Text],tblSeverityMap[Score],0),0)</f>
        <v/>
      </c>
      <c r="T4889">
        <f>ROUND((M4889*0.25)+(N4889*0.20)+(O4889*0.15)+(P4889*0.15)+(Q4889*0.10)+(R4889*0.10)+(S4889*0.05),2)</f>
        <v/>
      </c>
      <c r="U4889">
        <f>IF(T4889&gt;=4.25,"Critical",IF(T4889&gt;=3.5,"High",IF(T4889&gt;=2,"Medium","Low")))</f>
        <v/>
      </c>
    </row>
    <row r="4890">
      <c r="R4890">
        <f>IFERROR(XLOOKUP(XLOOKUP(D4890,tblReleaseChanges[Change_ID],tblReleaseChanges[Oracle_Severity],""),tblSeverityMap[Severity_Text],tblSeverityMap[Score],0),0)</f>
        <v/>
      </c>
      <c r="T4890">
        <f>ROUND((M4890*0.25)+(N4890*0.20)+(O4890*0.15)+(P4890*0.15)+(Q4890*0.10)+(R4890*0.10)+(S4890*0.05),2)</f>
        <v/>
      </c>
      <c r="U4890">
        <f>IF(T4890&gt;=4.25,"Critical",IF(T4890&gt;=3.5,"High",IF(T4890&gt;=2,"Medium","Low")))</f>
        <v/>
      </c>
    </row>
    <row r="4891">
      <c r="R4891">
        <f>IFERROR(XLOOKUP(XLOOKUP(D4891,tblReleaseChanges[Change_ID],tblReleaseChanges[Oracle_Severity],""),tblSeverityMap[Severity_Text],tblSeverityMap[Score],0),0)</f>
        <v/>
      </c>
      <c r="T4891">
        <f>ROUND((M4891*0.25)+(N4891*0.20)+(O4891*0.15)+(P4891*0.15)+(Q4891*0.10)+(R4891*0.10)+(S4891*0.05),2)</f>
        <v/>
      </c>
      <c r="U4891">
        <f>IF(T4891&gt;=4.25,"Critical",IF(T4891&gt;=3.5,"High",IF(T4891&gt;=2,"Medium","Low")))</f>
        <v/>
      </c>
    </row>
    <row r="4892">
      <c r="R4892">
        <f>IFERROR(XLOOKUP(XLOOKUP(D4892,tblReleaseChanges[Change_ID],tblReleaseChanges[Oracle_Severity],""),tblSeverityMap[Severity_Text],tblSeverityMap[Score],0),0)</f>
        <v/>
      </c>
      <c r="T4892">
        <f>ROUND((M4892*0.25)+(N4892*0.20)+(O4892*0.15)+(P4892*0.15)+(Q4892*0.10)+(R4892*0.10)+(S4892*0.05),2)</f>
        <v/>
      </c>
      <c r="U4892">
        <f>IF(T4892&gt;=4.25,"Critical",IF(T4892&gt;=3.5,"High",IF(T4892&gt;=2,"Medium","Low")))</f>
        <v/>
      </c>
    </row>
    <row r="4893">
      <c r="R4893">
        <f>IFERROR(XLOOKUP(XLOOKUP(D4893,tblReleaseChanges[Change_ID],tblReleaseChanges[Oracle_Severity],""),tblSeverityMap[Severity_Text],tblSeverityMap[Score],0),0)</f>
        <v/>
      </c>
      <c r="T4893">
        <f>ROUND((M4893*0.25)+(N4893*0.20)+(O4893*0.15)+(P4893*0.15)+(Q4893*0.10)+(R4893*0.10)+(S4893*0.05),2)</f>
        <v/>
      </c>
      <c r="U4893">
        <f>IF(T4893&gt;=4.25,"Critical",IF(T4893&gt;=3.5,"High",IF(T4893&gt;=2,"Medium","Low")))</f>
        <v/>
      </c>
    </row>
    <row r="4894">
      <c r="R4894">
        <f>IFERROR(XLOOKUP(XLOOKUP(D4894,tblReleaseChanges[Change_ID],tblReleaseChanges[Oracle_Severity],""),tblSeverityMap[Severity_Text],tblSeverityMap[Score],0),0)</f>
        <v/>
      </c>
      <c r="T4894">
        <f>ROUND((M4894*0.25)+(N4894*0.20)+(O4894*0.15)+(P4894*0.15)+(Q4894*0.10)+(R4894*0.10)+(S4894*0.05),2)</f>
        <v/>
      </c>
      <c r="U4894">
        <f>IF(T4894&gt;=4.25,"Critical",IF(T4894&gt;=3.5,"High",IF(T4894&gt;=2,"Medium","Low")))</f>
        <v/>
      </c>
    </row>
    <row r="4895">
      <c r="R4895">
        <f>IFERROR(XLOOKUP(XLOOKUP(D4895,tblReleaseChanges[Change_ID],tblReleaseChanges[Oracle_Severity],""),tblSeverityMap[Severity_Text],tblSeverityMap[Score],0),0)</f>
        <v/>
      </c>
      <c r="T4895">
        <f>ROUND((M4895*0.25)+(N4895*0.20)+(O4895*0.15)+(P4895*0.15)+(Q4895*0.10)+(R4895*0.10)+(S4895*0.05),2)</f>
        <v/>
      </c>
      <c r="U4895">
        <f>IF(T4895&gt;=4.25,"Critical",IF(T4895&gt;=3.5,"High",IF(T4895&gt;=2,"Medium","Low")))</f>
        <v/>
      </c>
    </row>
    <row r="4896">
      <c r="R4896">
        <f>IFERROR(XLOOKUP(XLOOKUP(D4896,tblReleaseChanges[Change_ID],tblReleaseChanges[Oracle_Severity],""),tblSeverityMap[Severity_Text],tblSeverityMap[Score],0),0)</f>
        <v/>
      </c>
      <c r="T4896">
        <f>ROUND((M4896*0.25)+(N4896*0.20)+(O4896*0.15)+(P4896*0.15)+(Q4896*0.10)+(R4896*0.10)+(S4896*0.05),2)</f>
        <v/>
      </c>
      <c r="U4896">
        <f>IF(T4896&gt;=4.25,"Critical",IF(T4896&gt;=3.5,"High",IF(T4896&gt;=2,"Medium","Low")))</f>
        <v/>
      </c>
    </row>
    <row r="4897">
      <c r="R4897">
        <f>IFERROR(XLOOKUP(XLOOKUP(D4897,tblReleaseChanges[Change_ID],tblReleaseChanges[Oracle_Severity],""),tblSeverityMap[Severity_Text],tblSeverityMap[Score],0),0)</f>
        <v/>
      </c>
      <c r="T4897">
        <f>ROUND((M4897*0.25)+(N4897*0.20)+(O4897*0.15)+(P4897*0.15)+(Q4897*0.10)+(R4897*0.10)+(S4897*0.05),2)</f>
        <v/>
      </c>
      <c r="U4897">
        <f>IF(T4897&gt;=4.25,"Critical",IF(T4897&gt;=3.5,"High",IF(T4897&gt;=2,"Medium","Low")))</f>
        <v/>
      </c>
    </row>
    <row r="4898">
      <c r="R4898">
        <f>IFERROR(XLOOKUP(XLOOKUP(D4898,tblReleaseChanges[Change_ID],tblReleaseChanges[Oracle_Severity],""),tblSeverityMap[Severity_Text],tblSeverityMap[Score],0),0)</f>
        <v/>
      </c>
      <c r="T4898">
        <f>ROUND((M4898*0.25)+(N4898*0.20)+(O4898*0.15)+(P4898*0.15)+(Q4898*0.10)+(R4898*0.10)+(S4898*0.05),2)</f>
        <v/>
      </c>
      <c r="U4898">
        <f>IF(T4898&gt;=4.25,"Critical",IF(T4898&gt;=3.5,"High",IF(T4898&gt;=2,"Medium","Low")))</f>
        <v/>
      </c>
    </row>
    <row r="4899">
      <c r="R4899">
        <f>IFERROR(XLOOKUP(XLOOKUP(D4899,tblReleaseChanges[Change_ID],tblReleaseChanges[Oracle_Severity],""),tblSeverityMap[Severity_Text],tblSeverityMap[Score],0),0)</f>
        <v/>
      </c>
      <c r="T4899">
        <f>ROUND((M4899*0.25)+(N4899*0.20)+(O4899*0.15)+(P4899*0.15)+(Q4899*0.10)+(R4899*0.10)+(S4899*0.05),2)</f>
        <v/>
      </c>
      <c r="U4899">
        <f>IF(T4899&gt;=4.25,"Critical",IF(T4899&gt;=3.5,"High",IF(T4899&gt;=2,"Medium","Low")))</f>
        <v/>
      </c>
    </row>
    <row r="4900">
      <c r="R4900">
        <f>IFERROR(XLOOKUP(XLOOKUP(D4900,tblReleaseChanges[Change_ID],tblReleaseChanges[Oracle_Severity],""),tblSeverityMap[Severity_Text],tblSeverityMap[Score],0),0)</f>
        <v/>
      </c>
      <c r="T4900">
        <f>ROUND((M4900*0.25)+(N4900*0.20)+(O4900*0.15)+(P4900*0.15)+(Q4900*0.10)+(R4900*0.10)+(S4900*0.05),2)</f>
        <v/>
      </c>
      <c r="U4900">
        <f>IF(T4900&gt;=4.25,"Critical",IF(T4900&gt;=3.5,"High",IF(T4900&gt;=2,"Medium","Low")))</f>
        <v/>
      </c>
    </row>
    <row r="4901">
      <c r="R4901">
        <f>IFERROR(XLOOKUP(XLOOKUP(D4901,tblReleaseChanges[Change_ID],tblReleaseChanges[Oracle_Severity],""),tblSeverityMap[Severity_Text],tblSeverityMap[Score],0),0)</f>
        <v/>
      </c>
      <c r="T4901">
        <f>ROUND((M4901*0.25)+(N4901*0.20)+(O4901*0.15)+(P4901*0.15)+(Q4901*0.10)+(R4901*0.10)+(S4901*0.05),2)</f>
        <v/>
      </c>
      <c r="U4901">
        <f>IF(T4901&gt;=4.25,"Critical",IF(T4901&gt;=3.5,"High",IF(T4901&gt;=2,"Medium","Low")))</f>
        <v/>
      </c>
    </row>
    <row r="4902">
      <c r="R4902">
        <f>IFERROR(XLOOKUP(XLOOKUP(D4902,tblReleaseChanges[Change_ID],tblReleaseChanges[Oracle_Severity],""),tblSeverityMap[Severity_Text],tblSeverityMap[Score],0),0)</f>
        <v/>
      </c>
      <c r="T4902">
        <f>ROUND((M4902*0.25)+(N4902*0.20)+(O4902*0.15)+(P4902*0.15)+(Q4902*0.10)+(R4902*0.10)+(S4902*0.05),2)</f>
        <v/>
      </c>
      <c r="U4902">
        <f>IF(T4902&gt;=4.25,"Critical",IF(T4902&gt;=3.5,"High",IF(T4902&gt;=2,"Medium","Low")))</f>
        <v/>
      </c>
    </row>
    <row r="4903">
      <c r="R4903">
        <f>IFERROR(XLOOKUP(XLOOKUP(D4903,tblReleaseChanges[Change_ID],tblReleaseChanges[Oracle_Severity],""),tblSeverityMap[Severity_Text],tblSeverityMap[Score],0),0)</f>
        <v/>
      </c>
      <c r="T4903">
        <f>ROUND((M4903*0.25)+(N4903*0.20)+(O4903*0.15)+(P4903*0.15)+(Q4903*0.10)+(R4903*0.10)+(S4903*0.05),2)</f>
        <v/>
      </c>
      <c r="U4903">
        <f>IF(T4903&gt;=4.25,"Critical",IF(T4903&gt;=3.5,"High",IF(T4903&gt;=2,"Medium","Low")))</f>
        <v/>
      </c>
    </row>
    <row r="4904">
      <c r="R4904">
        <f>IFERROR(XLOOKUP(XLOOKUP(D4904,tblReleaseChanges[Change_ID],tblReleaseChanges[Oracle_Severity],""),tblSeverityMap[Severity_Text],tblSeverityMap[Score],0),0)</f>
        <v/>
      </c>
      <c r="T4904">
        <f>ROUND((M4904*0.25)+(N4904*0.20)+(O4904*0.15)+(P4904*0.15)+(Q4904*0.10)+(R4904*0.10)+(S4904*0.05),2)</f>
        <v/>
      </c>
      <c r="U4904">
        <f>IF(T4904&gt;=4.25,"Critical",IF(T4904&gt;=3.5,"High",IF(T4904&gt;=2,"Medium","Low")))</f>
        <v/>
      </c>
    </row>
    <row r="4905">
      <c r="R4905">
        <f>IFERROR(XLOOKUP(XLOOKUP(D4905,tblReleaseChanges[Change_ID],tblReleaseChanges[Oracle_Severity],""),tblSeverityMap[Severity_Text],tblSeverityMap[Score],0),0)</f>
        <v/>
      </c>
      <c r="T4905">
        <f>ROUND((M4905*0.25)+(N4905*0.20)+(O4905*0.15)+(P4905*0.15)+(Q4905*0.10)+(R4905*0.10)+(S4905*0.05),2)</f>
        <v/>
      </c>
      <c r="U4905">
        <f>IF(T4905&gt;=4.25,"Critical",IF(T4905&gt;=3.5,"High",IF(T4905&gt;=2,"Medium","Low")))</f>
        <v/>
      </c>
    </row>
    <row r="4906">
      <c r="R4906">
        <f>IFERROR(XLOOKUP(XLOOKUP(D4906,tblReleaseChanges[Change_ID],tblReleaseChanges[Oracle_Severity],""),tblSeverityMap[Severity_Text],tblSeverityMap[Score],0),0)</f>
        <v/>
      </c>
      <c r="T4906">
        <f>ROUND((M4906*0.25)+(N4906*0.20)+(O4906*0.15)+(P4906*0.15)+(Q4906*0.10)+(R4906*0.10)+(S4906*0.05),2)</f>
        <v/>
      </c>
      <c r="U4906">
        <f>IF(T4906&gt;=4.25,"Critical",IF(T4906&gt;=3.5,"High",IF(T4906&gt;=2,"Medium","Low")))</f>
        <v/>
      </c>
    </row>
    <row r="4907">
      <c r="R4907">
        <f>IFERROR(XLOOKUP(XLOOKUP(D4907,tblReleaseChanges[Change_ID],tblReleaseChanges[Oracle_Severity],""),tblSeverityMap[Severity_Text],tblSeverityMap[Score],0),0)</f>
        <v/>
      </c>
      <c r="T4907">
        <f>ROUND((M4907*0.25)+(N4907*0.20)+(O4907*0.15)+(P4907*0.15)+(Q4907*0.10)+(R4907*0.10)+(S4907*0.05),2)</f>
        <v/>
      </c>
      <c r="U4907">
        <f>IF(T4907&gt;=4.25,"Critical",IF(T4907&gt;=3.5,"High",IF(T4907&gt;=2,"Medium","Low")))</f>
        <v/>
      </c>
    </row>
    <row r="4908">
      <c r="R4908">
        <f>IFERROR(XLOOKUP(XLOOKUP(D4908,tblReleaseChanges[Change_ID],tblReleaseChanges[Oracle_Severity],""),tblSeverityMap[Severity_Text],tblSeverityMap[Score],0),0)</f>
        <v/>
      </c>
      <c r="T4908">
        <f>ROUND((M4908*0.25)+(N4908*0.20)+(O4908*0.15)+(P4908*0.15)+(Q4908*0.10)+(R4908*0.10)+(S4908*0.05),2)</f>
        <v/>
      </c>
      <c r="U4908">
        <f>IF(T4908&gt;=4.25,"Critical",IF(T4908&gt;=3.5,"High",IF(T4908&gt;=2,"Medium","Low")))</f>
        <v/>
      </c>
    </row>
    <row r="4909">
      <c r="R4909">
        <f>IFERROR(XLOOKUP(XLOOKUP(D4909,tblReleaseChanges[Change_ID],tblReleaseChanges[Oracle_Severity],""),tblSeverityMap[Severity_Text],tblSeverityMap[Score],0),0)</f>
        <v/>
      </c>
      <c r="T4909">
        <f>ROUND((M4909*0.25)+(N4909*0.20)+(O4909*0.15)+(P4909*0.15)+(Q4909*0.10)+(R4909*0.10)+(S4909*0.05),2)</f>
        <v/>
      </c>
      <c r="U4909">
        <f>IF(T4909&gt;=4.25,"Critical",IF(T4909&gt;=3.5,"High",IF(T4909&gt;=2,"Medium","Low")))</f>
        <v/>
      </c>
    </row>
    <row r="4910">
      <c r="R4910">
        <f>IFERROR(XLOOKUP(XLOOKUP(D4910,tblReleaseChanges[Change_ID],tblReleaseChanges[Oracle_Severity],""),tblSeverityMap[Severity_Text],tblSeverityMap[Score],0),0)</f>
        <v/>
      </c>
      <c r="T4910">
        <f>ROUND((M4910*0.25)+(N4910*0.20)+(O4910*0.15)+(P4910*0.15)+(Q4910*0.10)+(R4910*0.10)+(S4910*0.05),2)</f>
        <v/>
      </c>
      <c r="U4910">
        <f>IF(T4910&gt;=4.25,"Critical",IF(T4910&gt;=3.5,"High",IF(T4910&gt;=2,"Medium","Low")))</f>
        <v/>
      </c>
    </row>
    <row r="4911">
      <c r="R4911">
        <f>IFERROR(XLOOKUP(XLOOKUP(D4911,tblReleaseChanges[Change_ID],tblReleaseChanges[Oracle_Severity],""),tblSeverityMap[Severity_Text],tblSeverityMap[Score],0),0)</f>
        <v/>
      </c>
      <c r="T4911">
        <f>ROUND((M4911*0.25)+(N4911*0.20)+(O4911*0.15)+(P4911*0.15)+(Q4911*0.10)+(R4911*0.10)+(S4911*0.05),2)</f>
        <v/>
      </c>
      <c r="U4911">
        <f>IF(T4911&gt;=4.25,"Critical",IF(T4911&gt;=3.5,"High",IF(T4911&gt;=2,"Medium","Low")))</f>
        <v/>
      </c>
    </row>
    <row r="4912">
      <c r="R4912">
        <f>IFERROR(XLOOKUP(XLOOKUP(D4912,tblReleaseChanges[Change_ID],tblReleaseChanges[Oracle_Severity],""),tblSeverityMap[Severity_Text],tblSeverityMap[Score],0),0)</f>
        <v/>
      </c>
      <c r="T4912">
        <f>ROUND((M4912*0.25)+(N4912*0.20)+(O4912*0.15)+(P4912*0.15)+(Q4912*0.10)+(R4912*0.10)+(S4912*0.05),2)</f>
        <v/>
      </c>
      <c r="U4912">
        <f>IF(T4912&gt;=4.25,"Critical",IF(T4912&gt;=3.5,"High",IF(T4912&gt;=2,"Medium","Low")))</f>
        <v/>
      </c>
    </row>
    <row r="4913">
      <c r="R4913">
        <f>IFERROR(XLOOKUP(XLOOKUP(D4913,tblReleaseChanges[Change_ID],tblReleaseChanges[Oracle_Severity],""),tblSeverityMap[Severity_Text],tblSeverityMap[Score],0),0)</f>
        <v/>
      </c>
      <c r="T4913">
        <f>ROUND((M4913*0.25)+(N4913*0.20)+(O4913*0.15)+(P4913*0.15)+(Q4913*0.10)+(R4913*0.10)+(S4913*0.05),2)</f>
        <v/>
      </c>
      <c r="U4913">
        <f>IF(T4913&gt;=4.25,"Critical",IF(T4913&gt;=3.5,"High",IF(T4913&gt;=2,"Medium","Low")))</f>
        <v/>
      </c>
    </row>
    <row r="4914">
      <c r="R4914">
        <f>IFERROR(XLOOKUP(XLOOKUP(D4914,tblReleaseChanges[Change_ID],tblReleaseChanges[Oracle_Severity],""),tblSeverityMap[Severity_Text],tblSeverityMap[Score],0),0)</f>
        <v/>
      </c>
      <c r="T4914">
        <f>ROUND((M4914*0.25)+(N4914*0.20)+(O4914*0.15)+(P4914*0.15)+(Q4914*0.10)+(R4914*0.10)+(S4914*0.05),2)</f>
        <v/>
      </c>
      <c r="U4914">
        <f>IF(T4914&gt;=4.25,"Critical",IF(T4914&gt;=3.5,"High",IF(T4914&gt;=2,"Medium","Low")))</f>
        <v/>
      </c>
    </row>
    <row r="4915">
      <c r="R4915">
        <f>IFERROR(XLOOKUP(XLOOKUP(D4915,tblReleaseChanges[Change_ID],tblReleaseChanges[Oracle_Severity],""),tblSeverityMap[Severity_Text],tblSeverityMap[Score],0),0)</f>
        <v/>
      </c>
      <c r="T4915">
        <f>ROUND((M4915*0.25)+(N4915*0.20)+(O4915*0.15)+(P4915*0.15)+(Q4915*0.10)+(R4915*0.10)+(S4915*0.05),2)</f>
        <v/>
      </c>
      <c r="U4915">
        <f>IF(T4915&gt;=4.25,"Critical",IF(T4915&gt;=3.5,"High",IF(T4915&gt;=2,"Medium","Low")))</f>
        <v/>
      </c>
    </row>
    <row r="4916">
      <c r="R4916">
        <f>IFERROR(XLOOKUP(XLOOKUP(D4916,tblReleaseChanges[Change_ID],tblReleaseChanges[Oracle_Severity],""),tblSeverityMap[Severity_Text],tblSeverityMap[Score],0),0)</f>
        <v/>
      </c>
      <c r="T4916">
        <f>ROUND((M4916*0.25)+(N4916*0.20)+(O4916*0.15)+(P4916*0.15)+(Q4916*0.10)+(R4916*0.10)+(S4916*0.05),2)</f>
        <v/>
      </c>
      <c r="U4916">
        <f>IF(T4916&gt;=4.25,"Critical",IF(T4916&gt;=3.5,"High",IF(T4916&gt;=2,"Medium","Low")))</f>
        <v/>
      </c>
    </row>
    <row r="4917">
      <c r="R4917">
        <f>IFERROR(XLOOKUP(XLOOKUP(D4917,tblReleaseChanges[Change_ID],tblReleaseChanges[Oracle_Severity],""),tblSeverityMap[Severity_Text],tblSeverityMap[Score],0),0)</f>
        <v/>
      </c>
      <c r="T4917">
        <f>ROUND((M4917*0.25)+(N4917*0.20)+(O4917*0.15)+(P4917*0.15)+(Q4917*0.10)+(R4917*0.10)+(S4917*0.05),2)</f>
        <v/>
      </c>
      <c r="U4917">
        <f>IF(T4917&gt;=4.25,"Critical",IF(T4917&gt;=3.5,"High",IF(T4917&gt;=2,"Medium","Low")))</f>
        <v/>
      </c>
    </row>
    <row r="4918">
      <c r="R4918">
        <f>IFERROR(XLOOKUP(XLOOKUP(D4918,tblReleaseChanges[Change_ID],tblReleaseChanges[Oracle_Severity],""),tblSeverityMap[Severity_Text],tblSeverityMap[Score],0),0)</f>
        <v/>
      </c>
      <c r="T4918">
        <f>ROUND((M4918*0.25)+(N4918*0.20)+(O4918*0.15)+(P4918*0.15)+(Q4918*0.10)+(R4918*0.10)+(S4918*0.05),2)</f>
        <v/>
      </c>
      <c r="U4918">
        <f>IF(T4918&gt;=4.25,"Critical",IF(T4918&gt;=3.5,"High",IF(T4918&gt;=2,"Medium","Low")))</f>
        <v/>
      </c>
    </row>
    <row r="4919">
      <c r="R4919">
        <f>IFERROR(XLOOKUP(XLOOKUP(D4919,tblReleaseChanges[Change_ID],tblReleaseChanges[Oracle_Severity],""),tblSeverityMap[Severity_Text],tblSeverityMap[Score],0),0)</f>
        <v/>
      </c>
      <c r="T4919">
        <f>ROUND((M4919*0.25)+(N4919*0.20)+(O4919*0.15)+(P4919*0.15)+(Q4919*0.10)+(R4919*0.10)+(S4919*0.05),2)</f>
        <v/>
      </c>
      <c r="U4919">
        <f>IF(T4919&gt;=4.25,"Critical",IF(T4919&gt;=3.5,"High",IF(T4919&gt;=2,"Medium","Low")))</f>
        <v/>
      </c>
    </row>
    <row r="4920">
      <c r="R4920">
        <f>IFERROR(XLOOKUP(XLOOKUP(D4920,tblReleaseChanges[Change_ID],tblReleaseChanges[Oracle_Severity],""),tblSeverityMap[Severity_Text],tblSeverityMap[Score],0),0)</f>
        <v/>
      </c>
      <c r="T4920">
        <f>ROUND((M4920*0.25)+(N4920*0.20)+(O4920*0.15)+(P4920*0.15)+(Q4920*0.10)+(R4920*0.10)+(S4920*0.05),2)</f>
        <v/>
      </c>
      <c r="U4920">
        <f>IF(T4920&gt;=4.25,"Critical",IF(T4920&gt;=3.5,"High",IF(T4920&gt;=2,"Medium","Low")))</f>
        <v/>
      </c>
    </row>
    <row r="4921">
      <c r="R4921">
        <f>IFERROR(XLOOKUP(XLOOKUP(D4921,tblReleaseChanges[Change_ID],tblReleaseChanges[Oracle_Severity],""),tblSeverityMap[Severity_Text],tblSeverityMap[Score],0),0)</f>
        <v/>
      </c>
      <c r="T4921">
        <f>ROUND((M4921*0.25)+(N4921*0.20)+(O4921*0.15)+(P4921*0.15)+(Q4921*0.10)+(R4921*0.10)+(S4921*0.05),2)</f>
        <v/>
      </c>
      <c r="U4921">
        <f>IF(T4921&gt;=4.25,"Critical",IF(T4921&gt;=3.5,"High",IF(T4921&gt;=2,"Medium","Low")))</f>
        <v/>
      </c>
    </row>
    <row r="4922">
      <c r="R4922">
        <f>IFERROR(XLOOKUP(XLOOKUP(D4922,tblReleaseChanges[Change_ID],tblReleaseChanges[Oracle_Severity],""),tblSeverityMap[Severity_Text],tblSeverityMap[Score],0),0)</f>
        <v/>
      </c>
      <c r="T4922">
        <f>ROUND((M4922*0.25)+(N4922*0.20)+(O4922*0.15)+(P4922*0.15)+(Q4922*0.10)+(R4922*0.10)+(S4922*0.05),2)</f>
        <v/>
      </c>
      <c r="U4922">
        <f>IF(T4922&gt;=4.25,"Critical",IF(T4922&gt;=3.5,"High",IF(T4922&gt;=2,"Medium","Low")))</f>
        <v/>
      </c>
    </row>
    <row r="4923">
      <c r="R4923">
        <f>IFERROR(XLOOKUP(XLOOKUP(D4923,tblReleaseChanges[Change_ID],tblReleaseChanges[Oracle_Severity],""),tblSeverityMap[Severity_Text],tblSeverityMap[Score],0),0)</f>
        <v/>
      </c>
      <c r="T4923">
        <f>ROUND((M4923*0.25)+(N4923*0.20)+(O4923*0.15)+(P4923*0.15)+(Q4923*0.10)+(R4923*0.10)+(S4923*0.05),2)</f>
        <v/>
      </c>
      <c r="U4923">
        <f>IF(T4923&gt;=4.25,"Critical",IF(T4923&gt;=3.5,"High",IF(T4923&gt;=2,"Medium","Low")))</f>
        <v/>
      </c>
    </row>
    <row r="4924">
      <c r="R4924">
        <f>IFERROR(XLOOKUP(XLOOKUP(D4924,tblReleaseChanges[Change_ID],tblReleaseChanges[Oracle_Severity],""),tblSeverityMap[Severity_Text],tblSeverityMap[Score],0),0)</f>
        <v/>
      </c>
      <c r="T4924">
        <f>ROUND((M4924*0.25)+(N4924*0.20)+(O4924*0.15)+(P4924*0.15)+(Q4924*0.10)+(R4924*0.10)+(S4924*0.05),2)</f>
        <v/>
      </c>
      <c r="U4924">
        <f>IF(T4924&gt;=4.25,"Critical",IF(T4924&gt;=3.5,"High",IF(T4924&gt;=2,"Medium","Low")))</f>
        <v/>
      </c>
    </row>
    <row r="4925">
      <c r="R4925">
        <f>IFERROR(XLOOKUP(XLOOKUP(D4925,tblReleaseChanges[Change_ID],tblReleaseChanges[Oracle_Severity],""),tblSeverityMap[Severity_Text],tblSeverityMap[Score],0),0)</f>
        <v/>
      </c>
      <c r="T4925">
        <f>ROUND((M4925*0.25)+(N4925*0.20)+(O4925*0.15)+(P4925*0.15)+(Q4925*0.10)+(R4925*0.10)+(S4925*0.05),2)</f>
        <v/>
      </c>
      <c r="U4925">
        <f>IF(T4925&gt;=4.25,"Critical",IF(T4925&gt;=3.5,"High",IF(T4925&gt;=2,"Medium","Low")))</f>
        <v/>
      </c>
    </row>
    <row r="4926">
      <c r="R4926">
        <f>IFERROR(XLOOKUP(XLOOKUP(D4926,tblReleaseChanges[Change_ID],tblReleaseChanges[Oracle_Severity],""),tblSeverityMap[Severity_Text],tblSeverityMap[Score],0),0)</f>
        <v/>
      </c>
      <c r="T4926">
        <f>ROUND((M4926*0.25)+(N4926*0.20)+(O4926*0.15)+(P4926*0.15)+(Q4926*0.10)+(R4926*0.10)+(S4926*0.05),2)</f>
        <v/>
      </c>
      <c r="U4926">
        <f>IF(T4926&gt;=4.25,"Critical",IF(T4926&gt;=3.5,"High",IF(T4926&gt;=2,"Medium","Low")))</f>
        <v/>
      </c>
    </row>
    <row r="4927">
      <c r="R4927">
        <f>IFERROR(XLOOKUP(XLOOKUP(D4927,tblReleaseChanges[Change_ID],tblReleaseChanges[Oracle_Severity],""),tblSeverityMap[Severity_Text],tblSeverityMap[Score],0),0)</f>
        <v/>
      </c>
      <c r="T4927">
        <f>ROUND((M4927*0.25)+(N4927*0.20)+(O4927*0.15)+(P4927*0.15)+(Q4927*0.10)+(R4927*0.10)+(S4927*0.05),2)</f>
        <v/>
      </c>
      <c r="U4927">
        <f>IF(T4927&gt;=4.25,"Critical",IF(T4927&gt;=3.5,"High",IF(T4927&gt;=2,"Medium","Low")))</f>
        <v/>
      </c>
    </row>
    <row r="4928">
      <c r="R4928">
        <f>IFERROR(XLOOKUP(XLOOKUP(D4928,tblReleaseChanges[Change_ID],tblReleaseChanges[Oracle_Severity],""),tblSeverityMap[Severity_Text],tblSeverityMap[Score],0),0)</f>
        <v/>
      </c>
      <c r="T4928">
        <f>ROUND((M4928*0.25)+(N4928*0.20)+(O4928*0.15)+(P4928*0.15)+(Q4928*0.10)+(R4928*0.10)+(S4928*0.05),2)</f>
        <v/>
      </c>
      <c r="U4928">
        <f>IF(T4928&gt;=4.25,"Critical",IF(T4928&gt;=3.5,"High",IF(T4928&gt;=2,"Medium","Low")))</f>
        <v/>
      </c>
    </row>
    <row r="4929">
      <c r="R4929">
        <f>IFERROR(XLOOKUP(XLOOKUP(D4929,tblReleaseChanges[Change_ID],tblReleaseChanges[Oracle_Severity],""),tblSeverityMap[Severity_Text],tblSeverityMap[Score],0),0)</f>
        <v/>
      </c>
      <c r="T4929">
        <f>ROUND((M4929*0.25)+(N4929*0.20)+(O4929*0.15)+(P4929*0.15)+(Q4929*0.10)+(R4929*0.10)+(S4929*0.05),2)</f>
        <v/>
      </c>
      <c r="U4929">
        <f>IF(T4929&gt;=4.25,"Critical",IF(T4929&gt;=3.5,"High",IF(T4929&gt;=2,"Medium","Low")))</f>
        <v/>
      </c>
    </row>
    <row r="4930">
      <c r="R4930">
        <f>IFERROR(XLOOKUP(XLOOKUP(D4930,tblReleaseChanges[Change_ID],tblReleaseChanges[Oracle_Severity],""),tblSeverityMap[Severity_Text],tblSeverityMap[Score],0),0)</f>
        <v/>
      </c>
      <c r="T4930">
        <f>ROUND((M4930*0.25)+(N4930*0.20)+(O4930*0.15)+(P4930*0.15)+(Q4930*0.10)+(R4930*0.10)+(S4930*0.05),2)</f>
        <v/>
      </c>
      <c r="U4930">
        <f>IF(T4930&gt;=4.25,"Critical",IF(T4930&gt;=3.5,"High",IF(T4930&gt;=2,"Medium","Low")))</f>
        <v/>
      </c>
    </row>
    <row r="4931">
      <c r="R4931">
        <f>IFERROR(XLOOKUP(XLOOKUP(D4931,tblReleaseChanges[Change_ID],tblReleaseChanges[Oracle_Severity],""),tblSeverityMap[Severity_Text],tblSeverityMap[Score],0),0)</f>
        <v/>
      </c>
      <c r="T4931">
        <f>ROUND((M4931*0.25)+(N4931*0.20)+(O4931*0.15)+(P4931*0.15)+(Q4931*0.10)+(R4931*0.10)+(S4931*0.05),2)</f>
        <v/>
      </c>
      <c r="U4931">
        <f>IF(T4931&gt;=4.25,"Critical",IF(T4931&gt;=3.5,"High",IF(T4931&gt;=2,"Medium","Low")))</f>
        <v/>
      </c>
    </row>
    <row r="4932">
      <c r="R4932">
        <f>IFERROR(XLOOKUP(XLOOKUP(D4932,tblReleaseChanges[Change_ID],tblReleaseChanges[Oracle_Severity],""),tblSeverityMap[Severity_Text],tblSeverityMap[Score],0),0)</f>
        <v/>
      </c>
      <c r="T4932">
        <f>ROUND((M4932*0.25)+(N4932*0.20)+(O4932*0.15)+(P4932*0.15)+(Q4932*0.10)+(R4932*0.10)+(S4932*0.05),2)</f>
        <v/>
      </c>
      <c r="U4932">
        <f>IF(T4932&gt;=4.25,"Critical",IF(T4932&gt;=3.5,"High",IF(T4932&gt;=2,"Medium","Low")))</f>
        <v/>
      </c>
    </row>
    <row r="4933">
      <c r="R4933">
        <f>IFERROR(XLOOKUP(XLOOKUP(D4933,tblReleaseChanges[Change_ID],tblReleaseChanges[Oracle_Severity],""),tblSeverityMap[Severity_Text],tblSeverityMap[Score],0),0)</f>
        <v/>
      </c>
      <c r="T4933">
        <f>ROUND((M4933*0.25)+(N4933*0.20)+(O4933*0.15)+(P4933*0.15)+(Q4933*0.10)+(R4933*0.10)+(S4933*0.05),2)</f>
        <v/>
      </c>
      <c r="U4933">
        <f>IF(T4933&gt;=4.25,"Critical",IF(T4933&gt;=3.5,"High",IF(T4933&gt;=2,"Medium","Low")))</f>
        <v/>
      </c>
    </row>
    <row r="4934">
      <c r="R4934">
        <f>IFERROR(XLOOKUP(XLOOKUP(D4934,tblReleaseChanges[Change_ID],tblReleaseChanges[Oracle_Severity],""),tblSeverityMap[Severity_Text],tblSeverityMap[Score],0),0)</f>
        <v/>
      </c>
      <c r="T4934">
        <f>ROUND((M4934*0.25)+(N4934*0.20)+(O4934*0.15)+(P4934*0.15)+(Q4934*0.10)+(R4934*0.10)+(S4934*0.05),2)</f>
        <v/>
      </c>
      <c r="U4934">
        <f>IF(T4934&gt;=4.25,"Critical",IF(T4934&gt;=3.5,"High",IF(T4934&gt;=2,"Medium","Low")))</f>
        <v/>
      </c>
    </row>
    <row r="4935">
      <c r="R4935">
        <f>IFERROR(XLOOKUP(XLOOKUP(D4935,tblReleaseChanges[Change_ID],tblReleaseChanges[Oracle_Severity],""),tblSeverityMap[Severity_Text],tblSeverityMap[Score],0),0)</f>
        <v/>
      </c>
      <c r="T4935">
        <f>ROUND((M4935*0.25)+(N4935*0.20)+(O4935*0.15)+(P4935*0.15)+(Q4935*0.10)+(R4935*0.10)+(S4935*0.05),2)</f>
        <v/>
      </c>
      <c r="U4935">
        <f>IF(T4935&gt;=4.25,"Critical",IF(T4935&gt;=3.5,"High",IF(T4935&gt;=2,"Medium","Low")))</f>
        <v/>
      </c>
    </row>
    <row r="4936">
      <c r="R4936">
        <f>IFERROR(XLOOKUP(XLOOKUP(D4936,tblReleaseChanges[Change_ID],tblReleaseChanges[Oracle_Severity],""),tblSeverityMap[Severity_Text],tblSeverityMap[Score],0),0)</f>
        <v/>
      </c>
      <c r="T4936">
        <f>ROUND((M4936*0.25)+(N4936*0.20)+(O4936*0.15)+(P4936*0.15)+(Q4936*0.10)+(R4936*0.10)+(S4936*0.05),2)</f>
        <v/>
      </c>
      <c r="U4936">
        <f>IF(T4936&gt;=4.25,"Critical",IF(T4936&gt;=3.5,"High",IF(T4936&gt;=2,"Medium","Low")))</f>
        <v/>
      </c>
    </row>
    <row r="4937">
      <c r="R4937">
        <f>IFERROR(XLOOKUP(XLOOKUP(D4937,tblReleaseChanges[Change_ID],tblReleaseChanges[Oracle_Severity],""),tblSeverityMap[Severity_Text],tblSeverityMap[Score],0),0)</f>
        <v/>
      </c>
      <c r="T4937">
        <f>ROUND((M4937*0.25)+(N4937*0.20)+(O4937*0.15)+(P4937*0.15)+(Q4937*0.10)+(R4937*0.10)+(S4937*0.05),2)</f>
        <v/>
      </c>
      <c r="U4937">
        <f>IF(T4937&gt;=4.25,"Critical",IF(T4937&gt;=3.5,"High",IF(T4937&gt;=2,"Medium","Low")))</f>
        <v/>
      </c>
    </row>
    <row r="4938">
      <c r="R4938">
        <f>IFERROR(XLOOKUP(XLOOKUP(D4938,tblReleaseChanges[Change_ID],tblReleaseChanges[Oracle_Severity],""),tblSeverityMap[Severity_Text],tblSeverityMap[Score],0),0)</f>
        <v/>
      </c>
      <c r="T4938">
        <f>ROUND((M4938*0.25)+(N4938*0.20)+(O4938*0.15)+(P4938*0.15)+(Q4938*0.10)+(R4938*0.10)+(S4938*0.05),2)</f>
        <v/>
      </c>
      <c r="U4938">
        <f>IF(T4938&gt;=4.25,"Critical",IF(T4938&gt;=3.5,"High",IF(T4938&gt;=2,"Medium","Low")))</f>
        <v/>
      </c>
    </row>
    <row r="4939">
      <c r="R4939">
        <f>IFERROR(XLOOKUP(XLOOKUP(D4939,tblReleaseChanges[Change_ID],tblReleaseChanges[Oracle_Severity],""),tblSeverityMap[Severity_Text],tblSeverityMap[Score],0),0)</f>
        <v/>
      </c>
      <c r="T4939">
        <f>ROUND((M4939*0.25)+(N4939*0.20)+(O4939*0.15)+(P4939*0.15)+(Q4939*0.10)+(R4939*0.10)+(S4939*0.05),2)</f>
        <v/>
      </c>
      <c r="U4939">
        <f>IF(T4939&gt;=4.25,"Critical",IF(T4939&gt;=3.5,"High",IF(T4939&gt;=2,"Medium","Low")))</f>
        <v/>
      </c>
    </row>
    <row r="4940">
      <c r="R4940">
        <f>IFERROR(XLOOKUP(XLOOKUP(D4940,tblReleaseChanges[Change_ID],tblReleaseChanges[Oracle_Severity],""),tblSeverityMap[Severity_Text],tblSeverityMap[Score],0),0)</f>
        <v/>
      </c>
      <c r="T4940">
        <f>ROUND((M4940*0.25)+(N4940*0.20)+(O4940*0.15)+(P4940*0.15)+(Q4940*0.10)+(R4940*0.10)+(S4940*0.05),2)</f>
        <v/>
      </c>
      <c r="U4940">
        <f>IF(T4940&gt;=4.25,"Critical",IF(T4940&gt;=3.5,"High",IF(T4940&gt;=2,"Medium","Low")))</f>
        <v/>
      </c>
    </row>
    <row r="4941">
      <c r="R4941">
        <f>IFERROR(XLOOKUP(XLOOKUP(D4941,tblReleaseChanges[Change_ID],tblReleaseChanges[Oracle_Severity],""),tblSeverityMap[Severity_Text],tblSeverityMap[Score],0),0)</f>
        <v/>
      </c>
      <c r="T4941">
        <f>ROUND((M4941*0.25)+(N4941*0.20)+(O4941*0.15)+(P4941*0.15)+(Q4941*0.10)+(R4941*0.10)+(S4941*0.05),2)</f>
        <v/>
      </c>
      <c r="U4941">
        <f>IF(T4941&gt;=4.25,"Critical",IF(T4941&gt;=3.5,"High",IF(T4941&gt;=2,"Medium","Low")))</f>
        <v/>
      </c>
    </row>
    <row r="4942">
      <c r="R4942">
        <f>IFERROR(XLOOKUP(XLOOKUP(D4942,tblReleaseChanges[Change_ID],tblReleaseChanges[Oracle_Severity],""),tblSeverityMap[Severity_Text],tblSeverityMap[Score],0),0)</f>
        <v/>
      </c>
      <c r="T4942">
        <f>ROUND((M4942*0.25)+(N4942*0.20)+(O4942*0.15)+(P4942*0.15)+(Q4942*0.10)+(R4942*0.10)+(S4942*0.05),2)</f>
        <v/>
      </c>
      <c r="U4942">
        <f>IF(T4942&gt;=4.25,"Critical",IF(T4942&gt;=3.5,"High",IF(T4942&gt;=2,"Medium","Low")))</f>
        <v/>
      </c>
    </row>
    <row r="4943">
      <c r="R4943">
        <f>IFERROR(XLOOKUP(XLOOKUP(D4943,tblReleaseChanges[Change_ID],tblReleaseChanges[Oracle_Severity],""),tblSeverityMap[Severity_Text],tblSeverityMap[Score],0),0)</f>
        <v/>
      </c>
      <c r="T4943">
        <f>ROUND((M4943*0.25)+(N4943*0.20)+(O4943*0.15)+(P4943*0.15)+(Q4943*0.10)+(R4943*0.10)+(S4943*0.05),2)</f>
        <v/>
      </c>
      <c r="U4943">
        <f>IF(T4943&gt;=4.25,"Critical",IF(T4943&gt;=3.5,"High",IF(T4943&gt;=2,"Medium","Low")))</f>
        <v/>
      </c>
    </row>
    <row r="4944">
      <c r="R4944">
        <f>IFERROR(XLOOKUP(XLOOKUP(D4944,tblReleaseChanges[Change_ID],tblReleaseChanges[Oracle_Severity],""),tblSeverityMap[Severity_Text],tblSeverityMap[Score],0),0)</f>
        <v/>
      </c>
      <c r="T4944">
        <f>ROUND((M4944*0.25)+(N4944*0.20)+(O4944*0.15)+(P4944*0.15)+(Q4944*0.10)+(R4944*0.10)+(S4944*0.05),2)</f>
        <v/>
      </c>
      <c r="U4944">
        <f>IF(T4944&gt;=4.25,"Critical",IF(T4944&gt;=3.5,"High",IF(T4944&gt;=2,"Medium","Low")))</f>
        <v/>
      </c>
    </row>
    <row r="4945">
      <c r="R4945">
        <f>IFERROR(XLOOKUP(XLOOKUP(D4945,tblReleaseChanges[Change_ID],tblReleaseChanges[Oracle_Severity],""),tblSeverityMap[Severity_Text],tblSeverityMap[Score],0),0)</f>
        <v/>
      </c>
      <c r="T4945">
        <f>ROUND((M4945*0.25)+(N4945*0.20)+(O4945*0.15)+(P4945*0.15)+(Q4945*0.10)+(R4945*0.10)+(S4945*0.05),2)</f>
        <v/>
      </c>
      <c r="U4945">
        <f>IF(T4945&gt;=4.25,"Critical",IF(T4945&gt;=3.5,"High",IF(T4945&gt;=2,"Medium","Low")))</f>
        <v/>
      </c>
    </row>
    <row r="4946">
      <c r="R4946">
        <f>IFERROR(XLOOKUP(XLOOKUP(D4946,tblReleaseChanges[Change_ID],tblReleaseChanges[Oracle_Severity],""),tblSeverityMap[Severity_Text],tblSeverityMap[Score],0),0)</f>
        <v/>
      </c>
      <c r="T4946">
        <f>ROUND((M4946*0.25)+(N4946*0.20)+(O4946*0.15)+(P4946*0.15)+(Q4946*0.10)+(R4946*0.10)+(S4946*0.05),2)</f>
        <v/>
      </c>
      <c r="U4946">
        <f>IF(T4946&gt;=4.25,"Critical",IF(T4946&gt;=3.5,"High",IF(T4946&gt;=2,"Medium","Low")))</f>
        <v/>
      </c>
    </row>
    <row r="4947">
      <c r="R4947">
        <f>IFERROR(XLOOKUP(XLOOKUP(D4947,tblReleaseChanges[Change_ID],tblReleaseChanges[Oracle_Severity],""),tblSeverityMap[Severity_Text],tblSeverityMap[Score],0),0)</f>
        <v/>
      </c>
      <c r="T4947">
        <f>ROUND((M4947*0.25)+(N4947*0.20)+(O4947*0.15)+(P4947*0.15)+(Q4947*0.10)+(R4947*0.10)+(S4947*0.05),2)</f>
        <v/>
      </c>
      <c r="U4947">
        <f>IF(T4947&gt;=4.25,"Critical",IF(T4947&gt;=3.5,"High",IF(T4947&gt;=2,"Medium","Low")))</f>
        <v/>
      </c>
    </row>
    <row r="4948">
      <c r="R4948">
        <f>IFERROR(XLOOKUP(XLOOKUP(D4948,tblReleaseChanges[Change_ID],tblReleaseChanges[Oracle_Severity],""),tblSeverityMap[Severity_Text],tblSeverityMap[Score],0),0)</f>
        <v/>
      </c>
      <c r="T4948">
        <f>ROUND((M4948*0.25)+(N4948*0.20)+(O4948*0.15)+(P4948*0.15)+(Q4948*0.10)+(R4948*0.10)+(S4948*0.05),2)</f>
        <v/>
      </c>
      <c r="U4948">
        <f>IF(T4948&gt;=4.25,"Critical",IF(T4948&gt;=3.5,"High",IF(T4948&gt;=2,"Medium","Low")))</f>
        <v/>
      </c>
    </row>
    <row r="4949">
      <c r="R4949">
        <f>IFERROR(XLOOKUP(XLOOKUP(D4949,tblReleaseChanges[Change_ID],tblReleaseChanges[Oracle_Severity],""),tblSeverityMap[Severity_Text],tblSeverityMap[Score],0),0)</f>
        <v/>
      </c>
      <c r="T4949">
        <f>ROUND((M4949*0.25)+(N4949*0.20)+(O4949*0.15)+(P4949*0.15)+(Q4949*0.10)+(R4949*0.10)+(S4949*0.05),2)</f>
        <v/>
      </c>
      <c r="U4949">
        <f>IF(T4949&gt;=4.25,"Critical",IF(T4949&gt;=3.5,"High",IF(T4949&gt;=2,"Medium","Low")))</f>
        <v/>
      </c>
    </row>
    <row r="4950">
      <c r="R4950">
        <f>IFERROR(XLOOKUP(XLOOKUP(D4950,tblReleaseChanges[Change_ID],tblReleaseChanges[Oracle_Severity],""),tblSeverityMap[Severity_Text],tblSeverityMap[Score],0),0)</f>
        <v/>
      </c>
      <c r="T4950">
        <f>ROUND((M4950*0.25)+(N4950*0.20)+(O4950*0.15)+(P4950*0.15)+(Q4950*0.10)+(R4950*0.10)+(S4950*0.05),2)</f>
        <v/>
      </c>
      <c r="U4950">
        <f>IF(T4950&gt;=4.25,"Critical",IF(T4950&gt;=3.5,"High",IF(T4950&gt;=2,"Medium","Low")))</f>
        <v/>
      </c>
    </row>
    <row r="4951">
      <c r="R4951">
        <f>IFERROR(XLOOKUP(XLOOKUP(D4951,tblReleaseChanges[Change_ID],tblReleaseChanges[Oracle_Severity],""),tblSeverityMap[Severity_Text],tblSeverityMap[Score],0),0)</f>
        <v/>
      </c>
      <c r="T4951">
        <f>ROUND((M4951*0.25)+(N4951*0.20)+(O4951*0.15)+(P4951*0.15)+(Q4951*0.10)+(R4951*0.10)+(S4951*0.05),2)</f>
        <v/>
      </c>
      <c r="U4951">
        <f>IF(T4951&gt;=4.25,"Critical",IF(T4951&gt;=3.5,"High",IF(T4951&gt;=2,"Medium","Low")))</f>
        <v/>
      </c>
    </row>
    <row r="4952">
      <c r="R4952">
        <f>IFERROR(XLOOKUP(XLOOKUP(D4952,tblReleaseChanges[Change_ID],tblReleaseChanges[Oracle_Severity],""),tblSeverityMap[Severity_Text],tblSeverityMap[Score],0),0)</f>
        <v/>
      </c>
      <c r="T4952">
        <f>ROUND((M4952*0.25)+(N4952*0.20)+(O4952*0.15)+(P4952*0.15)+(Q4952*0.10)+(R4952*0.10)+(S4952*0.05),2)</f>
        <v/>
      </c>
      <c r="U4952">
        <f>IF(T4952&gt;=4.25,"Critical",IF(T4952&gt;=3.5,"High",IF(T4952&gt;=2,"Medium","Low")))</f>
        <v/>
      </c>
    </row>
    <row r="4953">
      <c r="R4953">
        <f>IFERROR(XLOOKUP(XLOOKUP(D4953,tblReleaseChanges[Change_ID],tblReleaseChanges[Oracle_Severity],""),tblSeverityMap[Severity_Text],tblSeverityMap[Score],0),0)</f>
        <v/>
      </c>
      <c r="T4953">
        <f>ROUND((M4953*0.25)+(N4953*0.20)+(O4953*0.15)+(P4953*0.15)+(Q4953*0.10)+(R4953*0.10)+(S4953*0.05),2)</f>
        <v/>
      </c>
      <c r="U4953">
        <f>IF(T4953&gt;=4.25,"Critical",IF(T4953&gt;=3.5,"High",IF(T4953&gt;=2,"Medium","Low")))</f>
        <v/>
      </c>
    </row>
    <row r="4954">
      <c r="R4954">
        <f>IFERROR(XLOOKUP(XLOOKUP(D4954,tblReleaseChanges[Change_ID],tblReleaseChanges[Oracle_Severity],""),tblSeverityMap[Severity_Text],tblSeverityMap[Score],0),0)</f>
        <v/>
      </c>
      <c r="T4954">
        <f>ROUND((M4954*0.25)+(N4954*0.20)+(O4954*0.15)+(P4954*0.15)+(Q4954*0.10)+(R4954*0.10)+(S4954*0.05),2)</f>
        <v/>
      </c>
      <c r="U4954">
        <f>IF(T4954&gt;=4.25,"Critical",IF(T4954&gt;=3.5,"High",IF(T4954&gt;=2,"Medium","Low")))</f>
        <v/>
      </c>
    </row>
    <row r="4955">
      <c r="R4955">
        <f>IFERROR(XLOOKUP(XLOOKUP(D4955,tblReleaseChanges[Change_ID],tblReleaseChanges[Oracle_Severity],""),tblSeverityMap[Severity_Text],tblSeverityMap[Score],0),0)</f>
        <v/>
      </c>
      <c r="T4955">
        <f>ROUND((M4955*0.25)+(N4955*0.20)+(O4955*0.15)+(P4955*0.15)+(Q4955*0.10)+(R4955*0.10)+(S4955*0.05),2)</f>
        <v/>
      </c>
      <c r="U4955">
        <f>IF(T4955&gt;=4.25,"Critical",IF(T4955&gt;=3.5,"High",IF(T4955&gt;=2,"Medium","Low")))</f>
        <v/>
      </c>
    </row>
    <row r="4956">
      <c r="R4956">
        <f>IFERROR(XLOOKUP(XLOOKUP(D4956,tblReleaseChanges[Change_ID],tblReleaseChanges[Oracle_Severity],""),tblSeverityMap[Severity_Text],tblSeverityMap[Score],0),0)</f>
        <v/>
      </c>
      <c r="T4956">
        <f>ROUND((M4956*0.25)+(N4956*0.20)+(O4956*0.15)+(P4956*0.15)+(Q4956*0.10)+(R4956*0.10)+(S4956*0.05),2)</f>
        <v/>
      </c>
      <c r="U4956">
        <f>IF(T4956&gt;=4.25,"Critical",IF(T4956&gt;=3.5,"High",IF(T4956&gt;=2,"Medium","Low")))</f>
        <v/>
      </c>
    </row>
    <row r="4957">
      <c r="R4957">
        <f>IFERROR(XLOOKUP(XLOOKUP(D4957,tblReleaseChanges[Change_ID],tblReleaseChanges[Oracle_Severity],""),tblSeverityMap[Severity_Text],tblSeverityMap[Score],0),0)</f>
        <v/>
      </c>
      <c r="T4957">
        <f>ROUND((M4957*0.25)+(N4957*0.20)+(O4957*0.15)+(P4957*0.15)+(Q4957*0.10)+(R4957*0.10)+(S4957*0.05),2)</f>
        <v/>
      </c>
      <c r="U4957">
        <f>IF(T4957&gt;=4.25,"Critical",IF(T4957&gt;=3.5,"High",IF(T4957&gt;=2,"Medium","Low")))</f>
        <v/>
      </c>
    </row>
    <row r="4958">
      <c r="R4958">
        <f>IFERROR(XLOOKUP(XLOOKUP(D4958,tblReleaseChanges[Change_ID],tblReleaseChanges[Oracle_Severity],""),tblSeverityMap[Severity_Text],tblSeverityMap[Score],0),0)</f>
        <v/>
      </c>
      <c r="T4958">
        <f>ROUND((M4958*0.25)+(N4958*0.20)+(O4958*0.15)+(P4958*0.15)+(Q4958*0.10)+(R4958*0.10)+(S4958*0.05),2)</f>
        <v/>
      </c>
      <c r="U4958">
        <f>IF(T4958&gt;=4.25,"Critical",IF(T4958&gt;=3.5,"High",IF(T4958&gt;=2,"Medium","Low")))</f>
        <v/>
      </c>
    </row>
    <row r="4959">
      <c r="R4959">
        <f>IFERROR(XLOOKUP(XLOOKUP(D4959,tblReleaseChanges[Change_ID],tblReleaseChanges[Oracle_Severity],""),tblSeverityMap[Severity_Text],tblSeverityMap[Score],0),0)</f>
        <v/>
      </c>
      <c r="T4959">
        <f>ROUND((M4959*0.25)+(N4959*0.20)+(O4959*0.15)+(P4959*0.15)+(Q4959*0.10)+(R4959*0.10)+(S4959*0.05),2)</f>
        <v/>
      </c>
      <c r="U4959">
        <f>IF(T4959&gt;=4.25,"Critical",IF(T4959&gt;=3.5,"High",IF(T4959&gt;=2,"Medium","Low")))</f>
        <v/>
      </c>
    </row>
    <row r="4960">
      <c r="R4960">
        <f>IFERROR(XLOOKUP(XLOOKUP(D4960,tblReleaseChanges[Change_ID],tblReleaseChanges[Oracle_Severity],""),tblSeverityMap[Severity_Text],tblSeverityMap[Score],0),0)</f>
        <v/>
      </c>
      <c r="T4960">
        <f>ROUND((M4960*0.25)+(N4960*0.20)+(O4960*0.15)+(P4960*0.15)+(Q4960*0.10)+(R4960*0.10)+(S4960*0.05),2)</f>
        <v/>
      </c>
      <c r="U4960">
        <f>IF(T4960&gt;=4.25,"Critical",IF(T4960&gt;=3.5,"High",IF(T4960&gt;=2,"Medium","Low")))</f>
        <v/>
      </c>
    </row>
    <row r="4961">
      <c r="R4961">
        <f>IFERROR(XLOOKUP(XLOOKUP(D4961,tblReleaseChanges[Change_ID],tblReleaseChanges[Oracle_Severity],""),tblSeverityMap[Severity_Text],tblSeverityMap[Score],0),0)</f>
        <v/>
      </c>
      <c r="T4961">
        <f>ROUND((M4961*0.25)+(N4961*0.20)+(O4961*0.15)+(P4961*0.15)+(Q4961*0.10)+(R4961*0.10)+(S4961*0.05),2)</f>
        <v/>
      </c>
      <c r="U4961">
        <f>IF(T4961&gt;=4.25,"Critical",IF(T4961&gt;=3.5,"High",IF(T4961&gt;=2,"Medium","Low")))</f>
        <v/>
      </c>
    </row>
    <row r="4962">
      <c r="R4962">
        <f>IFERROR(XLOOKUP(XLOOKUP(D4962,tblReleaseChanges[Change_ID],tblReleaseChanges[Oracle_Severity],""),tblSeverityMap[Severity_Text],tblSeverityMap[Score],0),0)</f>
        <v/>
      </c>
      <c r="T4962">
        <f>ROUND((M4962*0.25)+(N4962*0.20)+(O4962*0.15)+(P4962*0.15)+(Q4962*0.10)+(R4962*0.10)+(S4962*0.05),2)</f>
        <v/>
      </c>
      <c r="U4962">
        <f>IF(T4962&gt;=4.25,"Critical",IF(T4962&gt;=3.5,"High",IF(T4962&gt;=2,"Medium","Low")))</f>
        <v/>
      </c>
    </row>
    <row r="4963">
      <c r="R4963">
        <f>IFERROR(XLOOKUP(XLOOKUP(D4963,tblReleaseChanges[Change_ID],tblReleaseChanges[Oracle_Severity],""),tblSeverityMap[Severity_Text],tblSeverityMap[Score],0),0)</f>
        <v/>
      </c>
      <c r="T4963">
        <f>ROUND((M4963*0.25)+(N4963*0.20)+(O4963*0.15)+(P4963*0.15)+(Q4963*0.10)+(R4963*0.10)+(S4963*0.05),2)</f>
        <v/>
      </c>
      <c r="U4963">
        <f>IF(T4963&gt;=4.25,"Critical",IF(T4963&gt;=3.5,"High",IF(T4963&gt;=2,"Medium","Low")))</f>
        <v/>
      </c>
    </row>
    <row r="4964">
      <c r="R4964">
        <f>IFERROR(XLOOKUP(XLOOKUP(D4964,tblReleaseChanges[Change_ID],tblReleaseChanges[Oracle_Severity],""),tblSeverityMap[Severity_Text],tblSeverityMap[Score],0),0)</f>
        <v/>
      </c>
      <c r="T4964">
        <f>ROUND((M4964*0.25)+(N4964*0.20)+(O4964*0.15)+(P4964*0.15)+(Q4964*0.10)+(R4964*0.10)+(S4964*0.05),2)</f>
        <v/>
      </c>
      <c r="U4964">
        <f>IF(T4964&gt;=4.25,"Critical",IF(T4964&gt;=3.5,"High",IF(T4964&gt;=2,"Medium","Low")))</f>
        <v/>
      </c>
    </row>
    <row r="4965">
      <c r="R4965">
        <f>IFERROR(XLOOKUP(XLOOKUP(D4965,tblReleaseChanges[Change_ID],tblReleaseChanges[Oracle_Severity],""),tblSeverityMap[Severity_Text],tblSeverityMap[Score],0),0)</f>
        <v/>
      </c>
      <c r="T4965">
        <f>ROUND((M4965*0.25)+(N4965*0.20)+(O4965*0.15)+(P4965*0.15)+(Q4965*0.10)+(R4965*0.10)+(S4965*0.05),2)</f>
        <v/>
      </c>
      <c r="U4965">
        <f>IF(T4965&gt;=4.25,"Critical",IF(T4965&gt;=3.5,"High",IF(T4965&gt;=2,"Medium","Low")))</f>
        <v/>
      </c>
    </row>
    <row r="4966">
      <c r="R4966">
        <f>IFERROR(XLOOKUP(XLOOKUP(D4966,tblReleaseChanges[Change_ID],tblReleaseChanges[Oracle_Severity],""),tblSeverityMap[Severity_Text],tblSeverityMap[Score],0),0)</f>
        <v/>
      </c>
      <c r="T4966">
        <f>ROUND((M4966*0.25)+(N4966*0.20)+(O4966*0.15)+(P4966*0.15)+(Q4966*0.10)+(R4966*0.10)+(S4966*0.05),2)</f>
        <v/>
      </c>
      <c r="U4966">
        <f>IF(T4966&gt;=4.25,"Critical",IF(T4966&gt;=3.5,"High",IF(T4966&gt;=2,"Medium","Low")))</f>
        <v/>
      </c>
    </row>
    <row r="4967">
      <c r="R4967">
        <f>IFERROR(XLOOKUP(XLOOKUP(D4967,tblReleaseChanges[Change_ID],tblReleaseChanges[Oracle_Severity],""),tblSeverityMap[Severity_Text],tblSeverityMap[Score],0),0)</f>
        <v/>
      </c>
      <c r="T4967">
        <f>ROUND((M4967*0.25)+(N4967*0.20)+(O4967*0.15)+(P4967*0.15)+(Q4967*0.10)+(R4967*0.10)+(S4967*0.05),2)</f>
        <v/>
      </c>
      <c r="U4967">
        <f>IF(T4967&gt;=4.25,"Critical",IF(T4967&gt;=3.5,"High",IF(T4967&gt;=2,"Medium","Low")))</f>
        <v/>
      </c>
    </row>
    <row r="4968">
      <c r="R4968">
        <f>IFERROR(XLOOKUP(XLOOKUP(D4968,tblReleaseChanges[Change_ID],tblReleaseChanges[Oracle_Severity],""),tblSeverityMap[Severity_Text],tblSeverityMap[Score],0),0)</f>
        <v/>
      </c>
      <c r="T4968">
        <f>ROUND((M4968*0.25)+(N4968*0.20)+(O4968*0.15)+(P4968*0.15)+(Q4968*0.10)+(R4968*0.10)+(S4968*0.05),2)</f>
        <v/>
      </c>
      <c r="U4968">
        <f>IF(T4968&gt;=4.25,"Critical",IF(T4968&gt;=3.5,"High",IF(T4968&gt;=2,"Medium","Low")))</f>
        <v/>
      </c>
    </row>
    <row r="4969">
      <c r="R4969">
        <f>IFERROR(XLOOKUP(XLOOKUP(D4969,tblReleaseChanges[Change_ID],tblReleaseChanges[Oracle_Severity],""),tblSeverityMap[Severity_Text],tblSeverityMap[Score],0),0)</f>
        <v/>
      </c>
      <c r="T4969">
        <f>ROUND((M4969*0.25)+(N4969*0.20)+(O4969*0.15)+(P4969*0.15)+(Q4969*0.10)+(R4969*0.10)+(S4969*0.05),2)</f>
        <v/>
      </c>
      <c r="U4969">
        <f>IF(T4969&gt;=4.25,"Critical",IF(T4969&gt;=3.5,"High",IF(T4969&gt;=2,"Medium","Low")))</f>
        <v/>
      </c>
    </row>
    <row r="4970">
      <c r="R4970">
        <f>IFERROR(XLOOKUP(XLOOKUP(D4970,tblReleaseChanges[Change_ID],tblReleaseChanges[Oracle_Severity],""),tblSeverityMap[Severity_Text],tblSeverityMap[Score],0),0)</f>
        <v/>
      </c>
      <c r="T4970">
        <f>ROUND((M4970*0.25)+(N4970*0.20)+(O4970*0.15)+(P4970*0.15)+(Q4970*0.10)+(R4970*0.10)+(S4970*0.05),2)</f>
        <v/>
      </c>
      <c r="U4970">
        <f>IF(T4970&gt;=4.25,"Critical",IF(T4970&gt;=3.5,"High",IF(T4970&gt;=2,"Medium","Low")))</f>
        <v/>
      </c>
    </row>
    <row r="4971">
      <c r="R4971">
        <f>IFERROR(XLOOKUP(XLOOKUP(D4971,tblReleaseChanges[Change_ID],tblReleaseChanges[Oracle_Severity],""),tblSeverityMap[Severity_Text],tblSeverityMap[Score],0),0)</f>
        <v/>
      </c>
      <c r="T4971">
        <f>ROUND((M4971*0.25)+(N4971*0.20)+(O4971*0.15)+(P4971*0.15)+(Q4971*0.10)+(R4971*0.10)+(S4971*0.05),2)</f>
        <v/>
      </c>
      <c r="U4971">
        <f>IF(T4971&gt;=4.25,"Critical",IF(T4971&gt;=3.5,"High",IF(T4971&gt;=2,"Medium","Low")))</f>
        <v/>
      </c>
    </row>
    <row r="4972">
      <c r="R4972">
        <f>IFERROR(XLOOKUP(XLOOKUP(D4972,tblReleaseChanges[Change_ID],tblReleaseChanges[Oracle_Severity],""),tblSeverityMap[Severity_Text],tblSeverityMap[Score],0),0)</f>
        <v/>
      </c>
      <c r="T4972">
        <f>ROUND((M4972*0.25)+(N4972*0.20)+(O4972*0.15)+(P4972*0.15)+(Q4972*0.10)+(R4972*0.10)+(S4972*0.05),2)</f>
        <v/>
      </c>
      <c r="U4972">
        <f>IF(T4972&gt;=4.25,"Critical",IF(T4972&gt;=3.5,"High",IF(T4972&gt;=2,"Medium","Low")))</f>
        <v/>
      </c>
    </row>
    <row r="4973">
      <c r="R4973">
        <f>IFERROR(XLOOKUP(XLOOKUP(D4973,tblReleaseChanges[Change_ID],tblReleaseChanges[Oracle_Severity],""),tblSeverityMap[Severity_Text],tblSeverityMap[Score],0),0)</f>
        <v/>
      </c>
      <c r="T4973">
        <f>ROUND((M4973*0.25)+(N4973*0.20)+(O4973*0.15)+(P4973*0.15)+(Q4973*0.10)+(R4973*0.10)+(S4973*0.05),2)</f>
        <v/>
      </c>
      <c r="U4973">
        <f>IF(T4973&gt;=4.25,"Critical",IF(T4973&gt;=3.5,"High",IF(T4973&gt;=2,"Medium","Low")))</f>
        <v/>
      </c>
    </row>
    <row r="4974">
      <c r="R4974">
        <f>IFERROR(XLOOKUP(XLOOKUP(D4974,tblReleaseChanges[Change_ID],tblReleaseChanges[Oracle_Severity],""),tblSeverityMap[Severity_Text],tblSeverityMap[Score],0),0)</f>
        <v/>
      </c>
      <c r="T4974">
        <f>ROUND((M4974*0.25)+(N4974*0.20)+(O4974*0.15)+(P4974*0.15)+(Q4974*0.10)+(R4974*0.10)+(S4974*0.05),2)</f>
        <v/>
      </c>
      <c r="U4974">
        <f>IF(T4974&gt;=4.25,"Critical",IF(T4974&gt;=3.5,"High",IF(T4974&gt;=2,"Medium","Low")))</f>
        <v/>
      </c>
    </row>
    <row r="4975">
      <c r="R4975">
        <f>IFERROR(XLOOKUP(XLOOKUP(D4975,tblReleaseChanges[Change_ID],tblReleaseChanges[Oracle_Severity],""),tblSeverityMap[Severity_Text],tblSeverityMap[Score],0),0)</f>
        <v/>
      </c>
      <c r="T4975">
        <f>ROUND((M4975*0.25)+(N4975*0.20)+(O4975*0.15)+(P4975*0.15)+(Q4975*0.10)+(R4975*0.10)+(S4975*0.05),2)</f>
        <v/>
      </c>
      <c r="U4975">
        <f>IF(T4975&gt;=4.25,"Critical",IF(T4975&gt;=3.5,"High",IF(T4975&gt;=2,"Medium","Low")))</f>
        <v/>
      </c>
    </row>
    <row r="4976">
      <c r="R4976">
        <f>IFERROR(XLOOKUP(XLOOKUP(D4976,tblReleaseChanges[Change_ID],tblReleaseChanges[Oracle_Severity],""),tblSeverityMap[Severity_Text],tblSeverityMap[Score],0),0)</f>
        <v/>
      </c>
      <c r="T4976">
        <f>ROUND((M4976*0.25)+(N4976*0.20)+(O4976*0.15)+(P4976*0.15)+(Q4976*0.10)+(R4976*0.10)+(S4976*0.05),2)</f>
        <v/>
      </c>
      <c r="U4976">
        <f>IF(T4976&gt;=4.25,"Critical",IF(T4976&gt;=3.5,"High",IF(T4976&gt;=2,"Medium","Low")))</f>
        <v/>
      </c>
    </row>
    <row r="4977">
      <c r="R4977">
        <f>IFERROR(XLOOKUP(XLOOKUP(D4977,tblReleaseChanges[Change_ID],tblReleaseChanges[Oracle_Severity],""),tblSeverityMap[Severity_Text],tblSeverityMap[Score],0),0)</f>
        <v/>
      </c>
      <c r="T4977">
        <f>ROUND((M4977*0.25)+(N4977*0.20)+(O4977*0.15)+(P4977*0.15)+(Q4977*0.10)+(R4977*0.10)+(S4977*0.05),2)</f>
        <v/>
      </c>
      <c r="U4977">
        <f>IF(T4977&gt;=4.25,"Critical",IF(T4977&gt;=3.5,"High",IF(T4977&gt;=2,"Medium","Low")))</f>
        <v/>
      </c>
    </row>
    <row r="4978">
      <c r="R4978">
        <f>IFERROR(XLOOKUP(XLOOKUP(D4978,tblReleaseChanges[Change_ID],tblReleaseChanges[Oracle_Severity],""),tblSeverityMap[Severity_Text],tblSeverityMap[Score],0),0)</f>
        <v/>
      </c>
      <c r="T4978">
        <f>ROUND((M4978*0.25)+(N4978*0.20)+(O4978*0.15)+(P4978*0.15)+(Q4978*0.10)+(R4978*0.10)+(S4978*0.05),2)</f>
        <v/>
      </c>
      <c r="U4978">
        <f>IF(T4978&gt;=4.25,"Critical",IF(T4978&gt;=3.5,"High",IF(T4978&gt;=2,"Medium","Low")))</f>
        <v/>
      </c>
    </row>
    <row r="4979">
      <c r="R4979">
        <f>IFERROR(XLOOKUP(XLOOKUP(D4979,tblReleaseChanges[Change_ID],tblReleaseChanges[Oracle_Severity],""),tblSeverityMap[Severity_Text],tblSeverityMap[Score],0),0)</f>
        <v/>
      </c>
      <c r="T4979">
        <f>ROUND((M4979*0.25)+(N4979*0.20)+(O4979*0.15)+(P4979*0.15)+(Q4979*0.10)+(R4979*0.10)+(S4979*0.05),2)</f>
        <v/>
      </c>
      <c r="U4979">
        <f>IF(T4979&gt;=4.25,"Critical",IF(T4979&gt;=3.5,"High",IF(T4979&gt;=2,"Medium","Low")))</f>
        <v/>
      </c>
    </row>
    <row r="4980">
      <c r="R4980">
        <f>IFERROR(XLOOKUP(XLOOKUP(D4980,tblReleaseChanges[Change_ID],tblReleaseChanges[Oracle_Severity],""),tblSeverityMap[Severity_Text],tblSeverityMap[Score],0),0)</f>
        <v/>
      </c>
      <c r="T4980">
        <f>ROUND((M4980*0.25)+(N4980*0.20)+(O4980*0.15)+(P4980*0.15)+(Q4980*0.10)+(R4980*0.10)+(S4980*0.05),2)</f>
        <v/>
      </c>
      <c r="U4980">
        <f>IF(T4980&gt;=4.25,"Critical",IF(T4980&gt;=3.5,"High",IF(T4980&gt;=2,"Medium","Low")))</f>
        <v/>
      </c>
    </row>
    <row r="4981">
      <c r="R4981">
        <f>IFERROR(XLOOKUP(XLOOKUP(D4981,tblReleaseChanges[Change_ID],tblReleaseChanges[Oracle_Severity],""),tblSeverityMap[Severity_Text],tblSeverityMap[Score],0),0)</f>
        <v/>
      </c>
      <c r="T4981">
        <f>ROUND((M4981*0.25)+(N4981*0.20)+(O4981*0.15)+(P4981*0.15)+(Q4981*0.10)+(R4981*0.10)+(S4981*0.05),2)</f>
        <v/>
      </c>
      <c r="U4981">
        <f>IF(T4981&gt;=4.25,"Critical",IF(T4981&gt;=3.5,"High",IF(T4981&gt;=2,"Medium","Low")))</f>
        <v/>
      </c>
    </row>
    <row r="4982">
      <c r="R4982">
        <f>IFERROR(XLOOKUP(XLOOKUP(D4982,tblReleaseChanges[Change_ID],tblReleaseChanges[Oracle_Severity],""),tblSeverityMap[Severity_Text],tblSeverityMap[Score],0),0)</f>
        <v/>
      </c>
      <c r="T4982">
        <f>ROUND((M4982*0.25)+(N4982*0.20)+(O4982*0.15)+(P4982*0.15)+(Q4982*0.10)+(R4982*0.10)+(S4982*0.05),2)</f>
        <v/>
      </c>
      <c r="U4982">
        <f>IF(T4982&gt;=4.25,"Critical",IF(T4982&gt;=3.5,"High",IF(T4982&gt;=2,"Medium","Low")))</f>
        <v/>
      </c>
    </row>
    <row r="4983">
      <c r="R4983">
        <f>IFERROR(XLOOKUP(XLOOKUP(D4983,tblReleaseChanges[Change_ID],tblReleaseChanges[Oracle_Severity],""),tblSeverityMap[Severity_Text],tblSeverityMap[Score],0),0)</f>
        <v/>
      </c>
      <c r="T4983">
        <f>ROUND((M4983*0.25)+(N4983*0.20)+(O4983*0.15)+(P4983*0.15)+(Q4983*0.10)+(R4983*0.10)+(S4983*0.05),2)</f>
        <v/>
      </c>
      <c r="U4983">
        <f>IF(T4983&gt;=4.25,"Critical",IF(T4983&gt;=3.5,"High",IF(T4983&gt;=2,"Medium","Low")))</f>
        <v/>
      </c>
    </row>
    <row r="4984">
      <c r="R4984">
        <f>IFERROR(XLOOKUP(XLOOKUP(D4984,tblReleaseChanges[Change_ID],tblReleaseChanges[Oracle_Severity],""),tblSeverityMap[Severity_Text],tblSeverityMap[Score],0),0)</f>
        <v/>
      </c>
      <c r="T4984">
        <f>ROUND((M4984*0.25)+(N4984*0.20)+(O4984*0.15)+(P4984*0.15)+(Q4984*0.10)+(R4984*0.10)+(S4984*0.05),2)</f>
        <v/>
      </c>
      <c r="U4984">
        <f>IF(T4984&gt;=4.25,"Critical",IF(T4984&gt;=3.5,"High",IF(T4984&gt;=2,"Medium","Low")))</f>
        <v/>
      </c>
    </row>
    <row r="4985">
      <c r="R4985">
        <f>IFERROR(XLOOKUP(XLOOKUP(D4985,tblReleaseChanges[Change_ID],tblReleaseChanges[Oracle_Severity],""),tblSeverityMap[Severity_Text],tblSeverityMap[Score],0),0)</f>
        <v/>
      </c>
      <c r="T4985">
        <f>ROUND((M4985*0.25)+(N4985*0.20)+(O4985*0.15)+(P4985*0.15)+(Q4985*0.10)+(R4985*0.10)+(S4985*0.05),2)</f>
        <v/>
      </c>
      <c r="U4985">
        <f>IF(T4985&gt;=4.25,"Critical",IF(T4985&gt;=3.5,"High",IF(T4985&gt;=2,"Medium","Low")))</f>
        <v/>
      </c>
    </row>
    <row r="4986">
      <c r="R4986">
        <f>IFERROR(XLOOKUP(XLOOKUP(D4986,tblReleaseChanges[Change_ID],tblReleaseChanges[Oracle_Severity],""),tblSeverityMap[Severity_Text],tblSeverityMap[Score],0),0)</f>
        <v/>
      </c>
      <c r="T4986">
        <f>ROUND((M4986*0.25)+(N4986*0.20)+(O4986*0.15)+(P4986*0.15)+(Q4986*0.10)+(R4986*0.10)+(S4986*0.05),2)</f>
        <v/>
      </c>
      <c r="U4986">
        <f>IF(T4986&gt;=4.25,"Critical",IF(T4986&gt;=3.5,"High",IF(T4986&gt;=2,"Medium","Low")))</f>
        <v/>
      </c>
    </row>
    <row r="4987">
      <c r="R4987">
        <f>IFERROR(XLOOKUP(XLOOKUP(D4987,tblReleaseChanges[Change_ID],tblReleaseChanges[Oracle_Severity],""),tblSeverityMap[Severity_Text],tblSeverityMap[Score],0),0)</f>
        <v/>
      </c>
      <c r="T4987">
        <f>ROUND((M4987*0.25)+(N4987*0.20)+(O4987*0.15)+(P4987*0.15)+(Q4987*0.10)+(R4987*0.10)+(S4987*0.05),2)</f>
        <v/>
      </c>
      <c r="U4987">
        <f>IF(T4987&gt;=4.25,"Critical",IF(T4987&gt;=3.5,"High",IF(T4987&gt;=2,"Medium","Low")))</f>
        <v/>
      </c>
    </row>
    <row r="4988">
      <c r="R4988">
        <f>IFERROR(XLOOKUP(XLOOKUP(D4988,tblReleaseChanges[Change_ID],tblReleaseChanges[Oracle_Severity],""),tblSeverityMap[Severity_Text],tblSeverityMap[Score],0),0)</f>
        <v/>
      </c>
      <c r="T4988">
        <f>ROUND((M4988*0.25)+(N4988*0.20)+(O4988*0.15)+(P4988*0.15)+(Q4988*0.10)+(R4988*0.10)+(S4988*0.05),2)</f>
        <v/>
      </c>
      <c r="U4988">
        <f>IF(T4988&gt;=4.25,"Critical",IF(T4988&gt;=3.5,"High",IF(T4988&gt;=2,"Medium","Low")))</f>
        <v/>
      </c>
    </row>
    <row r="4989">
      <c r="R4989">
        <f>IFERROR(XLOOKUP(XLOOKUP(D4989,tblReleaseChanges[Change_ID],tblReleaseChanges[Oracle_Severity],""),tblSeverityMap[Severity_Text],tblSeverityMap[Score],0),0)</f>
        <v/>
      </c>
      <c r="T4989">
        <f>ROUND((M4989*0.25)+(N4989*0.20)+(O4989*0.15)+(P4989*0.15)+(Q4989*0.10)+(R4989*0.10)+(S4989*0.05),2)</f>
        <v/>
      </c>
      <c r="U4989">
        <f>IF(T4989&gt;=4.25,"Critical",IF(T4989&gt;=3.5,"High",IF(T4989&gt;=2,"Medium","Low")))</f>
        <v/>
      </c>
    </row>
    <row r="4990">
      <c r="R4990">
        <f>IFERROR(XLOOKUP(XLOOKUP(D4990,tblReleaseChanges[Change_ID],tblReleaseChanges[Oracle_Severity],""),tblSeverityMap[Severity_Text],tblSeverityMap[Score],0),0)</f>
        <v/>
      </c>
      <c r="T4990">
        <f>ROUND((M4990*0.25)+(N4990*0.20)+(O4990*0.15)+(P4990*0.15)+(Q4990*0.10)+(R4990*0.10)+(S4990*0.05),2)</f>
        <v/>
      </c>
      <c r="U4990">
        <f>IF(T4990&gt;=4.25,"Critical",IF(T4990&gt;=3.5,"High",IF(T4990&gt;=2,"Medium","Low")))</f>
        <v/>
      </c>
    </row>
    <row r="4991">
      <c r="R4991">
        <f>IFERROR(XLOOKUP(XLOOKUP(D4991,tblReleaseChanges[Change_ID],tblReleaseChanges[Oracle_Severity],""),tblSeverityMap[Severity_Text],tblSeverityMap[Score],0),0)</f>
        <v/>
      </c>
      <c r="T4991">
        <f>ROUND((M4991*0.25)+(N4991*0.20)+(O4991*0.15)+(P4991*0.15)+(Q4991*0.10)+(R4991*0.10)+(S4991*0.05),2)</f>
        <v/>
      </c>
      <c r="U4991">
        <f>IF(T4991&gt;=4.25,"Critical",IF(T4991&gt;=3.5,"High",IF(T4991&gt;=2,"Medium","Low")))</f>
        <v/>
      </c>
    </row>
    <row r="4992">
      <c r="R4992">
        <f>IFERROR(XLOOKUP(XLOOKUP(D4992,tblReleaseChanges[Change_ID],tblReleaseChanges[Oracle_Severity],""),tblSeverityMap[Severity_Text],tblSeverityMap[Score],0),0)</f>
        <v/>
      </c>
      <c r="T4992">
        <f>ROUND((M4992*0.25)+(N4992*0.20)+(O4992*0.15)+(P4992*0.15)+(Q4992*0.10)+(R4992*0.10)+(S4992*0.05),2)</f>
        <v/>
      </c>
      <c r="U4992">
        <f>IF(T4992&gt;=4.25,"Critical",IF(T4992&gt;=3.5,"High",IF(T4992&gt;=2,"Medium","Low")))</f>
        <v/>
      </c>
    </row>
    <row r="4993">
      <c r="R4993">
        <f>IFERROR(XLOOKUP(XLOOKUP(D4993,tblReleaseChanges[Change_ID],tblReleaseChanges[Oracle_Severity],""),tblSeverityMap[Severity_Text],tblSeverityMap[Score],0),0)</f>
        <v/>
      </c>
      <c r="T4993">
        <f>ROUND((M4993*0.25)+(N4993*0.20)+(O4993*0.15)+(P4993*0.15)+(Q4993*0.10)+(R4993*0.10)+(S4993*0.05),2)</f>
        <v/>
      </c>
      <c r="U4993">
        <f>IF(T4993&gt;=4.25,"Critical",IF(T4993&gt;=3.5,"High",IF(T4993&gt;=2,"Medium","Low")))</f>
        <v/>
      </c>
    </row>
    <row r="4994">
      <c r="R4994">
        <f>IFERROR(XLOOKUP(XLOOKUP(D4994,tblReleaseChanges[Change_ID],tblReleaseChanges[Oracle_Severity],""),tblSeverityMap[Severity_Text],tblSeverityMap[Score],0),0)</f>
        <v/>
      </c>
      <c r="T4994">
        <f>ROUND((M4994*0.25)+(N4994*0.20)+(O4994*0.15)+(P4994*0.15)+(Q4994*0.10)+(R4994*0.10)+(S4994*0.05),2)</f>
        <v/>
      </c>
      <c r="U4994">
        <f>IF(T4994&gt;=4.25,"Critical",IF(T4994&gt;=3.5,"High",IF(T4994&gt;=2,"Medium","Low")))</f>
        <v/>
      </c>
    </row>
    <row r="4995">
      <c r="R4995">
        <f>IFERROR(XLOOKUP(XLOOKUP(D4995,tblReleaseChanges[Change_ID],tblReleaseChanges[Oracle_Severity],""),tblSeverityMap[Severity_Text],tblSeverityMap[Score],0),0)</f>
        <v/>
      </c>
      <c r="T4995">
        <f>ROUND((M4995*0.25)+(N4995*0.20)+(O4995*0.15)+(P4995*0.15)+(Q4995*0.10)+(R4995*0.10)+(S4995*0.05),2)</f>
        <v/>
      </c>
      <c r="U4995">
        <f>IF(T4995&gt;=4.25,"Critical",IF(T4995&gt;=3.5,"High",IF(T4995&gt;=2,"Medium","Low")))</f>
        <v/>
      </c>
    </row>
    <row r="4996">
      <c r="R4996">
        <f>IFERROR(XLOOKUP(XLOOKUP(D4996,tblReleaseChanges[Change_ID],tblReleaseChanges[Oracle_Severity],""),tblSeverityMap[Severity_Text],tblSeverityMap[Score],0),0)</f>
        <v/>
      </c>
      <c r="T4996">
        <f>ROUND((M4996*0.25)+(N4996*0.20)+(O4996*0.15)+(P4996*0.15)+(Q4996*0.10)+(R4996*0.10)+(S4996*0.05),2)</f>
        <v/>
      </c>
      <c r="U4996">
        <f>IF(T4996&gt;=4.25,"Critical",IF(T4996&gt;=3.5,"High",IF(T4996&gt;=2,"Medium","Low")))</f>
        <v/>
      </c>
    </row>
    <row r="4997">
      <c r="R4997">
        <f>IFERROR(XLOOKUP(XLOOKUP(D4997,tblReleaseChanges[Change_ID],tblReleaseChanges[Oracle_Severity],""),tblSeverityMap[Severity_Text],tblSeverityMap[Score],0),0)</f>
        <v/>
      </c>
      <c r="T4997">
        <f>ROUND((M4997*0.25)+(N4997*0.20)+(O4997*0.15)+(P4997*0.15)+(Q4997*0.10)+(R4997*0.10)+(S4997*0.05),2)</f>
        <v/>
      </c>
      <c r="U4997">
        <f>IF(T4997&gt;=4.25,"Critical",IF(T4997&gt;=3.5,"High",IF(T4997&gt;=2,"Medium","Low")))</f>
        <v/>
      </c>
    </row>
    <row r="4998">
      <c r="R4998">
        <f>IFERROR(XLOOKUP(XLOOKUP(D4998,tblReleaseChanges[Change_ID],tblReleaseChanges[Oracle_Severity],""),tblSeverityMap[Severity_Text],tblSeverityMap[Score],0),0)</f>
        <v/>
      </c>
      <c r="T4998">
        <f>ROUND((M4998*0.25)+(N4998*0.20)+(O4998*0.15)+(P4998*0.15)+(Q4998*0.10)+(R4998*0.10)+(S4998*0.05),2)</f>
        <v/>
      </c>
      <c r="U4998">
        <f>IF(T4998&gt;=4.25,"Critical",IF(T4998&gt;=3.5,"High",IF(T4998&gt;=2,"Medium","Low")))</f>
        <v/>
      </c>
    </row>
    <row r="4999">
      <c r="R4999">
        <f>IFERROR(XLOOKUP(XLOOKUP(D4999,tblReleaseChanges[Change_ID],tblReleaseChanges[Oracle_Severity],""),tblSeverityMap[Severity_Text],tblSeverityMap[Score],0),0)</f>
        <v/>
      </c>
      <c r="T4999">
        <f>ROUND((M4999*0.25)+(N4999*0.20)+(O4999*0.15)+(P4999*0.15)+(Q4999*0.10)+(R4999*0.10)+(S4999*0.05),2)</f>
        <v/>
      </c>
      <c r="U4999">
        <f>IF(T4999&gt;=4.25,"Critical",IF(T4999&gt;=3.5,"High",IF(T4999&gt;=2,"Medium","Low")))</f>
        <v/>
      </c>
    </row>
    <row r="5000">
      <c r="R5000">
        <f>IFERROR(XLOOKUP(XLOOKUP(D5000,tblReleaseChanges[Change_ID],tblReleaseChanges[Oracle_Severity],""),tblSeverityMap[Severity_Text],tblSeverityMap[Score],0),0)</f>
        <v/>
      </c>
      <c r="T5000">
        <f>ROUND((M5000*0.25)+(N5000*0.20)+(O5000*0.15)+(P5000*0.15)+(Q5000*0.10)+(R5000*0.10)+(S5000*0.05),2)</f>
        <v/>
      </c>
      <c r="U5000">
        <f>IF(T5000&gt;=4.25,"Critical",IF(T5000&gt;=3.5,"High",IF(T5000&gt;=2,"Medium","Low")))</f>
        <v/>
      </c>
    </row>
  </sheetData>
  <conditionalFormatting sqref="U2:U5000">
    <cfRule type="expression" priority="1">
      <formula>U2="Critical"</formula>
    </cfRule>
    <cfRule type="expression" priority="2">
      <formula>U2="High"</formula>
    </cfRule>
    <cfRule type="expression" priority="3">
      <formula>U2="Medium"</formula>
    </cfRule>
    <cfRule type="expression" priority="4">
      <formula>U2="Low"</formula>
    </cfRule>
  </conditionalFormatting>
  <dataValidations count="3">
    <dataValidation sqref="U2:U5000" showDropDown="0" showInputMessage="0" showErrorMessage="0" allowBlank="0" type="list">
      <formula1>=lstRiskLevels</formula1>
    </dataValidation>
    <dataValidation sqref="V2:V5000" showDropDown="0" showInputMessage="0" showErrorMessage="0" allowBlank="0" type="list">
      <formula1>=lstReviewStatus</formula1>
    </dataValidation>
    <dataValidation sqref="Z2:AA5000" showDropDown="0" showInputMessage="0" showErrorMessage="0" allowBlank="0" type="list">
      <formula1>=lstYesNo</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22" customWidth="1" min="3" max="3"/>
    <col width="15" customWidth="1" min="4" max="4"/>
    <col width="12" customWidth="1" min="5" max="5"/>
    <col width="12" customWidth="1" min="6" max="6"/>
    <col width="12" customWidth="1" min="7" max="7"/>
    <col width="12" customWidth="1" min="8" max="8"/>
  </cols>
  <sheetData>
    <row r="1">
      <c r="A1" s="5" t="inlineStr">
        <is>
          <t>Action_ID</t>
        </is>
      </c>
      <c r="B1" s="5" t="inlineStr">
        <is>
          <t>Assessment_ID</t>
        </is>
      </c>
      <c r="C1" s="5" t="inlineStr">
        <is>
          <t>Action_Description</t>
        </is>
      </c>
      <c r="D1" s="5" t="inlineStr">
        <is>
          <t>Action_Type</t>
        </is>
      </c>
      <c r="E1" s="5" t="inlineStr">
        <is>
          <t>Owner</t>
        </is>
      </c>
      <c r="F1" s="5" t="inlineStr">
        <is>
          <t>Due_Date</t>
        </is>
      </c>
      <c r="G1" s="5" t="inlineStr">
        <is>
          <t>Priority</t>
        </is>
      </c>
      <c r="H1" s="5" t="inlineStr">
        <is>
          <t>Status</t>
        </is>
      </c>
    </row>
    <row r="2">
      <c r="A2" t="inlineStr">
        <is>
          <t>REM_DFL_001</t>
        </is>
      </c>
      <c r="B2" t="inlineStr">
        <is>
          <t>ASMT_001</t>
        </is>
      </c>
      <c r="C2" t="inlineStr">
        <is>
          <t>CLT_DFL001</t>
        </is>
      </c>
      <c r="D2" t="inlineStr">
        <is>
          <t>REL_26C</t>
        </is>
      </c>
      <c r="E2" t="inlineStr">
        <is>
          <t>Review and validate on-call/shift element eligibility rules in UAT</t>
        </is>
      </c>
      <c r="F2" t="inlineStr">
        <is>
          <t>Team Lead</t>
        </is>
      </c>
      <c r="G2" t="inlineStr">
        <is>
          <t>2025-08-15</t>
        </is>
      </c>
      <c r="H2" t="inlineStr">
        <is>
          <t>Not Started</t>
        </is>
      </c>
      <c r="I2" t="inlineStr">
        <is>
          <t>Medium</t>
        </is>
      </c>
      <c r="J2" t="inlineStr"/>
      <c r="K2" t="inlineStr">
        <is>
          <t>2025-09-01</t>
        </is>
      </c>
    </row>
    <row r="3">
      <c r="A3" t="inlineStr">
        <is>
          <t>REM_DFL_002</t>
        </is>
      </c>
      <c r="B3" t="inlineStr">
        <is>
          <t>ASMT_002</t>
        </is>
      </c>
      <c r="C3" t="inlineStr">
        <is>
          <t>CLT_DFL001</t>
        </is>
      </c>
      <c r="D3" t="inlineStr">
        <is>
          <t>REL_26C</t>
        </is>
      </c>
      <c r="E3" t="inlineStr">
        <is>
          <t>Run parallel payroll in UAT — validate NI/tax/minimum wage calculations match HMRC expectations</t>
        </is>
      </c>
      <c r="F3" t="inlineStr">
        <is>
          <t>Team Lead</t>
        </is>
      </c>
      <c r="G3" t="inlineStr">
        <is>
          <t>2025-08-15</t>
        </is>
      </c>
      <c r="H3" t="inlineStr">
        <is>
          <t>Not Started</t>
        </is>
      </c>
      <c r="I3" t="inlineStr">
        <is>
          <t>High</t>
        </is>
      </c>
      <c r="J3" t="inlineStr"/>
      <c r="K3" t="inlineStr">
        <is>
          <t>2025-09-01</t>
        </is>
      </c>
    </row>
    <row r="4">
      <c r="A4" t="inlineStr">
        <is>
          <t>REM_DFL_003</t>
        </is>
      </c>
      <c r="B4" t="inlineStr">
        <is>
          <t>ASMT_004</t>
        </is>
      </c>
      <c r="C4" t="inlineStr">
        <is>
          <t>CLT_DFL001</t>
        </is>
      </c>
      <c r="D4" t="inlineStr">
        <is>
          <t>REL_26C</t>
        </is>
      </c>
      <c r="E4" t="inlineStr">
        <is>
          <t>Update HR integration consumer code to handle new 'legalEmployerName' field</t>
        </is>
      </c>
      <c r="F4" t="inlineStr">
        <is>
          <t>Team Lead</t>
        </is>
      </c>
      <c r="G4" t="inlineStr">
        <is>
          <t>2025-08-15</t>
        </is>
      </c>
      <c r="H4" t="inlineStr">
        <is>
          <t>Not Started</t>
        </is>
      </c>
      <c r="I4" t="inlineStr">
        <is>
          <t>Medium</t>
        </is>
      </c>
      <c r="J4" t="inlineStr"/>
      <c r="K4" t="inlineStr">
        <is>
          <t>2025-09-01</t>
        </is>
      </c>
    </row>
    <row r="5">
      <c r="A5" t="inlineStr">
        <is>
          <t>REM_DFL_004</t>
        </is>
      </c>
      <c r="B5" t="inlineStr">
        <is>
          <t>ASMT_005</t>
        </is>
      </c>
      <c r="C5" t="inlineStr">
        <is>
          <t>CLT_DFL001</t>
        </is>
      </c>
      <c r="D5" t="inlineStr">
        <is>
          <t>REL_26C</t>
        </is>
      </c>
      <c r="E5" t="inlineStr">
        <is>
          <t>Configure ZeroHoursIndicator — update data for ~320 casual employees</t>
        </is>
      </c>
      <c r="F5" t="inlineStr">
        <is>
          <t>Team Lead</t>
        </is>
      </c>
      <c r="G5" t="inlineStr">
        <is>
          <t>2025-08-15</t>
        </is>
      </c>
      <c r="H5" t="inlineStr">
        <is>
          <t>Not Started</t>
        </is>
      </c>
      <c r="I5" t="inlineStr">
        <is>
          <t>Medium</t>
        </is>
      </c>
      <c r="J5" t="inlineStr"/>
      <c r="K5" t="inlineStr">
        <is>
          <t>2025-09-01</t>
        </is>
      </c>
    </row>
    <row r="6">
      <c r="A6" t="inlineStr">
        <is>
          <t>REM_DFL_005</t>
        </is>
      </c>
      <c r="B6" t="inlineStr">
        <is>
          <t>ASMT_008</t>
        </is>
      </c>
      <c r="C6" t="inlineStr">
        <is>
          <t>CLT_DFL001</t>
        </is>
      </c>
      <c r="D6" t="inlineStr">
        <is>
          <t>REL_26C</t>
        </is>
      </c>
      <c r="E6" t="inlineStr">
        <is>
          <t>Configure new statutory bereavement leave types; review DFL bereavement policy alignment</t>
        </is>
      </c>
      <c r="F6" t="inlineStr">
        <is>
          <t>Team Lead</t>
        </is>
      </c>
      <c r="G6" t="inlineStr">
        <is>
          <t>2025-08-15</t>
        </is>
      </c>
      <c r="H6" t="inlineStr">
        <is>
          <t>Not Started</t>
        </is>
      </c>
      <c r="I6" t="inlineStr">
        <is>
          <t>Medium</t>
        </is>
      </c>
      <c r="J6" t="inlineStr"/>
      <c r="K6" t="inlineStr">
        <is>
          <t>2025-09-01</t>
        </is>
      </c>
    </row>
    <row r="7">
      <c r="A7" t="inlineStr">
        <is>
          <t>REM_DFL_006</t>
        </is>
      </c>
      <c r="B7" t="inlineStr">
        <is>
          <t>ASMT_012</t>
        </is>
      </c>
      <c r="C7" t="inlineStr">
        <is>
          <t>CLT_DFL001</t>
        </is>
      </c>
      <c r="D7" t="inlineStr">
        <is>
          <t>REL_26C</t>
        </is>
      </c>
      <c r="E7" t="inlineStr">
        <is>
          <t>Train finance team on new Redwood period close UI; run month-end simulation in UAT</t>
        </is>
      </c>
      <c r="F7" t="inlineStr">
        <is>
          <t>Team Lead</t>
        </is>
      </c>
      <c r="G7" t="inlineStr">
        <is>
          <t>2025-08-15</t>
        </is>
      </c>
      <c r="H7" t="inlineStr">
        <is>
          <t>Not Started</t>
        </is>
      </c>
      <c r="I7" t="inlineStr">
        <is>
          <t>Medium</t>
        </is>
      </c>
      <c r="J7" t="inlineStr"/>
      <c r="K7" t="inlineStr">
        <is>
          <t>2025-09-01</t>
        </is>
      </c>
    </row>
    <row r="8">
      <c r="A8" t="inlineStr">
        <is>
          <t>REM_DFL_007</t>
        </is>
      </c>
      <c r="B8" t="inlineStr">
        <is>
          <t>ASMT_013</t>
        </is>
      </c>
      <c r="C8" t="inlineStr">
        <is>
          <t>CLT_DFL001</t>
        </is>
      </c>
      <c r="D8" t="inlineStr">
        <is>
          <t>REL_26C</t>
        </is>
      </c>
      <c r="E8" t="inlineStr">
        <is>
          <t>URGENT: Migrate Fixed Assets SOAP integration to REST before 27A (target: 26C UAT)</t>
        </is>
      </c>
      <c r="F8" t="inlineStr">
        <is>
          <t>Team Lead</t>
        </is>
      </c>
      <c r="G8" t="inlineStr">
        <is>
          <t>2025-08-15</t>
        </is>
      </c>
      <c r="H8" t="inlineStr">
        <is>
          <t>Not Started</t>
        </is>
      </c>
      <c r="I8" t="inlineStr">
        <is>
          <t>High</t>
        </is>
      </c>
      <c r="J8" t="inlineStr"/>
      <c r="K8" t="inlineStr">
        <is>
          <t>2025-09-01</t>
        </is>
      </c>
    </row>
    <row r="9">
      <c r="A9" t="inlineStr">
        <is>
          <t>REM_DFL_008</t>
        </is>
      </c>
      <c r="B9" t="inlineStr">
        <is>
          <t>ASMT_014</t>
        </is>
      </c>
      <c r="C9" t="inlineStr">
        <is>
          <t>CLT_DFL001</t>
        </is>
      </c>
      <c r="D9" t="inlineStr">
        <is>
          <t>REL_26C</t>
        </is>
      </c>
      <c r="E9" t="inlineStr">
        <is>
          <t>Review funeral package revenue recognition templates for IFRS 15 compliance under new rules</t>
        </is>
      </c>
      <c r="F9" t="inlineStr">
        <is>
          <t>Team Lead</t>
        </is>
      </c>
      <c r="G9" t="inlineStr">
        <is>
          <t>2025-08-15</t>
        </is>
      </c>
      <c r="H9" t="inlineStr">
        <is>
          <t>Not Started</t>
        </is>
      </c>
      <c r="I9" t="inlineStr">
        <is>
          <t>Medium</t>
        </is>
      </c>
      <c r="J9" t="inlineStr"/>
      <c r="K9" t="inlineStr">
        <is>
          <t>2025-09-01</t>
        </is>
      </c>
    </row>
    <row r="10">
      <c r="A10" t="inlineStr">
        <is>
          <t>REM_DFL_009</t>
        </is>
      </c>
      <c r="B10" t="inlineStr">
        <is>
          <t>ASMT_021</t>
        </is>
      </c>
      <c r="C10" t="inlineStr">
        <is>
          <t>CLT_DFL001</t>
        </is>
      </c>
      <c r="D10" t="inlineStr">
        <is>
          <t>REL_26C</t>
        </is>
      </c>
      <c r="E10" t="inlineStr">
        <is>
          <t>Test funeral case management system integration against updated OM REST API schema</t>
        </is>
      </c>
      <c r="F10" t="inlineStr">
        <is>
          <t>Team Lead</t>
        </is>
      </c>
      <c r="G10" t="inlineStr">
        <is>
          <t>2025-08-15</t>
        </is>
      </c>
      <c r="H10" t="inlineStr">
        <is>
          <t>Not Started</t>
        </is>
      </c>
      <c r="I10" t="inlineStr">
        <is>
          <t>Medium</t>
        </is>
      </c>
      <c r="J10" t="inlineStr"/>
      <c r="K10" t="inlineStr">
        <is>
          <t>2025-09-01</t>
        </is>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Oracle Fusion Impact Analyzer Dashboard</t>
        </is>
      </c>
    </row>
    <row r="3">
      <c r="A3" t="inlineStr">
        <is>
          <t>Selected Client_ID</t>
        </is>
      </c>
      <c r="D3" t="inlineStr">
        <is>
          <t>Total Impacted Items</t>
        </is>
      </c>
      <c r="E3">
        <f>COUNTIFS(tblImpactAssessments[Client_ID],B3,tblImpactAssessments[Release_ID],B4)</f>
        <v/>
      </c>
    </row>
    <row r="4">
      <c r="A4" t="inlineStr">
        <is>
          <t>Selected Release_ID</t>
        </is>
      </c>
      <c r="D4" t="inlineStr">
        <is>
          <t>Critical Risks</t>
        </is>
      </c>
      <c r="E4">
        <f>COUNTIFS(tblImpactAssessments[Client_ID],B3,tblImpactAssessments[Release_ID],B4,tblImpactAssessments[Risk_Level],"Critical")</f>
        <v/>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3" customWidth="1" min="3" max="3"/>
    <col width="12" customWidth="1" min="4" max="4"/>
    <col width="15" customWidth="1" min="5" max="5"/>
    <col width="12" customWidth="1" min="6" max="6"/>
    <col width="12" customWidth="1" min="7" max="7"/>
    <col width="12" customWidth="1" min="8" max="8"/>
  </cols>
  <sheetData>
    <row r="1">
      <c r="A1" s="5" t="inlineStr">
        <is>
          <t>Review_ID</t>
        </is>
      </c>
      <c r="B1" s="5" t="inlineStr">
        <is>
          <t>Entity_Type</t>
        </is>
      </c>
      <c r="C1" s="5" t="inlineStr">
        <is>
          <t>Entity_ID</t>
        </is>
      </c>
      <c r="D1" s="5" t="inlineStr">
        <is>
          <t>Reviewer</t>
        </is>
      </c>
      <c r="E1" s="5" t="inlineStr">
        <is>
          <t>Review_Date</t>
        </is>
      </c>
      <c r="F1" s="5" t="inlineStr">
        <is>
          <t>Decision</t>
        </is>
      </c>
      <c r="G1" s="5" t="inlineStr">
        <is>
          <t>Comments</t>
        </is>
      </c>
      <c r="H1" s="5" t="inlineStr">
        <is>
          <t>Status</t>
        </is>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Modules</t>
        </is>
      </c>
      <c r="B1" t="inlineStr">
        <is>
          <t>RiskLevels</t>
        </is>
      </c>
      <c r="C1" t="inlineStr">
        <is>
          <t>Statuses</t>
        </is>
      </c>
      <c r="D1" t="inlineStr">
        <is>
          <t>YesNo</t>
        </is>
      </c>
      <c r="E1" t="inlineStr">
        <is>
          <t>ReviewStatus</t>
        </is>
      </c>
    </row>
    <row r="2">
      <c r="A2" t="inlineStr">
        <is>
          <t>Payables</t>
        </is>
      </c>
      <c r="B2" t="inlineStr">
        <is>
          <t>Low</t>
        </is>
      </c>
      <c r="C2" t="inlineStr">
        <is>
          <t>Draft</t>
        </is>
      </c>
      <c r="D2" t="inlineStr">
        <is>
          <t>Y</t>
        </is>
      </c>
      <c r="E2" t="inlineStr">
        <is>
          <t>Pending Review</t>
        </is>
      </c>
    </row>
    <row r="3">
      <c r="A3" t="inlineStr">
        <is>
          <t>Receivables</t>
        </is>
      </c>
      <c r="B3" t="inlineStr">
        <is>
          <t>Medium</t>
        </is>
      </c>
      <c r="C3" t="inlineStr">
        <is>
          <t>Active</t>
        </is>
      </c>
      <c r="D3" t="inlineStr">
        <is>
          <t>N</t>
        </is>
      </c>
      <c r="E3" t="inlineStr">
        <is>
          <t>Approved</t>
        </is>
      </c>
    </row>
    <row r="4">
      <c r="A4" t="inlineStr">
        <is>
          <t>Procurement</t>
        </is>
      </c>
      <c r="B4" t="inlineStr">
        <is>
          <t>High</t>
        </is>
      </c>
      <c r="C4" t="inlineStr">
        <is>
          <t>Inactive</t>
        </is>
      </c>
      <c r="E4" t="inlineStr">
        <is>
          <t>Rejected</t>
        </is>
      </c>
    </row>
    <row r="5">
      <c r="A5" t="inlineStr">
        <is>
          <t>GL</t>
        </is>
      </c>
      <c r="B5" t="inlineStr">
        <is>
          <t>Critical</t>
        </is>
      </c>
      <c r="C5" t="inlineStr">
        <is>
          <t>Approved</t>
        </is>
      </c>
    </row>
    <row r="6">
      <c r="A6" t="inlineStr">
        <is>
          <t>Projects</t>
        </is>
      </c>
      <c r="C6" t="inlineStr">
        <is>
          <t>Rejected</t>
        </is>
      </c>
    </row>
    <row r="7">
      <c r="A7" t="inlineStr">
        <is>
          <t>SCM</t>
        </is>
      </c>
    </row>
    <row r="8">
      <c r="A8" t="inlineStr">
        <is>
          <t>HCM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Generated_Date</t>
        </is>
      </c>
      <c r="B1" t="inlineStr">
        <is>
          <t>2026-08-15 20:37:32</t>
        </is>
      </c>
    </row>
    <row r="2">
      <c r="A2" t="inlineStr">
        <is>
          <t>Workbook_ID</t>
        </is>
      </c>
      <c r="B2" t="inlineStr">
        <is>
          <t>74332a4f-70cf-4bd2-9f6e-ffde77d8c924</t>
        </is>
      </c>
    </row>
    <row r="3">
      <c r="A3" t="inlineStr">
        <is>
          <t>Version</t>
        </is>
      </c>
      <c r="B3" t="inlineStr">
        <is>
          <t>1.0</t>
        </is>
      </c>
    </row>
    <row r="4">
      <c r="A4" t="inlineStr">
        <is>
          <t>Client</t>
        </is>
      </c>
      <c r="B4" t="inlineStr">
        <is>
          <t>Dignity Funerals Limited (DFL)</t>
        </is>
      </c>
    </row>
    <row r="5">
      <c r="A5" t="inlineStr">
        <is>
          <t>Release</t>
        </is>
      </c>
      <c r="B5" t="inlineStr">
        <is>
          <t>Oracle Fusion 26C</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4" customWidth="1" min="1" max="1"/>
    <col width="12" customWidth="1" min="2" max="2"/>
    <col width="14" customWidth="1" min="3" max="3"/>
    <col width="17" customWidth="1" min="4" max="4"/>
    <col width="12" customWidth="1" min="5" max="5"/>
    <col width="12" customWidth="1" min="6" max="6"/>
  </cols>
  <sheetData>
    <row r="1">
      <c r="A1" s="5" t="inlineStr">
        <is>
          <t>Query_Name</t>
        </is>
      </c>
      <c r="B1" s="5" t="inlineStr">
        <is>
          <t>Layer</t>
        </is>
      </c>
      <c r="C1" s="5" t="inlineStr">
        <is>
          <t>Depends_On</t>
        </is>
      </c>
      <c r="D1" s="5" t="inlineStr">
        <is>
          <t>Refresh_Order</t>
        </is>
      </c>
      <c r="E1" s="5" t="inlineStr">
        <is>
          <t>Owner</t>
        </is>
      </c>
      <c r="F1" s="5" t="inlineStr">
        <is>
          <t>Active</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7" customWidth="1" min="1" max="1"/>
    <col width="17" customWidth="1" min="2" max="2"/>
    <col width="16" customWidth="1" min="3" max="3"/>
    <col width="23" customWidth="1" min="4" max="4"/>
    <col width="16" customWidth="1" min="5" max="5"/>
    <col width="16" customWidth="1" min="6" max="6"/>
  </cols>
  <sheetData>
    <row r="1">
      <c r="A1" s="5" t="inlineStr">
        <is>
          <t>Source_System</t>
        </is>
      </c>
      <c r="B1" s="5" t="inlineStr">
        <is>
          <t>Source_Object</t>
        </is>
      </c>
      <c r="C1" s="5" t="inlineStr">
        <is>
          <t>Source_Field</t>
        </is>
      </c>
      <c r="D1" s="5" t="inlineStr">
        <is>
          <t>Transformation_Rule</t>
        </is>
      </c>
      <c r="E1" s="5" t="inlineStr">
        <is>
          <t>Target_Table</t>
        </is>
      </c>
      <c r="F1" s="5" t="inlineStr">
        <is>
          <t>Target_Field</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6" customWidth="1" min="1" max="1"/>
    <col width="13" customWidth="1" min="2" max="2"/>
    <col width="15" customWidth="1" min="3" max="3"/>
    <col width="18" customWidth="1" min="4" max="4"/>
    <col width="20" customWidth="1" min="5" max="5"/>
    <col width="20" customWidth="1" min="6" max="6"/>
  </cols>
  <sheetData>
    <row r="1">
      <c r="A1" s="5" t="inlineStr">
        <is>
          <t>Execution_ID</t>
        </is>
      </c>
      <c r="B1" s="5" t="inlineStr">
        <is>
          <t>Timestamp</t>
        </is>
      </c>
      <c r="C1" s="5" t="inlineStr">
        <is>
          <t>Executed_By</t>
        </is>
      </c>
      <c r="D1" s="5" t="inlineStr">
        <is>
          <t>Rows_Processed</t>
        </is>
      </c>
      <c r="E1" s="5" t="inlineStr">
        <is>
          <t>Exceptions_Found</t>
        </is>
      </c>
      <c r="F1" s="5" t="inlineStr">
        <is>
          <t>Execution_Status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8" customWidth="1" min="1" max="1"/>
    <col width="13" customWidth="1" min="2" max="2"/>
    <col width="50" customWidth="1" min="3" max="3"/>
    <col width="17" customWidth="1" min="4" max="4"/>
  </cols>
  <sheetData>
    <row r="1">
      <c r="A1" s="5" t="inlineStr">
        <is>
          <t>Exception_Type</t>
        </is>
      </c>
      <c r="B1" s="5" t="inlineStr">
        <is>
          <t>Record_ID</t>
        </is>
      </c>
      <c r="C1" s="5" t="inlineStr">
        <is>
          <t>Description</t>
        </is>
      </c>
      <c r="D1" s="5" t="inlineStr">
        <is>
          <t>Detected_Date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8" customWidth="1" min="1" max="1"/>
    <col width="13" customWidth="1" min="2" max="2"/>
    <col width="50" customWidth="1" min="3" max="3"/>
    <col width="17" customWidth="1" min="4" max="4"/>
  </cols>
  <sheetData>
    <row r="1">
      <c r="A1" s="5" t="inlineStr">
        <is>
          <t>Exception_Type</t>
        </is>
      </c>
      <c r="B1" s="5" t="inlineStr">
        <is>
          <t>Record_ID</t>
        </is>
      </c>
      <c r="C1" s="5" t="inlineStr">
        <is>
          <t>Description</t>
        </is>
      </c>
      <c r="D1" s="5" t="inlineStr">
        <is>
          <t>Detected_Date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8" customWidth="1" min="1" max="1"/>
    <col width="13" customWidth="1" min="2" max="2"/>
    <col width="50" customWidth="1" min="3" max="3"/>
    <col width="17" customWidth="1" min="4" max="4"/>
  </cols>
  <sheetData>
    <row r="1">
      <c r="A1" s="5" t="inlineStr">
        <is>
          <t>Exception_Type</t>
        </is>
      </c>
      <c r="B1" s="5" t="inlineStr">
        <is>
          <t>Record_ID</t>
        </is>
      </c>
      <c r="C1" s="5" t="inlineStr">
        <is>
          <t>Description</t>
        </is>
      </c>
      <c r="D1" s="5" t="inlineStr">
        <is>
          <t>Detected_Date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8" customWidth="1" min="1" max="1"/>
    <col width="13" customWidth="1" min="2" max="2"/>
    <col width="50" customWidth="1" min="3" max="3"/>
    <col width="17" customWidth="1" min="4" max="4"/>
  </cols>
  <sheetData>
    <row r="1">
      <c r="A1" s="5" t="inlineStr">
        <is>
          <t>Exception_Type</t>
        </is>
      </c>
      <c r="B1" s="5" t="inlineStr">
        <is>
          <t>Record_ID</t>
        </is>
      </c>
      <c r="C1" s="5" t="inlineStr">
        <is>
          <t>Description</t>
        </is>
      </c>
      <c r="D1" s="5" t="inlineStr">
        <is>
          <t>Detected_Date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2" customWidth="1" min="3" max="3"/>
    <col width="13" customWidth="1" min="4" max="4"/>
    <col width="16" customWidth="1" min="5" max="5"/>
    <col width="13" customWidth="1" min="6" max="6"/>
    <col width="12" customWidth="1" min="7" max="7"/>
  </cols>
  <sheetData>
    <row r="1">
      <c r="A1" s="5" t="inlineStr">
        <is>
          <t>Req_ID</t>
        </is>
      </c>
      <c r="B1" s="5" t="inlineStr">
        <is>
          <t>Requirement_Name</t>
        </is>
      </c>
      <c r="C1" s="5" t="inlineStr">
        <is>
          <t>Module</t>
        </is>
      </c>
      <c r="D1" s="5" t="inlineStr">
        <is>
          <t>Design_ID</t>
        </is>
      </c>
      <c r="E1" s="5" t="inlineStr">
        <is>
          <t>Test_Case_ID</t>
        </is>
      </c>
      <c r="F1" s="5" t="inlineStr">
        <is>
          <t>Defect_ID</t>
        </is>
      </c>
      <c r="G1" s="5" t="inlineStr">
        <is>
          <t>Status</t>
        </is>
      </c>
    </row>
  </sheetData>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5" customWidth="1" min="3" max="3"/>
    <col width="19" customWidth="1" min="4" max="4"/>
    <col width="19" customWidth="1" min="5" max="5"/>
    <col width="19" customWidth="1" min="6" max="6"/>
    <col width="12" customWidth="1" min="7" max="7"/>
    <col width="12" customWidth="1" min="8" max="8"/>
  </cols>
  <sheetData>
    <row r="1">
      <c r="A1" s="5" t="inlineStr">
        <is>
          <t>FitGap_ID</t>
        </is>
      </c>
      <c r="B1" s="5" t="inlineStr">
        <is>
          <t>Process_ID</t>
        </is>
      </c>
      <c r="C1" s="5" t="inlineStr">
        <is>
          <t>Requirement</t>
        </is>
      </c>
      <c r="D1" s="5" t="inlineStr">
        <is>
          <t>Oracle_Coverage</t>
        </is>
      </c>
      <c r="E1" s="5" t="inlineStr">
        <is>
          <t>Gap_Description</t>
        </is>
      </c>
      <c r="F1" s="5" t="inlineStr">
        <is>
          <t>Resolution_Type</t>
        </is>
      </c>
      <c r="G1" s="5" t="inlineStr">
        <is>
          <t>Priority</t>
        </is>
      </c>
      <c r="H1" s="5" t="inlineStr">
        <is>
          <t>Status</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8" customWidth="1" min="3" max="3"/>
    <col width="24" customWidth="1" min="4" max="4"/>
    <col width="13" customWidth="1" min="5" max="5"/>
    <col width="18" customWidth="1" min="6" max="6"/>
    <col width="17" customWidth="1" min="7" max="7"/>
    <col width="12" customWidth="1" min="8" max="8"/>
  </cols>
  <sheetData>
    <row r="1">
      <c r="A1" s="5" t="inlineStr">
        <is>
          <t>Decision_ID</t>
        </is>
      </c>
      <c r="B1" s="5" t="inlineStr">
        <is>
          <t>Module</t>
        </is>
      </c>
      <c r="C1" s="5" t="inlineStr">
        <is>
          <t>Decision_Title</t>
        </is>
      </c>
      <c r="D1" s="5" t="inlineStr">
        <is>
          <t>Decision_Description</t>
        </is>
      </c>
      <c r="E1" s="5" t="inlineStr">
        <is>
          <t>Rationale</t>
        </is>
      </c>
      <c r="F1" s="5" t="inlineStr">
        <is>
          <t>Decision_Owner</t>
        </is>
      </c>
      <c r="G1" s="5" t="inlineStr">
        <is>
          <t>Decision_Date</t>
        </is>
      </c>
      <c r="H1" s="5" t="inlineStr">
        <is>
          <t>Status</t>
        </is>
      </c>
    </row>
  </sheetData>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3" customWidth="1" min="1" max="1"/>
    <col width="16" customWidth="1" min="2" max="2"/>
    <col width="12" customWidth="1" min="3" max="3"/>
    <col width="15" customWidth="1" min="4" max="4"/>
    <col width="17" customWidth="1" min="5" max="5"/>
    <col width="17" customWidth="1" min="6" max="6"/>
  </cols>
  <sheetData>
    <row r="1">
      <c r="A1" s="5" t="inlineStr">
        <is>
          <t>Report_ID</t>
        </is>
      </c>
      <c r="B1" s="5" t="inlineStr">
        <is>
          <t>Subject_Area</t>
        </is>
      </c>
      <c r="C1" s="5" t="inlineStr">
        <is>
          <t>Owner</t>
        </is>
      </c>
      <c r="D1" s="5" t="inlineStr">
        <is>
          <t>Criticality</t>
        </is>
      </c>
      <c r="E1" s="5" t="inlineStr">
        <is>
          <t>Security_Role</t>
        </is>
      </c>
      <c r="F1" s="5" t="inlineStr">
        <is>
          <t>Last_Reviewed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2" customWidth="1" min="3" max="3"/>
    <col width="12" customWidth="1" min="4" max="4"/>
    <col width="15" customWidth="1" min="5" max="5"/>
    <col width="17" customWidth="1" min="6" max="6"/>
    <col width="17" customWidth="1" min="7" max="7"/>
    <col width="12" customWidth="1" min="8" max="8"/>
  </cols>
  <sheetData>
    <row r="1">
      <c r="A1" s="5" t="inlineStr">
        <is>
          <t>Report_ID</t>
        </is>
      </c>
      <c r="B1" s="5" t="inlineStr">
        <is>
          <t>Report_Name</t>
        </is>
      </c>
      <c r="C1" s="5" t="inlineStr">
        <is>
          <t>Module</t>
        </is>
      </c>
      <c r="D1" s="5" t="inlineStr">
        <is>
          <t>Owner</t>
        </is>
      </c>
      <c r="E1" s="5" t="inlineStr">
        <is>
          <t>Criticality</t>
        </is>
      </c>
      <c r="F1" s="5" t="inlineStr">
        <is>
          <t>Security_Role</t>
        </is>
      </c>
      <c r="G1" s="5" t="inlineStr">
        <is>
          <t>Last_Reviewed</t>
        </is>
      </c>
      <c r="H1" s="5" t="inlineStr">
        <is>
          <t>Status</t>
        </is>
      </c>
    </row>
  </sheetData>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2" customWidth="1" min="1" max="1"/>
    <col width="15" customWidth="1" min="2" max="2"/>
    <col width="13" customWidth="1" min="3" max="3"/>
    <col width="21" customWidth="1" min="4" max="4"/>
    <col width="20" customWidth="1" min="5" max="5"/>
    <col width="15" customWidth="1" min="6" max="6"/>
    <col width="18" customWidth="1" min="7" max="7"/>
  </cols>
  <sheetData>
    <row r="1">
      <c r="A1" s="5" t="inlineStr">
        <is>
          <t>Load_ID</t>
        </is>
      </c>
      <c r="B1" s="5" t="inlineStr">
        <is>
          <t>Object_Name</t>
        </is>
      </c>
      <c r="C1" s="5" t="inlineStr">
        <is>
          <t>Load_Type</t>
        </is>
      </c>
      <c r="D1" s="5" t="inlineStr">
        <is>
          <t>Validation_Status</t>
        </is>
      </c>
      <c r="E1" s="5" t="inlineStr">
        <is>
          <t>Rejected_Records</t>
        </is>
      </c>
      <c r="F1" s="5" t="inlineStr">
        <is>
          <t>Source_File</t>
        </is>
      </c>
      <c r="G1" s="5" t="inlineStr">
        <is>
          <t>Last_Load_Date</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3" customWidth="1" min="4" max="4"/>
    <col width="21" customWidth="1" min="5" max="5"/>
    <col width="17" customWidth="1" min="6" max="6"/>
    <col width="12" customWidth="1" min="7" max="7"/>
    <col width="12" customWidth="1" min="8" max="8"/>
  </cols>
  <sheetData>
    <row r="1">
      <c r="A1" s="5" t="inlineStr">
        <is>
          <t>Role_ID</t>
        </is>
      </c>
      <c r="B1" s="5" t="inlineStr">
        <is>
          <t>Role_Name</t>
        </is>
      </c>
      <c r="C1" s="5" t="inlineStr">
        <is>
          <t>Module</t>
        </is>
      </c>
      <c r="D1" s="5" t="inlineStr">
        <is>
          <t>Role_Type</t>
        </is>
      </c>
      <c r="E1" s="5" t="inlineStr">
        <is>
          <t>Data_Access_Level</t>
        </is>
      </c>
      <c r="F1" s="5" t="inlineStr">
        <is>
          <t>Last_Reviewed</t>
        </is>
      </c>
      <c r="G1" s="5" t="inlineStr">
        <is>
          <t>Owner</t>
        </is>
      </c>
      <c r="H1" s="5" t="inlineStr">
        <is>
          <t>Status</t>
        </is>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2" customWidth="1" min="4" max="4"/>
    <col width="18" customWidth="1" min="5" max="5"/>
    <col width="15" customWidth="1" min="6" max="6"/>
    <col width="19" customWidth="1" min="7" max="7"/>
    <col width="40" customWidth="1" min="8" max="8"/>
  </cols>
  <sheetData>
    <row r="1">
      <c r="A1" s="5" t="inlineStr">
        <is>
          <t>Promotion_ID</t>
        </is>
      </c>
      <c r="B1" s="5" t="inlineStr">
        <is>
          <t>Release_ID</t>
        </is>
      </c>
      <c r="C1" s="5" t="inlineStr">
        <is>
          <t>From_Env</t>
        </is>
      </c>
      <c r="D1" s="5" t="inlineStr">
        <is>
          <t>To_Env</t>
        </is>
      </c>
      <c r="E1" s="5" t="inlineStr">
        <is>
          <t>Promotion_Date</t>
        </is>
      </c>
      <c r="F1" s="5" t="inlineStr">
        <is>
          <t>Promoted_By</t>
        </is>
      </c>
      <c r="G1" s="5" t="inlineStr">
        <is>
          <t>Approval_Status</t>
        </is>
      </c>
      <c r="H1" s="5" t="inlineStr">
        <is>
          <t>Notes</t>
        </is>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20" customWidth="1" min="3" max="3"/>
    <col width="22" customWidth="1" min="4" max="4"/>
    <col width="16" customWidth="1" min="5" max="5"/>
    <col width="40" customWidth="1" min="6" max="6"/>
    <col width="12" customWidth="1" min="7" max="7"/>
  </cols>
  <sheetData>
    <row r="1">
      <c r="A1" s="5" t="inlineStr">
        <is>
          <t>Step_ID</t>
        </is>
      </c>
      <c r="B1" s="5" t="inlineStr">
        <is>
          <t>Step_Name</t>
        </is>
      </c>
      <c r="C1" s="5" t="inlineStr">
        <is>
          <t>Responsible_Team</t>
        </is>
      </c>
      <c r="D1" s="5" t="inlineStr">
        <is>
          <t>Estimated_Duration</t>
        </is>
      </c>
      <c r="E1" s="5" t="inlineStr">
        <is>
          <t>Dependencies</t>
        </is>
      </c>
      <c r="F1" s="5" t="inlineStr">
        <is>
          <t>Rollback_Procedure</t>
        </is>
      </c>
      <c r="G1" s="5" t="inlineStr">
        <is>
          <t>Status</t>
        </is>
      </c>
    </row>
  </sheetData>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5" customWidth="1" min="1" max="1"/>
    <col width="14" customWidth="1" min="2" max="2"/>
    <col width="16" customWidth="1" min="3" max="3"/>
    <col width="20" customWidth="1" min="4" max="4"/>
    <col width="15" customWidth="1" min="5" max="5"/>
    <col width="21" customWidth="1" min="6" max="6"/>
    <col width="15" customWidth="1" min="7" max="7"/>
    <col width="18" customWidth="1" min="8" max="8"/>
  </cols>
  <sheetData>
    <row r="1">
      <c r="A1" s="5" t="inlineStr">
        <is>
          <t>Test_Run_ID</t>
        </is>
      </c>
      <c r="B1" s="5" t="inlineStr">
        <is>
          <t>Release_ID</t>
        </is>
      </c>
      <c r="C1" s="5" t="inlineStr">
        <is>
          <t>Test_Case_ID</t>
        </is>
      </c>
      <c r="D1" s="5" t="inlineStr">
        <is>
          <t>Execution_Status</t>
        </is>
      </c>
      <c r="E1" s="5" t="inlineStr">
        <is>
          <t>Defect_Link</t>
        </is>
      </c>
      <c r="F1" s="5" t="inlineStr">
        <is>
          <t>Automation_Status</t>
        </is>
      </c>
      <c r="G1" s="5" t="inlineStr">
        <is>
          <t>Executed_By</t>
        </is>
      </c>
      <c r="H1" s="5" t="inlineStr">
        <is>
          <t>Execution_Date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3" customWidth="1" min="1" max="1"/>
    <col width="14" customWidth="1" min="2" max="2"/>
    <col width="12" customWidth="1" min="3" max="3"/>
    <col width="14" customWidth="1" min="4" max="4"/>
    <col width="17" customWidth="1" min="5" max="5"/>
    <col width="19" customWidth="1" min="6" max="6"/>
    <col width="12" customWidth="1" min="7" max="7"/>
  </cols>
  <sheetData>
    <row r="1">
      <c r="A1" s="5" t="inlineStr">
        <is>
          <t>Defect_ID</t>
        </is>
      </c>
      <c r="B1" s="5" t="inlineStr">
        <is>
          <t>Release_ID</t>
        </is>
      </c>
      <c r="C1" s="5" t="inlineStr">
        <is>
          <t>Severity</t>
        </is>
      </c>
      <c r="D1" s="5" t="inlineStr">
        <is>
          <t>Root_Cause</t>
        </is>
      </c>
      <c r="E1" s="5" t="inlineStr">
        <is>
          <t>Assigned_Team</t>
        </is>
      </c>
      <c r="F1" s="5" t="inlineStr">
        <is>
          <t>Duplicate_Group</t>
        </is>
      </c>
      <c r="G1" s="5" t="inlineStr">
        <is>
          <t>Status</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2" customWidth="1" min="1" max="1"/>
    <col width="12" customWidth="1" min="2" max="2"/>
    <col width="50" customWidth="1" min="3" max="3"/>
    <col width="12" customWidth="1" min="4" max="4"/>
    <col width="12" customWidth="1" min="5" max="5"/>
    <col width="12" customWidth="1" min="6" max="6"/>
    <col width="12" customWidth="1" min="7" max="7"/>
  </cols>
  <sheetData>
    <row r="1">
      <c r="A1" s="5" t="inlineStr">
        <is>
          <t>RAID_ID</t>
        </is>
      </c>
      <c r="B1" s="5" t="inlineStr">
        <is>
          <t>Type</t>
        </is>
      </c>
      <c r="C1" s="5" t="inlineStr">
        <is>
          <t>Description</t>
        </is>
      </c>
      <c r="D1" s="5" t="inlineStr">
        <is>
          <t>Impact</t>
        </is>
      </c>
      <c r="E1" s="5" t="inlineStr">
        <is>
          <t>Owner</t>
        </is>
      </c>
      <c r="F1" s="5" t="inlineStr">
        <is>
          <t>Due_Date</t>
        </is>
      </c>
      <c r="G1" s="5" t="inlineStr">
        <is>
          <t>Status</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2" customWidth="1" min="1" max="1"/>
    <col width="20" customWidth="1" min="2" max="2"/>
    <col width="16" customWidth="1" min="3" max="3"/>
    <col width="18" customWidth="1" min="4" max="4"/>
    <col width="20" customWidth="1" min="5" max="5"/>
  </cols>
  <sheetData>
    <row r="1">
      <c r="A1" s="5" t="inlineStr">
        <is>
          <t>Domain</t>
        </is>
      </c>
      <c r="B1" s="5" t="inlineStr">
        <is>
          <t>Testing_Complete</t>
        </is>
      </c>
      <c r="C1" s="5" t="inlineStr">
        <is>
          <t>Defects_Open</t>
        </is>
      </c>
      <c r="D1" s="5" t="inlineStr">
        <is>
          <t>Critical_Risks</t>
        </is>
      </c>
      <c r="E1" s="5" t="inlineStr">
        <is>
          <t>Deployment_Ready</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8" customWidth="1" min="1" max="1"/>
    <col width="17" customWidth="1" min="2" max="2"/>
    <col width="17" customWidth="1" min="3" max="3"/>
    <col width="12" customWidth="1" min="4" max="4"/>
    <col width="14" customWidth="1" min="5" max="5"/>
    <col width="15" customWidth="1" min="6" max="6"/>
    <col width="22" customWidth="1" min="7" max="7"/>
  </cols>
  <sheetData>
    <row r="1">
      <c r="A1" s="5" t="inlineStr">
        <is>
          <t>Integration_ID</t>
        </is>
      </c>
      <c r="B1" s="5" t="inlineStr">
        <is>
          <t>Source_System</t>
        </is>
      </c>
      <c r="C1" s="5" t="inlineStr">
        <is>
          <t>Target_System</t>
        </is>
      </c>
      <c r="D1" s="5" t="inlineStr">
        <is>
          <t>Protocol</t>
        </is>
      </c>
      <c r="E1" s="5" t="inlineStr">
        <is>
          <t>Middleware</t>
        </is>
      </c>
      <c r="F1" s="5" t="inlineStr">
        <is>
          <t>Criticality</t>
        </is>
      </c>
      <c r="G1" s="5" t="inlineStr">
        <is>
          <t>Monitoring_Enabled</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4" customWidth="1" min="1" max="1"/>
    <col width="12" customWidth="1" min="2" max="2"/>
    <col width="27" customWidth="1" min="3" max="3"/>
    <col width="23" customWidth="1" min="4" max="4"/>
    <col width="19" customWidth="1" min="5" max="5"/>
    <col width="14" customWidth="1" min="6" max="6"/>
    <col width="18" customWidth="1" min="7" max="7"/>
  </cols>
  <sheetData>
    <row r="1">
      <c r="A1" s="5" t="inlineStr">
        <is>
          <t>Model_Name</t>
        </is>
      </c>
      <c r="B1" s="5" t="inlineStr">
        <is>
          <t>Use_Case</t>
        </is>
      </c>
      <c r="C1" s="5" t="inlineStr">
        <is>
          <t>Human_Approval_Required</t>
        </is>
      </c>
      <c r="D1" s="5" t="inlineStr">
        <is>
          <t>Production_Approved</t>
        </is>
      </c>
      <c r="E1" s="5" t="inlineStr">
        <is>
          <t>Validation_Date</t>
        </is>
      </c>
      <c r="F1" s="5" t="inlineStr">
        <is>
          <t>Risk_Level</t>
        </is>
      </c>
      <c r="G1" s="5" t="inlineStr">
        <is>
          <t>Audit_Required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3" customWidth="1" min="3" max="3"/>
    <col width="12" customWidth="1" min="4" max="4"/>
    <col width="17" customWidth="1" min="5" max="5"/>
    <col width="12" customWidth="1" min="6" max="6"/>
    <col width="12" customWidth="1" min="7" max="7"/>
    <col width="12" customWidth="1" min="8" max="8"/>
  </cols>
  <sheetData>
    <row r="1">
      <c r="A1" s="5" t="inlineStr">
        <is>
          <t>Approval_ID</t>
        </is>
      </c>
      <c r="B1" s="5" t="inlineStr">
        <is>
          <t>Entity_Type</t>
        </is>
      </c>
      <c r="C1" s="5" t="inlineStr">
        <is>
          <t>Entity_ID</t>
        </is>
      </c>
      <c r="D1" s="5" t="inlineStr">
        <is>
          <t>Approver</t>
        </is>
      </c>
      <c r="E1" s="5" t="inlineStr">
        <is>
          <t>Approval_Date</t>
        </is>
      </c>
      <c r="F1" s="5" t="inlineStr">
        <is>
          <t>Decision</t>
        </is>
      </c>
      <c r="G1" s="5" t="inlineStr">
        <is>
          <t>Comments</t>
        </is>
      </c>
      <c r="H1" s="5" t="inlineStr">
        <is>
          <t>Status</t>
        </is>
      </c>
    </row>
  </sheetData>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5" customWidth="1" min="3" max="3"/>
    <col width="13" customWidth="1" min="4" max="4"/>
    <col width="15" customWidth="1" min="5" max="5"/>
    <col width="19" customWidth="1" min="6" max="6"/>
    <col width="21" customWidth="1" min="7" max="7"/>
    <col width="40" customWidth="1" min="8" max="8"/>
  </cols>
  <sheetData>
    <row r="1">
      <c r="A1" s="5" t="inlineStr">
        <is>
          <t>Deployment_ID</t>
        </is>
      </c>
      <c r="B1" s="5" t="inlineStr">
        <is>
          <t>Release_ID</t>
        </is>
      </c>
      <c r="C1" s="5" t="inlineStr">
        <is>
          <t>Environment</t>
        </is>
      </c>
      <c r="D1" s="5" t="inlineStr">
        <is>
          <t>Component</t>
        </is>
      </c>
      <c r="E1" s="5" t="inlineStr">
        <is>
          <t>Deployed_By</t>
        </is>
      </c>
      <c r="F1" s="5" t="inlineStr">
        <is>
          <t>Deployment_Date</t>
        </is>
      </c>
      <c r="G1" s="5" t="inlineStr">
        <is>
          <t>Validation_Status</t>
        </is>
      </c>
      <c r="H1" s="5" t="inlineStr">
        <is>
          <t>Notes</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2026-08-15T19:37:32Z</dcterms:created>
  <dcterms:modified xmlns:dcterms="http://purl.org/dc/terms/" xmlns:xsi="http://www.w3.org/2001/XMLSchema-instance" xsi:type="dcterms:W3CDTF">2026-08-15T19:37:32Z</dcterms:modified>
</cp:coreProperties>
</file>